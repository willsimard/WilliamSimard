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PortableGit-2.39.0-64-bit.7z (1)\WilliamSimard\"/>
    </mc:Choice>
  </mc:AlternateContent>
  <xr:revisionPtr revIDLastSave="0" documentId="8_{3810BE42-4DBA-4B38-AF4A-1E92D67CB38C}" xr6:coauthVersionLast="47" xr6:coauthVersionMax="47" xr10:uidLastSave="{00000000-0000-0000-0000-000000000000}"/>
  <bookViews>
    <workbookView xWindow="-120" yWindow="-120" windowWidth="29040" windowHeight="15720" firstSheet="1" activeTab="1" xr2:uid="{851634C4-3A26-4DAF-8A60-F9A46247DE95}"/>
  </bookViews>
  <sheets>
    <sheet name="Conditions initiale" sheetId="2" r:id="rId1"/>
    <sheet name="Simulation" sheetId="4" r:id="rId2"/>
  </sheets>
  <definedNames>
    <definedName name="Px">'Conditions initiale'!$Y$3:$Y$1004</definedName>
    <definedName name="Py">'Conditions initiale'!$Z$4:$Z$1004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38" i="4" l="1"/>
  <c r="F24" i="4" a="1"/>
  <c r="F24" i="4" s="1"/>
  <c r="G24" i="4" a="1"/>
  <c r="G24" i="4" s="1"/>
  <c r="F25" i="4" a="1"/>
  <c r="F25" i="4" s="1"/>
  <c r="G25" i="4" a="1"/>
  <c r="G25" i="4" s="1"/>
  <c r="F26" i="4" a="1"/>
  <c r="F26" i="4" s="1"/>
  <c r="G26" i="4" a="1"/>
  <c r="G26" i="4" s="1"/>
  <c r="F27" i="4" a="1"/>
  <c r="F27" i="4" s="1"/>
  <c r="G27" i="4" a="1"/>
  <c r="G27" i="4" s="1"/>
  <c r="F28" i="4" a="1"/>
  <c r="F28" i="4" s="1"/>
  <c r="G28" i="4" a="1"/>
  <c r="G28" i="4" s="1"/>
  <c r="F29" i="4" a="1"/>
  <c r="F29" i="4" s="1"/>
  <c r="G29" i="4" a="1"/>
  <c r="G29" i="4" s="1"/>
  <c r="F30" i="4" a="1"/>
  <c r="F30" i="4" s="1"/>
  <c r="G30" i="4" a="1"/>
  <c r="G30" i="4" s="1"/>
  <c r="F31" i="4" a="1"/>
  <c r="F31" i="4" s="1"/>
  <c r="G31" i="4" a="1"/>
  <c r="G31" i="4" s="1"/>
  <c r="F32" i="4" a="1"/>
  <c r="F32" i="4" s="1"/>
  <c r="G32" i="4" a="1"/>
  <c r="G32" i="4" s="1"/>
  <c r="F33" i="4" a="1"/>
  <c r="F33" i="4" s="1"/>
  <c r="G33" i="4" a="1"/>
  <c r="G33" i="4" s="1"/>
  <c r="F34" i="4" a="1"/>
  <c r="F34" i="4" s="1"/>
  <c r="G34" i="4" a="1"/>
  <c r="G34" i="4" s="1"/>
  <c r="F35" i="4" a="1"/>
  <c r="F35" i="4" s="1"/>
  <c r="G35" i="4" a="1"/>
  <c r="G35" i="4" s="1"/>
  <c r="F36" i="4" a="1"/>
  <c r="F36" i="4" s="1"/>
  <c r="G36" i="4" a="1"/>
  <c r="G36" i="4" s="1"/>
  <c r="F37" i="4" a="1"/>
  <c r="F37" i="4" s="1"/>
  <c r="G37" i="4" a="1"/>
  <c r="G37" i="4" s="1"/>
  <c r="C2" i="4" a="1"/>
  <c r="C2" i="4" s="1"/>
  <c r="B45" i="4" s="1"/>
  <c r="F13" i="4" a="1"/>
  <c r="F13" i="4" s="1"/>
  <c r="F12" i="4" a="1"/>
  <c r="F12" i="4" s="1"/>
  <c r="G12" i="4" a="1"/>
  <c r="G12" i="4" s="1"/>
  <c r="G13" i="4" a="1"/>
  <c r="G13" i="4" s="1"/>
  <c r="F14" i="4" a="1"/>
  <c r="F14" i="4" s="1"/>
  <c r="G14" i="4" a="1"/>
  <c r="G14" i="4" s="1"/>
  <c r="F15" i="4" a="1"/>
  <c r="F15" i="4" s="1"/>
  <c r="G15" i="4" a="1"/>
  <c r="G15" i="4" s="1"/>
  <c r="F16" i="4" a="1"/>
  <c r="F16" i="4" s="1"/>
  <c r="G16" i="4" a="1"/>
  <c r="G16" i="4" s="1"/>
  <c r="F17" i="4" a="1"/>
  <c r="F17" i="4" s="1"/>
  <c r="G17" i="4" a="1"/>
  <c r="G17" i="4" s="1"/>
  <c r="F18" i="4" a="1"/>
  <c r="F18" i="4" s="1"/>
  <c r="G18" i="4" a="1"/>
  <c r="G18" i="4" s="1"/>
  <c r="F19" i="4" a="1"/>
  <c r="F19" i="4" s="1"/>
  <c r="G19" i="4" a="1"/>
  <c r="G19" i="4" s="1"/>
  <c r="F20" i="4" a="1"/>
  <c r="F20" i="4" s="1"/>
  <c r="G20" i="4" a="1"/>
  <c r="G20" i="4" s="1"/>
  <c r="F21" i="4" a="1"/>
  <c r="F21" i="4" s="1"/>
  <c r="G21" i="4" a="1"/>
  <c r="G21" i="4" s="1"/>
  <c r="F22" i="4" a="1"/>
  <c r="F22" i="4" s="1"/>
  <c r="G22" i="4" a="1"/>
  <c r="G22" i="4" s="1"/>
  <c r="F23" i="4" a="1"/>
  <c r="F23" i="4" s="1"/>
  <c r="G23" i="4" a="1"/>
  <c r="G23" i="4" s="1"/>
  <c r="G3" i="4" a="1"/>
  <c r="G3" i="4" s="1"/>
  <c r="G4" i="4" a="1"/>
  <c r="G4" i="4" s="1"/>
  <c r="G5" i="4" a="1"/>
  <c r="G5" i="4" s="1"/>
  <c r="G6" i="4" a="1"/>
  <c r="G6" i="4" s="1"/>
  <c r="G7" i="4" a="1"/>
  <c r="G7" i="4" s="1"/>
  <c r="G8" i="4" a="1"/>
  <c r="G8" i="4" s="1"/>
  <c r="G9" i="4" a="1"/>
  <c r="G9" i="4" s="1"/>
  <c r="G10" i="4" a="1"/>
  <c r="G10" i="4" s="1"/>
  <c r="G11" i="4" a="1"/>
  <c r="G11" i="4" s="1"/>
  <c r="F3" i="4" a="1"/>
  <c r="F3" i="4" s="1"/>
  <c r="F4" i="4" a="1"/>
  <c r="F4" i="4" s="1"/>
  <c r="F5" i="4" a="1"/>
  <c r="F5" i="4" s="1"/>
  <c r="F6" i="4" a="1"/>
  <c r="F6" i="4" s="1"/>
  <c r="F7" i="4" a="1"/>
  <c r="F7" i="4" s="1"/>
  <c r="F8" i="4" a="1"/>
  <c r="F8" i="4" s="1"/>
  <c r="F9" i="4" a="1"/>
  <c r="F9" i="4" s="1"/>
  <c r="F10" i="4" a="1"/>
  <c r="F10" i="4" s="1"/>
  <c r="F11" i="4" a="1"/>
  <c r="F11" i="4" s="1"/>
  <c r="G2" i="4" a="1"/>
  <c r="G2" i="4" s="1"/>
  <c r="F2" i="4" a="1"/>
  <c r="F2" i="4" s="1"/>
  <c r="D2" i="4" a="1"/>
  <c r="D2" i="4" s="1"/>
  <c r="C45" i="4" s="1"/>
  <c r="AI4" i="2"/>
  <c r="AE4" i="2"/>
  <c r="Y6" i="2"/>
  <c r="Z6" i="2"/>
  <c r="AA6" i="2"/>
  <c r="AB6" i="2"/>
  <c r="AE6" i="2"/>
  <c r="AF6" i="2"/>
  <c r="AJ6" i="2"/>
  <c r="AK6" i="2"/>
  <c r="AL6" i="2"/>
  <c r="AG6" i="2" s="1"/>
  <c r="AM6" i="2"/>
  <c r="AI6" i="2" s="1"/>
  <c r="AE5" i="2"/>
  <c r="AF5" i="2"/>
  <c r="AJ5" i="2"/>
  <c r="AK5" i="2"/>
  <c r="AL5" i="2"/>
  <c r="AG5" i="2" s="1"/>
  <c r="AM5" i="2"/>
  <c r="AI5" i="2" s="1"/>
  <c r="D39" i="2"/>
  <c r="AM4" i="2"/>
  <c r="AL4" i="2"/>
  <c r="AG4" i="2" s="1"/>
  <c r="AK4" i="2"/>
  <c r="AJ4" i="2"/>
  <c r="AH4" i="2"/>
  <c r="V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S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01" i="2"/>
  <c r="W102" i="2"/>
  <c r="W103" i="2"/>
  <c r="W104" i="2"/>
  <c r="W105" i="2"/>
  <c r="W106" i="2"/>
  <c r="W107" i="2"/>
  <c r="W108" i="2"/>
  <c r="W109" i="2"/>
  <c r="W110" i="2"/>
  <c r="W111" i="2"/>
  <c r="W112" i="2"/>
  <c r="W113" i="2"/>
  <c r="W114" i="2"/>
  <c r="W115" i="2"/>
  <c r="W116" i="2"/>
  <c r="W117" i="2"/>
  <c r="W118" i="2"/>
  <c r="W119" i="2"/>
  <c r="W120" i="2"/>
  <c r="W121" i="2"/>
  <c r="W122" i="2"/>
  <c r="W123" i="2"/>
  <c r="W124" i="2"/>
  <c r="W125" i="2"/>
  <c r="W126" i="2"/>
  <c r="W127" i="2"/>
  <c r="W128" i="2"/>
  <c r="W129" i="2"/>
  <c r="W130" i="2"/>
  <c r="W131" i="2"/>
  <c r="W132" i="2"/>
  <c r="W133" i="2"/>
  <c r="W134" i="2"/>
  <c r="W135" i="2"/>
  <c r="W136" i="2"/>
  <c r="W137" i="2"/>
  <c r="W138" i="2"/>
  <c r="W139" i="2"/>
  <c r="W140" i="2"/>
  <c r="W141" i="2"/>
  <c r="W142" i="2"/>
  <c r="W143" i="2"/>
  <c r="W144" i="2"/>
  <c r="W145" i="2"/>
  <c r="W146" i="2"/>
  <c r="W147" i="2"/>
  <c r="W148" i="2"/>
  <c r="W149" i="2"/>
  <c r="W150" i="2"/>
  <c r="W151" i="2"/>
  <c r="W152" i="2"/>
  <c r="W153" i="2"/>
  <c r="W154" i="2"/>
  <c r="W155" i="2"/>
  <c r="W156" i="2"/>
  <c r="W157" i="2"/>
  <c r="W158" i="2"/>
  <c r="W159" i="2"/>
  <c r="W160" i="2"/>
  <c r="W161" i="2"/>
  <c r="W162" i="2"/>
  <c r="W163" i="2"/>
  <c r="W164" i="2"/>
  <c r="W165" i="2"/>
  <c r="W166" i="2"/>
  <c r="W167" i="2"/>
  <c r="W168" i="2"/>
  <c r="W169" i="2"/>
  <c r="W170" i="2"/>
  <c r="W171" i="2"/>
  <c r="W172" i="2"/>
  <c r="W173" i="2"/>
  <c r="W174" i="2"/>
  <c r="W175" i="2"/>
  <c r="W176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207" i="2"/>
  <c r="W208" i="2"/>
  <c r="W209" i="2"/>
  <c r="W210" i="2"/>
  <c r="W211" i="2"/>
  <c r="W212" i="2"/>
  <c r="W213" i="2"/>
  <c r="W214" i="2"/>
  <c r="W215" i="2"/>
  <c r="W216" i="2"/>
  <c r="W217" i="2"/>
  <c r="W218" i="2"/>
  <c r="W219" i="2"/>
  <c r="W220" i="2"/>
  <c r="W221" i="2"/>
  <c r="W222" i="2"/>
  <c r="W223" i="2"/>
  <c r="W224" i="2"/>
  <c r="W225" i="2"/>
  <c r="W226" i="2"/>
  <c r="W227" i="2"/>
  <c r="W228" i="2"/>
  <c r="W229" i="2"/>
  <c r="W230" i="2"/>
  <c r="W231" i="2"/>
  <c r="W232" i="2"/>
  <c r="W233" i="2"/>
  <c r="W234" i="2"/>
  <c r="W235" i="2"/>
  <c r="W236" i="2"/>
  <c r="W237" i="2"/>
  <c r="W238" i="2"/>
  <c r="W239" i="2"/>
  <c r="W240" i="2"/>
  <c r="W241" i="2"/>
  <c r="W242" i="2"/>
  <c r="W243" i="2"/>
  <c r="W244" i="2"/>
  <c r="W245" i="2"/>
  <c r="W246" i="2"/>
  <c r="W247" i="2"/>
  <c r="W248" i="2"/>
  <c r="W249" i="2"/>
  <c r="W250" i="2"/>
  <c r="W251" i="2"/>
  <c r="W252" i="2"/>
  <c r="W253" i="2"/>
  <c r="W254" i="2"/>
  <c r="W255" i="2"/>
  <c r="W256" i="2"/>
  <c r="W257" i="2"/>
  <c r="W258" i="2"/>
  <c r="W259" i="2"/>
  <c r="W260" i="2"/>
  <c r="W261" i="2"/>
  <c r="W262" i="2"/>
  <c r="W263" i="2"/>
  <c r="W264" i="2"/>
  <c r="W265" i="2"/>
  <c r="W266" i="2"/>
  <c r="W267" i="2"/>
  <c r="W268" i="2"/>
  <c r="W269" i="2"/>
  <c r="W270" i="2"/>
  <c r="W271" i="2"/>
  <c r="W272" i="2"/>
  <c r="W273" i="2"/>
  <c r="W274" i="2"/>
  <c r="W275" i="2"/>
  <c r="W276" i="2"/>
  <c r="W277" i="2"/>
  <c r="W278" i="2"/>
  <c r="W279" i="2"/>
  <c r="W280" i="2"/>
  <c r="W281" i="2"/>
  <c r="W282" i="2"/>
  <c r="W283" i="2"/>
  <c r="W284" i="2"/>
  <c r="W285" i="2"/>
  <c r="W286" i="2"/>
  <c r="W287" i="2"/>
  <c r="W288" i="2"/>
  <c r="W289" i="2"/>
  <c r="W290" i="2"/>
  <c r="W291" i="2"/>
  <c r="W292" i="2"/>
  <c r="W293" i="2"/>
  <c r="W294" i="2"/>
  <c r="W295" i="2"/>
  <c r="W296" i="2"/>
  <c r="W297" i="2"/>
  <c r="W298" i="2"/>
  <c r="W299" i="2"/>
  <c r="W300" i="2"/>
  <c r="W301" i="2"/>
  <c r="W302" i="2"/>
  <c r="W303" i="2"/>
  <c r="W304" i="2"/>
  <c r="W305" i="2"/>
  <c r="W306" i="2"/>
  <c r="W307" i="2"/>
  <c r="W308" i="2"/>
  <c r="W309" i="2"/>
  <c r="W310" i="2"/>
  <c r="W311" i="2"/>
  <c r="W312" i="2"/>
  <c r="W313" i="2"/>
  <c r="W314" i="2"/>
  <c r="W315" i="2"/>
  <c r="W316" i="2"/>
  <c r="W317" i="2"/>
  <c r="W318" i="2"/>
  <c r="W319" i="2"/>
  <c r="W320" i="2"/>
  <c r="W321" i="2"/>
  <c r="W322" i="2"/>
  <c r="W323" i="2"/>
  <c r="W324" i="2"/>
  <c r="W325" i="2"/>
  <c r="W326" i="2"/>
  <c r="W327" i="2"/>
  <c r="W328" i="2"/>
  <c r="W329" i="2"/>
  <c r="W330" i="2"/>
  <c r="W331" i="2"/>
  <c r="W332" i="2"/>
  <c r="W333" i="2"/>
  <c r="W334" i="2"/>
  <c r="W335" i="2"/>
  <c r="W336" i="2"/>
  <c r="W337" i="2"/>
  <c r="W338" i="2"/>
  <c r="W339" i="2"/>
  <c r="W340" i="2"/>
  <c r="W341" i="2"/>
  <c r="W342" i="2"/>
  <c r="W343" i="2"/>
  <c r="W344" i="2"/>
  <c r="W345" i="2"/>
  <c r="W346" i="2"/>
  <c r="W347" i="2"/>
  <c r="W348" i="2"/>
  <c r="W349" i="2"/>
  <c r="W350" i="2"/>
  <c r="W351" i="2"/>
  <c r="W352" i="2"/>
  <c r="W353" i="2"/>
  <c r="W354" i="2"/>
  <c r="W355" i="2"/>
  <c r="W356" i="2"/>
  <c r="W357" i="2"/>
  <c r="W358" i="2"/>
  <c r="W359" i="2"/>
  <c r="W360" i="2"/>
  <c r="W361" i="2"/>
  <c r="W362" i="2"/>
  <c r="W363" i="2"/>
  <c r="W364" i="2"/>
  <c r="W365" i="2"/>
  <c r="W366" i="2"/>
  <c r="W367" i="2"/>
  <c r="W368" i="2"/>
  <c r="W369" i="2"/>
  <c r="W370" i="2"/>
  <c r="W371" i="2"/>
  <c r="W372" i="2"/>
  <c r="W373" i="2"/>
  <c r="W374" i="2"/>
  <c r="W375" i="2"/>
  <c r="W376" i="2"/>
  <c r="W377" i="2"/>
  <c r="W378" i="2"/>
  <c r="W379" i="2"/>
  <c r="W380" i="2"/>
  <c r="W381" i="2"/>
  <c r="W382" i="2"/>
  <c r="W383" i="2"/>
  <c r="W384" i="2"/>
  <c r="W385" i="2"/>
  <c r="W386" i="2"/>
  <c r="W387" i="2"/>
  <c r="W388" i="2"/>
  <c r="W389" i="2"/>
  <c r="W390" i="2"/>
  <c r="W391" i="2"/>
  <c r="W392" i="2"/>
  <c r="W393" i="2"/>
  <c r="W394" i="2"/>
  <c r="W395" i="2"/>
  <c r="W396" i="2"/>
  <c r="W397" i="2"/>
  <c r="W398" i="2"/>
  <c r="W399" i="2"/>
  <c r="W400" i="2"/>
  <c r="W401" i="2"/>
  <c r="W402" i="2"/>
  <c r="W403" i="2"/>
  <c r="W404" i="2"/>
  <c r="W405" i="2"/>
  <c r="W406" i="2"/>
  <c r="W407" i="2"/>
  <c r="W408" i="2"/>
  <c r="W409" i="2"/>
  <c r="W410" i="2"/>
  <c r="W411" i="2"/>
  <c r="W412" i="2"/>
  <c r="W413" i="2"/>
  <c r="W414" i="2"/>
  <c r="W415" i="2"/>
  <c r="W416" i="2"/>
  <c r="W417" i="2"/>
  <c r="W418" i="2"/>
  <c r="W419" i="2"/>
  <c r="W420" i="2"/>
  <c r="W421" i="2"/>
  <c r="W422" i="2"/>
  <c r="W423" i="2"/>
  <c r="W424" i="2"/>
  <c r="W425" i="2"/>
  <c r="W426" i="2"/>
  <c r="W427" i="2"/>
  <c r="W428" i="2"/>
  <c r="W429" i="2"/>
  <c r="W430" i="2"/>
  <c r="W431" i="2"/>
  <c r="W432" i="2"/>
  <c r="W433" i="2"/>
  <c r="W434" i="2"/>
  <c r="W435" i="2"/>
  <c r="W436" i="2"/>
  <c r="W437" i="2"/>
  <c r="W438" i="2"/>
  <c r="W439" i="2"/>
  <c r="W440" i="2"/>
  <c r="W441" i="2"/>
  <c r="W442" i="2"/>
  <c r="W443" i="2"/>
  <c r="W444" i="2"/>
  <c r="W445" i="2"/>
  <c r="W446" i="2"/>
  <c r="W447" i="2"/>
  <c r="W448" i="2"/>
  <c r="W449" i="2"/>
  <c r="W450" i="2"/>
  <c r="W451" i="2"/>
  <c r="W452" i="2"/>
  <c r="W453" i="2"/>
  <c r="W454" i="2"/>
  <c r="W455" i="2"/>
  <c r="W456" i="2"/>
  <c r="W457" i="2"/>
  <c r="W458" i="2"/>
  <c r="W459" i="2"/>
  <c r="W460" i="2"/>
  <c r="W461" i="2"/>
  <c r="W462" i="2"/>
  <c r="W463" i="2"/>
  <c r="W464" i="2"/>
  <c r="W465" i="2"/>
  <c r="W466" i="2"/>
  <c r="W467" i="2"/>
  <c r="W468" i="2"/>
  <c r="W469" i="2"/>
  <c r="W470" i="2"/>
  <c r="W471" i="2"/>
  <c r="W472" i="2"/>
  <c r="W473" i="2"/>
  <c r="W474" i="2"/>
  <c r="W475" i="2"/>
  <c r="W476" i="2"/>
  <c r="W477" i="2"/>
  <c r="W478" i="2"/>
  <c r="W479" i="2"/>
  <c r="W480" i="2"/>
  <c r="W481" i="2"/>
  <c r="W482" i="2"/>
  <c r="W483" i="2"/>
  <c r="W484" i="2"/>
  <c r="W485" i="2"/>
  <c r="W486" i="2"/>
  <c r="W487" i="2"/>
  <c r="W488" i="2"/>
  <c r="W489" i="2"/>
  <c r="W490" i="2"/>
  <c r="W491" i="2"/>
  <c r="W492" i="2"/>
  <c r="W493" i="2"/>
  <c r="W494" i="2"/>
  <c r="W495" i="2"/>
  <c r="W496" i="2"/>
  <c r="W497" i="2"/>
  <c r="W498" i="2"/>
  <c r="W499" i="2"/>
  <c r="W500" i="2"/>
  <c r="W501" i="2"/>
  <c r="W502" i="2"/>
  <c r="W503" i="2"/>
  <c r="W504" i="2"/>
  <c r="W505" i="2"/>
  <c r="W506" i="2"/>
  <c r="W507" i="2"/>
  <c r="W508" i="2"/>
  <c r="W509" i="2"/>
  <c r="W510" i="2"/>
  <c r="W511" i="2"/>
  <c r="W512" i="2"/>
  <c r="W513" i="2"/>
  <c r="W514" i="2"/>
  <c r="W515" i="2"/>
  <c r="W516" i="2"/>
  <c r="W517" i="2"/>
  <c r="W518" i="2"/>
  <c r="W519" i="2"/>
  <c r="W520" i="2"/>
  <c r="W521" i="2"/>
  <c r="W522" i="2"/>
  <c r="W523" i="2"/>
  <c r="W524" i="2"/>
  <c r="W525" i="2"/>
  <c r="W526" i="2"/>
  <c r="W527" i="2"/>
  <c r="W528" i="2"/>
  <c r="W529" i="2"/>
  <c r="W530" i="2"/>
  <c r="W531" i="2"/>
  <c r="W532" i="2"/>
  <c r="W533" i="2"/>
  <c r="W534" i="2"/>
  <c r="W535" i="2"/>
  <c r="W536" i="2"/>
  <c r="W537" i="2"/>
  <c r="W538" i="2"/>
  <c r="W539" i="2"/>
  <c r="W540" i="2"/>
  <c r="W541" i="2"/>
  <c r="W542" i="2"/>
  <c r="W543" i="2"/>
  <c r="W544" i="2"/>
  <c r="W545" i="2"/>
  <c r="W546" i="2"/>
  <c r="W547" i="2"/>
  <c r="W548" i="2"/>
  <c r="W549" i="2"/>
  <c r="W550" i="2"/>
  <c r="W551" i="2"/>
  <c r="W552" i="2"/>
  <c r="W553" i="2"/>
  <c r="W554" i="2"/>
  <c r="W555" i="2"/>
  <c r="W556" i="2"/>
  <c r="W557" i="2"/>
  <c r="W558" i="2"/>
  <c r="W559" i="2"/>
  <c r="W560" i="2"/>
  <c r="W561" i="2"/>
  <c r="W562" i="2"/>
  <c r="W563" i="2"/>
  <c r="W564" i="2"/>
  <c r="W565" i="2"/>
  <c r="W566" i="2"/>
  <c r="W567" i="2"/>
  <c r="W568" i="2"/>
  <c r="W569" i="2"/>
  <c r="W570" i="2"/>
  <c r="W571" i="2"/>
  <c r="W572" i="2"/>
  <c r="W573" i="2"/>
  <c r="W574" i="2"/>
  <c r="W575" i="2"/>
  <c r="W576" i="2"/>
  <c r="W577" i="2"/>
  <c r="W578" i="2"/>
  <c r="W579" i="2"/>
  <c r="W580" i="2"/>
  <c r="W581" i="2"/>
  <c r="W582" i="2"/>
  <c r="W583" i="2"/>
  <c r="W584" i="2"/>
  <c r="W585" i="2"/>
  <c r="W586" i="2"/>
  <c r="W587" i="2"/>
  <c r="W588" i="2"/>
  <c r="W589" i="2"/>
  <c r="W590" i="2"/>
  <c r="W591" i="2"/>
  <c r="W592" i="2"/>
  <c r="W593" i="2"/>
  <c r="W594" i="2"/>
  <c r="W595" i="2"/>
  <c r="W596" i="2"/>
  <c r="W597" i="2"/>
  <c r="W598" i="2"/>
  <c r="W599" i="2"/>
  <c r="W600" i="2"/>
  <c r="W601" i="2"/>
  <c r="W602" i="2"/>
  <c r="W603" i="2"/>
  <c r="W604" i="2"/>
  <c r="W605" i="2"/>
  <c r="W606" i="2"/>
  <c r="W607" i="2"/>
  <c r="W608" i="2"/>
  <c r="W609" i="2"/>
  <c r="W610" i="2"/>
  <c r="W611" i="2"/>
  <c r="W612" i="2"/>
  <c r="W613" i="2"/>
  <c r="W614" i="2"/>
  <c r="W615" i="2"/>
  <c r="W616" i="2"/>
  <c r="W617" i="2"/>
  <c r="W618" i="2"/>
  <c r="W619" i="2"/>
  <c r="W620" i="2"/>
  <c r="W621" i="2"/>
  <c r="W622" i="2"/>
  <c r="W623" i="2"/>
  <c r="W624" i="2"/>
  <c r="W625" i="2"/>
  <c r="W626" i="2"/>
  <c r="W627" i="2"/>
  <c r="W628" i="2"/>
  <c r="W629" i="2"/>
  <c r="W630" i="2"/>
  <c r="W631" i="2"/>
  <c r="W632" i="2"/>
  <c r="W633" i="2"/>
  <c r="W634" i="2"/>
  <c r="W635" i="2"/>
  <c r="W636" i="2"/>
  <c r="W637" i="2"/>
  <c r="W638" i="2"/>
  <c r="W639" i="2"/>
  <c r="W640" i="2"/>
  <c r="W641" i="2"/>
  <c r="W642" i="2"/>
  <c r="W643" i="2"/>
  <c r="W644" i="2"/>
  <c r="W645" i="2"/>
  <c r="W646" i="2"/>
  <c r="W647" i="2"/>
  <c r="W648" i="2"/>
  <c r="W649" i="2"/>
  <c r="W650" i="2"/>
  <c r="W651" i="2"/>
  <c r="W652" i="2"/>
  <c r="W653" i="2"/>
  <c r="W654" i="2"/>
  <c r="W655" i="2"/>
  <c r="W656" i="2"/>
  <c r="W657" i="2"/>
  <c r="W658" i="2"/>
  <c r="W659" i="2"/>
  <c r="W660" i="2"/>
  <c r="W661" i="2"/>
  <c r="W662" i="2"/>
  <c r="W663" i="2"/>
  <c r="W664" i="2"/>
  <c r="W665" i="2"/>
  <c r="W666" i="2"/>
  <c r="W667" i="2"/>
  <c r="W668" i="2"/>
  <c r="W669" i="2"/>
  <c r="W670" i="2"/>
  <c r="W671" i="2"/>
  <c r="W672" i="2"/>
  <c r="W673" i="2"/>
  <c r="W674" i="2"/>
  <c r="W675" i="2"/>
  <c r="W676" i="2"/>
  <c r="W677" i="2"/>
  <c r="W678" i="2"/>
  <c r="W679" i="2"/>
  <c r="W680" i="2"/>
  <c r="W681" i="2"/>
  <c r="W682" i="2"/>
  <c r="W683" i="2"/>
  <c r="W684" i="2"/>
  <c r="W685" i="2"/>
  <c r="W686" i="2"/>
  <c r="W687" i="2"/>
  <c r="W688" i="2"/>
  <c r="W689" i="2"/>
  <c r="W690" i="2"/>
  <c r="W691" i="2"/>
  <c r="W692" i="2"/>
  <c r="W693" i="2"/>
  <c r="W694" i="2"/>
  <c r="W695" i="2"/>
  <c r="W696" i="2"/>
  <c r="W697" i="2"/>
  <c r="W698" i="2"/>
  <c r="W699" i="2"/>
  <c r="W700" i="2"/>
  <c r="W701" i="2"/>
  <c r="W702" i="2"/>
  <c r="W703" i="2"/>
  <c r="W704" i="2"/>
  <c r="W705" i="2"/>
  <c r="W706" i="2"/>
  <c r="W707" i="2"/>
  <c r="W708" i="2"/>
  <c r="W709" i="2"/>
  <c r="W710" i="2"/>
  <c r="W711" i="2"/>
  <c r="W712" i="2"/>
  <c r="W713" i="2"/>
  <c r="W714" i="2"/>
  <c r="W715" i="2"/>
  <c r="W716" i="2"/>
  <c r="W717" i="2"/>
  <c r="W718" i="2"/>
  <c r="W719" i="2"/>
  <c r="W720" i="2"/>
  <c r="W721" i="2"/>
  <c r="W722" i="2"/>
  <c r="W723" i="2"/>
  <c r="W724" i="2"/>
  <c r="W725" i="2"/>
  <c r="W726" i="2"/>
  <c r="W727" i="2"/>
  <c r="W728" i="2"/>
  <c r="W729" i="2"/>
  <c r="W730" i="2"/>
  <c r="W731" i="2"/>
  <c r="W732" i="2"/>
  <c r="W733" i="2"/>
  <c r="W734" i="2"/>
  <c r="W735" i="2"/>
  <c r="W736" i="2"/>
  <c r="W737" i="2"/>
  <c r="W738" i="2"/>
  <c r="W739" i="2"/>
  <c r="W740" i="2"/>
  <c r="W741" i="2"/>
  <c r="W742" i="2"/>
  <c r="W743" i="2"/>
  <c r="W744" i="2"/>
  <c r="W745" i="2"/>
  <c r="W746" i="2"/>
  <c r="W747" i="2"/>
  <c r="W748" i="2"/>
  <c r="W749" i="2"/>
  <c r="W750" i="2"/>
  <c r="W751" i="2"/>
  <c r="W752" i="2"/>
  <c r="W753" i="2"/>
  <c r="W754" i="2"/>
  <c r="W755" i="2"/>
  <c r="W756" i="2"/>
  <c r="W757" i="2"/>
  <c r="W758" i="2"/>
  <c r="W759" i="2"/>
  <c r="W760" i="2"/>
  <c r="W761" i="2"/>
  <c r="W762" i="2"/>
  <c r="W763" i="2"/>
  <c r="W764" i="2"/>
  <c r="W765" i="2"/>
  <c r="W766" i="2"/>
  <c r="W767" i="2"/>
  <c r="W768" i="2"/>
  <c r="W769" i="2"/>
  <c r="W770" i="2"/>
  <c r="W771" i="2"/>
  <c r="W772" i="2"/>
  <c r="W773" i="2"/>
  <c r="W774" i="2"/>
  <c r="W775" i="2"/>
  <c r="W776" i="2"/>
  <c r="W777" i="2"/>
  <c r="W778" i="2"/>
  <c r="W779" i="2"/>
  <c r="W780" i="2"/>
  <c r="W781" i="2"/>
  <c r="W782" i="2"/>
  <c r="W783" i="2"/>
  <c r="W784" i="2"/>
  <c r="W785" i="2"/>
  <c r="W786" i="2"/>
  <c r="W787" i="2"/>
  <c r="W788" i="2"/>
  <c r="W789" i="2"/>
  <c r="W790" i="2"/>
  <c r="W791" i="2"/>
  <c r="W792" i="2"/>
  <c r="W793" i="2"/>
  <c r="W794" i="2"/>
  <c r="W795" i="2"/>
  <c r="W796" i="2"/>
  <c r="W797" i="2"/>
  <c r="W798" i="2"/>
  <c r="W799" i="2"/>
  <c r="W800" i="2"/>
  <c r="W801" i="2"/>
  <c r="W802" i="2"/>
  <c r="W803" i="2"/>
  <c r="W804" i="2"/>
  <c r="W805" i="2"/>
  <c r="W806" i="2"/>
  <c r="W807" i="2"/>
  <c r="W808" i="2"/>
  <c r="W809" i="2"/>
  <c r="W810" i="2"/>
  <c r="W811" i="2"/>
  <c r="W812" i="2"/>
  <c r="W813" i="2"/>
  <c r="W814" i="2"/>
  <c r="W815" i="2"/>
  <c r="W816" i="2"/>
  <c r="W817" i="2"/>
  <c r="W818" i="2"/>
  <c r="W819" i="2"/>
  <c r="W820" i="2"/>
  <c r="W821" i="2"/>
  <c r="W822" i="2"/>
  <c r="W823" i="2"/>
  <c r="W824" i="2"/>
  <c r="W825" i="2"/>
  <c r="W826" i="2"/>
  <c r="W827" i="2"/>
  <c r="W828" i="2"/>
  <c r="W829" i="2"/>
  <c r="W830" i="2"/>
  <c r="W831" i="2"/>
  <c r="W832" i="2"/>
  <c r="W833" i="2"/>
  <c r="W834" i="2"/>
  <c r="W835" i="2"/>
  <c r="W836" i="2"/>
  <c r="W837" i="2"/>
  <c r="W838" i="2"/>
  <c r="W839" i="2"/>
  <c r="W840" i="2"/>
  <c r="W841" i="2"/>
  <c r="W842" i="2"/>
  <c r="W843" i="2"/>
  <c r="W844" i="2"/>
  <c r="W845" i="2"/>
  <c r="W846" i="2"/>
  <c r="W847" i="2"/>
  <c r="W848" i="2"/>
  <c r="W849" i="2"/>
  <c r="W850" i="2"/>
  <c r="W851" i="2"/>
  <c r="W852" i="2"/>
  <c r="W853" i="2"/>
  <c r="W854" i="2"/>
  <c r="W855" i="2"/>
  <c r="W856" i="2"/>
  <c r="W857" i="2"/>
  <c r="W858" i="2"/>
  <c r="W859" i="2"/>
  <c r="W860" i="2"/>
  <c r="W861" i="2"/>
  <c r="W862" i="2"/>
  <c r="W863" i="2"/>
  <c r="W864" i="2"/>
  <c r="W865" i="2"/>
  <c r="W866" i="2"/>
  <c r="W867" i="2"/>
  <c r="W868" i="2"/>
  <c r="W869" i="2"/>
  <c r="W870" i="2"/>
  <c r="W871" i="2"/>
  <c r="W872" i="2"/>
  <c r="W873" i="2"/>
  <c r="W874" i="2"/>
  <c r="W875" i="2"/>
  <c r="W876" i="2"/>
  <c r="W877" i="2"/>
  <c r="W878" i="2"/>
  <c r="W879" i="2"/>
  <c r="W880" i="2"/>
  <c r="W881" i="2"/>
  <c r="W882" i="2"/>
  <c r="W883" i="2"/>
  <c r="W884" i="2"/>
  <c r="W885" i="2"/>
  <c r="W886" i="2"/>
  <c r="W887" i="2"/>
  <c r="W888" i="2"/>
  <c r="W889" i="2"/>
  <c r="W890" i="2"/>
  <c r="W891" i="2"/>
  <c r="W892" i="2"/>
  <c r="W893" i="2"/>
  <c r="W894" i="2"/>
  <c r="W895" i="2"/>
  <c r="W896" i="2"/>
  <c r="W897" i="2"/>
  <c r="W898" i="2"/>
  <c r="W899" i="2"/>
  <c r="W900" i="2"/>
  <c r="W901" i="2"/>
  <c r="W902" i="2"/>
  <c r="W903" i="2"/>
  <c r="W904" i="2"/>
  <c r="W905" i="2"/>
  <c r="W906" i="2"/>
  <c r="W907" i="2"/>
  <c r="W908" i="2"/>
  <c r="W909" i="2"/>
  <c r="W910" i="2"/>
  <c r="W911" i="2"/>
  <c r="W912" i="2"/>
  <c r="W913" i="2"/>
  <c r="W914" i="2"/>
  <c r="W915" i="2"/>
  <c r="W916" i="2"/>
  <c r="W917" i="2"/>
  <c r="W918" i="2"/>
  <c r="W919" i="2"/>
  <c r="W920" i="2"/>
  <c r="W921" i="2"/>
  <c r="W922" i="2"/>
  <c r="W923" i="2"/>
  <c r="W924" i="2"/>
  <c r="W925" i="2"/>
  <c r="W926" i="2"/>
  <c r="W927" i="2"/>
  <c r="W928" i="2"/>
  <c r="W929" i="2"/>
  <c r="W930" i="2"/>
  <c r="W931" i="2"/>
  <c r="W932" i="2"/>
  <c r="W933" i="2"/>
  <c r="W934" i="2"/>
  <c r="W935" i="2"/>
  <c r="W936" i="2"/>
  <c r="W937" i="2"/>
  <c r="W938" i="2"/>
  <c r="W939" i="2"/>
  <c r="W940" i="2"/>
  <c r="W941" i="2"/>
  <c r="W942" i="2"/>
  <c r="W943" i="2"/>
  <c r="W944" i="2"/>
  <c r="W945" i="2"/>
  <c r="W946" i="2"/>
  <c r="W947" i="2"/>
  <c r="W948" i="2"/>
  <c r="W949" i="2"/>
  <c r="W950" i="2"/>
  <c r="W951" i="2"/>
  <c r="W952" i="2"/>
  <c r="W953" i="2"/>
  <c r="W954" i="2"/>
  <c r="W955" i="2"/>
  <c r="W956" i="2"/>
  <c r="W957" i="2"/>
  <c r="W958" i="2"/>
  <c r="W959" i="2"/>
  <c r="W960" i="2"/>
  <c r="W961" i="2"/>
  <c r="W962" i="2"/>
  <c r="W963" i="2"/>
  <c r="W964" i="2"/>
  <c r="W965" i="2"/>
  <c r="W966" i="2"/>
  <c r="W967" i="2"/>
  <c r="W968" i="2"/>
  <c r="W969" i="2"/>
  <c r="W970" i="2"/>
  <c r="W971" i="2"/>
  <c r="W972" i="2"/>
  <c r="W973" i="2"/>
  <c r="W974" i="2"/>
  <c r="W975" i="2"/>
  <c r="W976" i="2"/>
  <c r="W977" i="2"/>
  <c r="W978" i="2"/>
  <c r="W979" i="2"/>
  <c r="W980" i="2"/>
  <c r="W981" i="2"/>
  <c r="W982" i="2"/>
  <c r="W983" i="2"/>
  <c r="W984" i="2"/>
  <c r="W985" i="2"/>
  <c r="W986" i="2"/>
  <c r="W987" i="2"/>
  <c r="W988" i="2"/>
  <c r="W989" i="2"/>
  <c r="W990" i="2"/>
  <c r="W991" i="2"/>
  <c r="W992" i="2"/>
  <c r="W993" i="2"/>
  <c r="W994" i="2"/>
  <c r="W995" i="2"/>
  <c r="W996" i="2"/>
  <c r="W997" i="2"/>
  <c r="W998" i="2"/>
  <c r="W999" i="2"/>
  <c r="W1000" i="2"/>
  <c r="W1001" i="2"/>
  <c r="W1002" i="2"/>
  <c r="W1003" i="2"/>
  <c r="W100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W4" i="2"/>
  <c r="R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4" i="2"/>
  <c r="J3" i="2"/>
  <c r="O4" i="2"/>
  <c r="M5" i="2"/>
  <c r="C41" i="4" l="1"/>
  <c r="B42" i="4"/>
  <c r="B44" i="4"/>
  <c r="B41" i="4"/>
  <c r="B43" i="4"/>
  <c r="C43" i="4"/>
  <c r="C44" i="4"/>
  <c r="C42" i="4"/>
  <c r="AA7" i="2"/>
  <c r="AD6" i="2"/>
  <c r="Z7" i="2" s="1"/>
  <c r="AC6" i="2"/>
  <c r="Y7" i="2" s="1"/>
  <c r="AH6" i="2"/>
  <c r="AC5" i="2"/>
  <c r="AH5" i="2"/>
  <c r="AD5" i="2" s="1"/>
  <c r="M6" i="2"/>
  <c r="D61" i="2"/>
  <c r="D59" i="2"/>
  <c r="D60" i="2" s="1"/>
  <c r="D52" i="2"/>
  <c r="AB7" i="2" l="1"/>
  <c r="AL7" i="2"/>
  <c r="AH7" i="2" s="1"/>
  <c r="AE7" i="2"/>
  <c r="AM7" i="2"/>
  <c r="AI7" i="2" s="1"/>
  <c r="AK7" i="2"/>
  <c r="AF7" i="2" s="1"/>
  <c r="M7" i="2"/>
  <c r="D50" i="2"/>
  <c r="D51" i="2" s="1"/>
  <c r="D41" i="2"/>
  <c r="D40" i="2"/>
  <c r="AC7" i="2" l="1"/>
  <c r="AJ7" i="2"/>
  <c r="AD7" i="2" s="1"/>
  <c r="AG7" i="2"/>
  <c r="AC4" i="2"/>
  <c r="AF4" i="2"/>
  <c r="AD4" i="2" s="1"/>
  <c r="M8" i="2"/>
  <c r="Z8" i="2" l="1"/>
  <c r="AB8" i="2"/>
  <c r="AA8" i="2"/>
  <c r="Y8" i="2"/>
  <c r="AB5" i="2"/>
  <c r="Z5" i="2"/>
  <c r="AA5" i="2"/>
  <c r="Y5" i="2"/>
  <c r="M9" i="2"/>
  <c r="AM8" i="2" l="1"/>
  <c r="AJ8" i="2" s="1"/>
  <c r="AK8" i="2"/>
  <c r="AE8" i="2" s="1"/>
  <c r="AL8" i="2"/>
  <c r="AH8" i="2" s="1"/>
  <c r="AG8" i="2"/>
  <c r="AF8" i="2"/>
  <c r="M10" i="2"/>
  <c r="AI8" i="2" l="1"/>
  <c r="AC8" i="2" s="1"/>
  <c r="AD8" i="2"/>
  <c r="M11" i="2"/>
  <c r="AA9" i="2" l="1"/>
  <c r="Y9" i="2"/>
  <c r="AB9" i="2"/>
  <c r="Z9" i="2"/>
  <c r="M12" i="2"/>
  <c r="AK9" i="2" l="1"/>
  <c r="AE9" i="2" s="1"/>
  <c r="AL9" i="2"/>
  <c r="AH9" i="2" s="1"/>
  <c r="AM9" i="2"/>
  <c r="AJ9" i="2" s="1"/>
  <c r="AI9" i="2"/>
  <c r="AF9" i="2"/>
  <c r="M13" i="2"/>
  <c r="AG9" i="2" l="1"/>
  <c r="AC9" i="2" s="1"/>
  <c r="AD9" i="2"/>
  <c r="M14" i="2"/>
  <c r="Y10" i="2" l="1"/>
  <c r="AA10" i="2"/>
  <c r="Z10" i="2"/>
  <c r="AB10" i="2"/>
  <c r="M15" i="2"/>
  <c r="AG10" i="2" l="1"/>
  <c r="AK10" i="2"/>
  <c r="AE10" i="2" s="1"/>
  <c r="AL10" i="2"/>
  <c r="AH10" i="2" s="1"/>
  <c r="AM10" i="2"/>
  <c r="AI10" i="2" s="1"/>
  <c r="M16" i="2"/>
  <c r="AC10" i="2" l="1"/>
  <c r="AJ10" i="2"/>
  <c r="AF10" i="2"/>
  <c r="AD10" i="2" s="1"/>
  <c r="M17" i="2"/>
  <c r="Z11" i="2" l="1"/>
  <c r="AB11" i="2"/>
  <c r="Y11" i="2"/>
  <c r="AA11" i="2"/>
  <c r="M18" i="2"/>
  <c r="AL11" i="2" l="1"/>
  <c r="AH11" i="2" s="1"/>
  <c r="AI11" i="2"/>
  <c r="AM11" i="2"/>
  <c r="AK11" i="2"/>
  <c r="AE11" i="2" s="1"/>
  <c r="AJ11" i="2"/>
  <c r="M19" i="2"/>
  <c r="AF11" i="2" l="1"/>
  <c r="AD11" i="2" s="1"/>
  <c r="AG11" i="2"/>
  <c r="AC11" i="2" s="1"/>
  <c r="M20" i="2"/>
  <c r="AA12" i="2" l="1"/>
  <c r="Y12" i="2"/>
  <c r="AB12" i="2"/>
  <c r="Z12" i="2"/>
  <c r="M21" i="2"/>
  <c r="AM12" i="2" l="1"/>
  <c r="AJ12" i="2" s="1"/>
  <c r="AK12" i="2"/>
  <c r="AF12" i="2" s="1"/>
  <c r="AL12" i="2"/>
  <c r="AG12" i="2" s="1"/>
  <c r="M22" i="2"/>
  <c r="AH12" i="2" l="1"/>
  <c r="AD12" i="2" s="1"/>
  <c r="AI12" i="2"/>
  <c r="AE12" i="2"/>
  <c r="M23" i="2"/>
  <c r="AB13" i="2" l="1"/>
  <c r="Z13" i="2"/>
  <c r="AC12" i="2"/>
  <c r="M24" i="2"/>
  <c r="Y13" i="2" l="1"/>
  <c r="AA13" i="2"/>
  <c r="M25" i="2"/>
  <c r="AK13" i="2" l="1"/>
  <c r="AF13" i="2" s="1"/>
  <c r="AL13" i="2"/>
  <c r="AH13" i="2" s="1"/>
  <c r="AM13" i="2"/>
  <c r="AJ13" i="2" s="1"/>
  <c r="M26" i="2"/>
  <c r="AD13" i="2" l="1"/>
  <c r="AE13" i="2"/>
  <c r="AG13" i="2"/>
  <c r="AI13" i="2"/>
  <c r="M27" i="2"/>
  <c r="AC13" i="2" l="1"/>
  <c r="Z14" i="2"/>
  <c r="AB14" i="2"/>
  <c r="M28" i="2"/>
  <c r="AA14" i="2" l="1"/>
  <c r="Y14" i="2"/>
  <c r="M29" i="2"/>
  <c r="AK14" i="2" l="1"/>
  <c r="AF14" i="2" s="1"/>
  <c r="AL14" i="2"/>
  <c r="AH14" i="2" s="1"/>
  <c r="AI14" i="2"/>
  <c r="AM14" i="2"/>
  <c r="AJ14" i="2" s="1"/>
  <c r="M30" i="2"/>
  <c r="AD14" i="2" l="1"/>
  <c r="AE14" i="2"/>
  <c r="AG14" i="2"/>
  <c r="M31" i="2"/>
  <c r="AC14" i="2" l="1"/>
  <c r="AB15" i="2"/>
  <c r="Z15" i="2"/>
  <c r="M32" i="2"/>
  <c r="Y15" i="2" l="1"/>
  <c r="AA15" i="2"/>
  <c r="M33" i="2"/>
  <c r="AL15" i="2" l="1"/>
  <c r="AH15" i="2" s="1"/>
  <c r="AI15" i="2"/>
  <c r="AM15" i="2"/>
  <c r="AJ15" i="2" s="1"/>
  <c r="AK15" i="2"/>
  <c r="AF15" i="2" s="1"/>
  <c r="AD15" i="2" s="1"/>
  <c r="AG15" i="2"/>
  <c r="M34" i="2"/>
  <c r="AE15" i="2" l="1"/>
  <c r="AC15" i="2" s="1"/>
  <c r="AB16" i="2"/>
  <c r="Z16" i="2"/>
  <c r="M35" i="2"/>
  <c r="AA16" i="2" l="1"/>
  <c r="Y16" i="2"/>
  <c r="M36" i="2"/>
  <c r="AM16" i="2" l="1"/>
  <c r="AJ16" i="2" s="1"/>
  <c r="AK16" i="2"/>
  <c r="AF16" i="2" s="1"/>
  <c r="AL16" i="2"/>
  <c r="AH16" i="2" s="1"/>
  <c r="AG16" i="2"/>
  <c r="M37" i="2"/>
  <c r="AI16" i="2" l="1"/>
  <c r="AD16" i="2"/>
  <c r="AE16" i="2"/>
  <c r="AC16" i="2" s="1"/>
  <c r="M38" i="2"/>
  <c r="Y17" i="2" l="1"/>
  <c r="AA17" i="2"/>
  <c r="AB17" i="2"/>
  <c r="Z17" i="2"/>
  <c r="M39" i="2"/>
  <c r="AF17" i="2" l="1"/>
  <c r="AG17" i="2"/>
  <c r="AK17" i="2"/>
  <c r="AL17" i="2"/>
  <c r="AH17" i="2" s="1"/>
  <c r="AE17" i="2"/>
  <c r="AM17" i="2"/>
  <c r="AI17" i="2" s="1"/>
  <c r="M40" i="2"/>
  <c r="AC17" i="2" l="1"/>
  <c r="AJ17" i="2"/>
  <c r="AD17" i="2" s="1"/>
  <c r="M41" i="2"/>
  <c r="AB18" i="2" l="1"/>
  <c r="Z18" i="2"/>
  <c r="AA18" i="2"/>
  <c r="Y18" i="2"/>
  <c r="M42" i="2"/>
  <c r="AK18" i="2" l="1"/>
  <c r="AE18" i="2" s="1"/>
  <c r="AL18" i="2"/>
  <c r="AG18" i="2" s="1"/>
  <c r="AM18" i="2"/>
  <c r="AI18" i="2"/>
  <c r="AJ18" i="2"/>
  <c r="M43" i="2"/>
  <c r="AC18" i="2" l="1"/>
  <c r="AH18" i="2"/>
  <c r="AF18" i="2"/>
  <c r="AD18" i="2" s="1"/>
  <c r="M44" i="2"/>
  <c r="Z19" i="2" l="1"/>
  <c r="AB19" i="2"/>
  <c r="AA19" i="2"/>
  <c r="Y19" i="2"/>
  <c r="M45" i="2"/>
  <c r="AL19" i="2" l="1"/>
  <c r="AM19" i="2"/>
  <c r="AJ19" i="2" s="1"/>
  <c r="AG19" i="2"/>
  <c r="AK19" i="2"/>
  <c r="AE19" i="2" s="1"/>
  <c r="AH19" i="2"/>
  <c r="M46" i="2"/>
  <c r="AF19" i="2" l="1"/>
  <c r="AD19" i="2" s="1"/>
  <c r="AI19" i="2"/>
  <c r="AC19" i="2" s="1"/>
  <c r="M47" i="2"/>
  <c r="Y20" i="2" l="1"/>
  <c r="AA20" i="2"/>
  <c r="Z20" i="2"/>
  <c r="AB20" i="2"/>
  <c r="M48" i="2"/>
  <c r="AJ20" i="2" l="1"/>
  <c r="AI20" i="2"/>
  <c r="AM20" i="2"/>
  <c r="AG20" i="2"/>
  <c r="AK20" i="2"/>
  <c r="AE20" i="2" s="1"/>
  <c r="AC20" i="2" s="1"/>
  <c r="AL20" i="2"/>
  <c r="AH20" i="2" s="1"/>
  <c r="M49" i="2"/>
  <c r="AA21" i="2" l="1"/>
  <c r="Y21" i="2"/>
  <c r="AF20" i="2"/>
  <c r="AD20" i="2" s="1"/>
  <c r="M50" i="2"/>
  <c r="AB21" i="2" l="1"/>
  <c r="Z21" i="2"/>
  <c r="AL21" i="2"/>
  <c r="AG21" i="2" s="1"/>
  <c r="M51" i="2"/>
  <c r="AJ21" i="2" l="1"/>
  <c r="AH21" i="2"/>
  <c r="AM21" i="2"/>
  <c r="AI21" i="2" s="1"/>
  <c r="AK21" i="2"/>
  <c r="AE21" i="2" s="1"/>
  <c r="AC21" i="2" s="1"/>
  <c r="M52" i="2"/>
  <c r="AA22" i="2" l="1"/>
  <c r="Y22" i="2"/>
  <c r="AF21" i="2"/>
  <c r="AD21" i="2" s="1"/>
  <c r="M53" i="2"/>
  <c r="Z22" i="2" l="1"/>
  <c r="AB22" i="2"/>
  <c r="M54" i="2"/>
  <c r="AJ22" i="2" l="1"/>
  <c r="AF22" i="2"/>
  <c r="AM22" i="2"/>
  <c r="AI22" i="2" s="1"/>
  <c r="AK22" i="2"/>
  <c r="AE22" i="2" s="1"/>
  <c r="AL22" i="2"/>
  <c r="AG22" i="2" s="1"/>
  <c r="M55" i="2"/>
  <c r="AH22" i="2" l="1"/>
  <c r="AD22" i="2" s="1"/>
  <c r="AC22" i="2"/>
  <c r="M56" i="2"/>
  <c r="Z23" i="2" l="1"/>
  <c r="AB23" i="2"/>
  <c r="AA23" i="2"/>
  <c r="Y23" i="2"/>
  <c r="M57" i="2"/>
  <c r="AL23" i="2" l="1"/>
  <c r="AG23" i="2" s="1"/>
  <c r="AE23" i="2"/>
  <c r="AM23" i="2"/>
  <c r="AI23" i="2" s="1"/>
  <c r="AK23" i="2"/>
  <c r="AJ23" i="2"/>
  <c r="AF23" i="2"/>
  <c r="M58" i="2"/>
  <c r="AC23" i="2" l="1"/>
  <c r="AH23" i="2"/>
  <c r="AD23" i="2" s="1"/>
  <c r="M59" i="2"/>
  <c r="Z24" i="2" l="1"/>
  <c r="AB24" i="2"/>
  <c r="AA24" i="2"/>
  <c r="Y24" i="2"/>
  <c r="M60" i="2"/>
  <c r="AM24" i="2" l="1"/>
  <c r="AI24" i="2" s="1"/>
  <c r="AK24" i="2"/>
  <c r="AE24" i="2" s="1"/>
  <c r="AC24" i="2" s="1"/>
  <c r="AL24" i="2"/>
  <c r="AH24" i="2" s="1"/>
  <c r="AG24" i="2"/>
  <c r="AF24" i="2"/>
  <c r="AJ24" i="2"/>
  <c r="M61" i="2"/>
  <c r="Y25" i="2" l="1"/>
  <c r="AA25" i="2"/>
  <c r="AD24" i="2"/>
  <c r="M62" i="2"/>
  <c r="AB25" i="2" l="1"/>
  <c r="Z25" i="2"/>
  <c r="M63" i="2"/>
  <c r="AH25" i="2" l="1"/>
  <c r="AK25" i="2"/>
  <c r="AE25" i="2" s="1"/>
  <c r="AL25" i="2"/>
  <c r="AG25" i="2" s="1"/>
  <c r="AM25" i="2"/>
  <c r="AI25" i="2" s="1"/>
  <c r="M64" i="2"/>
  <c r="AJ25" i="2" l="1"/>
  <c r="AC25" i="2"/>
  <c r="AF25" i="2"/>
  <c r="AD25" i="2" s="1"/>
  <c r="M65" i="2"/>
  <c r="Z26" i="2" l="1"/>
  <c r="AB26" i="2"/>
  <c r="AA26" i="2"/>
  <c r="Y26" i="2"/>
  <c r="M66" i="2"/>
  <c r="AK26" i="2" l="1"/>
  <c r="AL26" i="2"/>
  <c r="AG26" i="2" s="1"/>
  <c r="AE26" i="2"/>
  <c r="AM26" i="2"/>
  <c r="AI26" i="2"/>
  <c r="AH26" i="2"/>
  <c r="AF26" i="2"/>
  <c r="AJ26" i="2"/>
  <c r="M67" i="2"/>
  <c r="AD26" i="2" l="1"/>
  <c r="AC26" i="2"/>
  <c r="M68" i="2"/>
  <c r="Y27" i="2" l="1"/>
  <c r="AA27" i="2"/>
  <c r="AB27" i="2"/>
  <c r="Z27" i="2"/>
  <c r="M69" i="2"/>
  <c r="AF27" i="2" l="1"/>
  <c r="AJ27" i="2"/>
  <c r="AL27" i="2"/>
  <c r="AH27" i="2" s="1"/>
  <c r="AE27" i="2"/>
  <c r="AM27" i="2"/>
  <c r="AI27" i="2" s="1"/>
  <c r="AG27" i="2"/>
  <c r="AK27" i="2"/>
  <c r="M70" i="2"/>
  <c r="AD27" i="2" l="1"/>
  <c r="AC27" i="2"/>
  <c r="M71" i="2"/>
  <c r="AA28" i="2" l="1"/>
  <c r="Y28" i="2"/>
  <c r="AB28" i="2"/>
  <c r="Z28" i="2"/>
  <c r="M72" i="2"/>
  <c r="AM28" i="2" l="1"/>
  <c r="AJ28" i="2" s="1"/>
  <c r="AK28" i="2"/>
  <c r="AF28" i="2" s="1"/>
  <c r="AL28" i="2"/>
  <c r="AG28" i="2" s="1"/>
  <c r="M73" i="2"/>
  <c r="AH28" i="2" l="1"/>
  <c r="AD28" i="2" s="1"/>
  <c r="AI28" i="2"/>
  <c r="AE28" i="2"/>
  <c r="AC28" i="2" s="1"/>
  <c r="M74" i="2"/>
  <c r="AB29" i="2" l="1"/>
  <c r="Z29" i="2"/>
  <c r="Y29" i="2"/>
  <c r="AA29" i="2"/>
  <c r="M75" i="2"/>
  <c r="AL29" i="2" l="1"/>
  <c r="AH29" i="2" s="1"/>
  <c r="AI29" i="2"/>
  <c r="AM29" i="2"/>
  <c r="AG29" i="2"/>
  <c r="AK29" i="2"/>
  <c r="AF29" i="2" s="1"/>
  <c r="AD29" i="2" s="1"/>
  <c r="AJ29" i="2"/>
  <c r="M76" i="2"/>
  <c r="AB30" i="2" l="1"/>
  <c r="Z30" i="2"/>
  <c r="AE29" i="2"/>
  <c r="AC29" i="2" s="1"/>
  <c r="M77" i="2"/>
  <c r="AA30" i="2" l="1"/>
  <c r="Y30" i="2"/>
  <c r="M78" i="2"/>
  <c r="AM30" i="2" l="1"/>
  <c r="AJ30" i="2" s="1"/>
  <c r="AK30" i="2"/>
  <c r="AF30" i="2" s="1"/>
  <c r="AL30" i="2"/>
  <c r="AH30" i="2" s="1"/>
  <c r="M79" i="2"/>
  <c r="AD30" i="2" l="1"/>
  <c r="AI30" i="2"/>
  <c r="AG30" i="2"/>
  <c r="AE30" i="2"/>
  <c r="M80" i="2"/>
  <c r="AC30" i="2" l="1"/>
  <c r="Z31" i="2"/>
  <c r="AB31" i="2"/>
  <c r="M81" i="2"/>
  <c r="Y31" i="2" l="1"/>
  <c r="AA31" i="2"/>
  <c r="M82" i="2"/>
  <c r="AK31" i="2" l="1"/>
  <c r="AF31" i="2" s="1"/>
  <c r="AL31" i="2"/>
  <c r="AH31" i="2" s="1"/>
  <c r="AM31" i="2"/>
  <c r="AJ31" i="2" s="1"/>
  <c r="M83" i="2"/>
  <c r="AG31" i="2" l="1"/>
  <c r="AD31" i="2"/>
  <c r="AI31" i="2"/>
  <c r="AE31" i="2"/>
  <c r="AC31" i="2" s="1"/>
  <c r="M84" i="2"/>
  <c r="AA32" i="2" l="1"/>
  <c r="Y32" i="2"/>
  <c r="AB32" i="2"/>
  <c r="Z32" i="2"/>
  <c r="M85" i="2"/>
  <c r="AK32" i="2" l="1"/>
  <c r="AL32" i="2"/>
  <c r="AG32" i="2" s="1"/>
  <c r="AE32" i="2"/>
  <c r="AM32" i="2"/>
  <c r="AI32" i="2" s="1"/>
  <c r="AF32" i="2"/>
  <c r="AJ32" i="2"/>
  <c r="M86" i="2"/>
  <c r="AC32" i="2" l="1"/>
  <c r="AH32" i="2"/>
  <c r="AD32" i="2" s="1"/>
  <c r="M87" i="2"/>
  <c r="AB33" i="2" l="1"/>
  <c r="Z33" i="2"/>
  <c r="AA33" i="2"/>
  <c r="Y33" i="2"/>
  <c r="M88" i="2"/>
  <c r="AL33" i="2" l="1"/>
  <c r="AH33" i="2" s="1"/>
  <c r="AI33" i="2"/>
  <c r="AM33" i="2"/>
  <c r="AG33" i="2"/>
  <c r="AK33" i="2"/>
  <c r="AE33" i="2" s="1"/>
  <c r="AC33" i="2" s="1"/>
  <c r="AJ33" i="2"/>
  <c r="M89" i="2"/>
  <c r="AA34" i="2" l="1"/>
  <c r="Y34" i="2"/>
  <c r="AF33" i="2"/>
  <c r="AD33" i="2" s="1"/>
  <c r="M90" i="2"/>
  <c r="AB34" i="2" l="1"/>
  <c r="Z34" i="2"/>
  <c r="AK34" i="2"/>
  <c r="AE34" i="2" s="1"/>
  <c r="M91" i="2"/>
  <c r="AF34" i="2" l="1"/>
  <c r="AL34" i="2"/>
  <c r="AG34" i="2" s="1"/>
  <c r="AC34" i="2" s="1"/>
  <c r="AM34" i="2"/>
  <c r="AI34" i="2" s="1"/>
  <c r="M92" i="2"/>
  <c r="Y35" i="2" l="1"/>
  <c r="AA35" i="2"/>
  <c r="AJ34" i="2"/>
  <c r="AD34" i="2" s="1"/>
  <c r="AH34" i="2"/>
  <c r="M93" i="2"/>
  <c r="Z35" i="2" l="1"/>
  <c r="AB35" i="2"/>
  <c r="AL35" i="2"/>
  <c r="AG35" i="2" s="1"/>
  <c r="AI35" i="2"/>
  <c r="AK35" i="2"/>
  <c r="AE35" i="2" s="1"/>
  <c r="AM35" i="2"/>
  <c r="M94" i="2"/>
  <c r="AC35" i="2" l="1"/>
  <c r="AF35" i="2"/>
  <c r="AD35" i="2" s="1"/>
  <c r="AB36" i="2" s="1"/>
  <c r="AJ35" i="2"/>
  <c r="AH35" i="2"/>
  <c r="M95" i="2"/>
  <c r="Z36" i="2" l="1"/>
  <c r="AA36" i="2"/>
  <c r="Y36" i="2"/>
  <c r="M96" i="2"/>
  <c r="AK36" i="2" l="1"/>
  <c r="AE36" i="2"/>
  <c r="AI36" i="2"/>
  <c r="AM36" i="2"/>
  <c r="AL36" i="2"/>
  <c r="AG36" i="2" s="1"/>
  <c r="AJ36" i="2"/>
  <c r="AF36" i="2"/>
  <c r="AD36" i="2" s="1"/>
  <c r="AB37" i="2" s="1"/>
  <c r="AH36" i="2"/>
  <c r="M97" i="2"/>
  <c r="AC36" i="2" l="1"/>
  <c r="Z37" i="2"/>
  <c r="M98" i="2"/>
  <c r="Y37" i="2" l="1"/>
  <c r="AA37" i="2"/>
  <c r="M99" i="2"/>
  <c r="AL37" i="2" l="1"/>
  <c r="AH37" i="2" s="1"/>
  <c r="AK37" i="2"/>
  <c r="AF37" i="2" s="1"/>
  <c r="AD37" i="2" s="1"/>
  <c r="AG37" i="2"/>
  <c r="AM37" i="2"/>
  <c r="AJ37" i="2" s="1"/>
  <c r="M100" i="2"/>
  <c r="AB38" i="2" l="1"/>
  <c r="Z38" i="2"/>
  <c r="AI37" i="2"/>
  <c r="AE37" i="2"/>
  <c r="AC37" i="2" s="1"/>
  <c r="M101" i="2"/>
  <c r="AA38" i="2" l="1"/>
  <c r="Y38" i="2"/>
  <c r="M102" i="2"/>
  <c r="AM38" i="2" l="1"/>
  <c r="AJ38" i="2" s="1"/>
  <c r="AK38" i="2"/>
  <c r="AF38" i="2" s="1"/>
  <c r="AD38" i="2" s="1"/>
  <c r="AL38" i="2"/>
  <c r="AH38" i="2" s="1"/>
  <c r="M103" i="2"/>
  <c r="Z39" i="2" l="1"/>
  <c r="AB39" i="2"/>
  <c r="AI38" i="2"/>
  <c r="AG38" i="2"/>
  <c r="AE38" i="2"/>
  <c r="M104" i="2"/>
  <c r="AC38" i="2" l="1"/>
  <c r="M105" i="2"/>
  <c r="Y39" i="2" l="1"/>
  <c r="AA39" i="2"/>
  <c r="M106" i="2"/>
  <c r="AK39" i="2" l="1"/>
  <c r="AF39" i="2" s="1"/>
  <c r="AL39" i="2"/>
  <c r="AH39" i="2" s="1"/>
  <c r="AM39" i="2"/>
  <c r="AJ39" i="2" s="1"/>
  <c r="M107" i="2"/>
  <c r="AD39" i="2" l="1"/>
  <c r="AI39" i="2"/>
  <c r="AE39" i="2"/>
  <c r="AG39" i="2"/>
  <c r="M108" i="2"/>
  <c r="AC39" i="2" l="1"/>
  <c r="AB40" i="2"/>
  <c r="Z40" i="2"/>
  <c r="M109" i="2"/>
  <c r="AA40" i="2" l="1"/>
  <c r="Y40" i="2"/>
  <c r="M110" i="2"/>
  <c r="AK40" i="2" l="1"/>
  <c r="AF40" i="2" s="1"/>
  <c r="AL40" i="2"/>
  <c r="AH40" i="2" s="1"/>
  <c r="AM40" i="2"/>
  <c r="AJ40" i="2" s="1"/>
  <c r="AI40" i="2"/>
  <c r="M111" i="2"/>
  <c r="AD40" i="2" l="1"/>
  <c r="AE40" i="2"/>
  <c r="AG40" i="2"/>
  <c r="M112" i="2"/>
  <c r="AC40" i="2" l="1"/>
  <c r="AB41" i="2"/>
  <c r="Z41" i="2"/>
  <c r="M113" i="2"/>
  <c r="Y41" i="2" l="1"/>
  <c r="AA41" i="2"/>
  <c r="M114" i="2"/>
  <c r="AK41" i="2" l="1"/>
  <c r="AF41" i="2" s="1"/>
  <c r="AD41" i="2" s="1"/>
  <c r="AL41" i="2"/>
  <c r="AH41" i="2" s="1"/>
  <c r="AM41" i="2"/>
  <c r="AJ41" i="2" s="1"/>
  <c r="M115" i="2"/>
  <c r="Z42" i="2" l="1"/>
  <c r="AB42" i="2"/>
  <c r="AI41" i="2"/>
  <c r="AG41" i="2"/>
  <c r="AE41" i="2"/>
  <c r="M116" i="2"/>
  <c r="AC41" i="2" l="1"/>
  <c r="M117" i="2"/>
  <c r="AA42" i="2" l="1"/>
  <c r="Y42" i="2"/>
  <c r="M118" i="2"/>
  <c r="AL42" i="2" l="1"/>
  <c r="AH42" i="2" s="1"/>
  <c r="AM42" i="2"/>
  <c r="AJ42" i="2" s="1"/>
  <c r="AK42" i="2"/>
  <c r="AF42" i="2" s="1"/>
  <c r="AD42" i="2" s="1"/>
  <c r="M119" i="2"/>
  <c r="AB43" i="2" l="1"/>
  <c r="Z43" i="2"/>
  <c r="AI42" i="2"/>
  <c r="AG42" i="2"/>
  <c r="AE42" i="2"/>
  <c r="M120" i="2"/>
  <c r="AC42" i="2" l="1"/>
  <c r="M121" i="2"/>
  <c r="Y43" i="2" l="1"/>
  <c r="AA43" i="2"/>
  <c r="M122" i="2"/>
  <c r="AM43" i="2" l="1"/>
  <c r="AJ43" i="2" s="1"/>
  <c r="AK43" i="2"/>
  <c r="AF43" i="2" s="1"/>
  <c r="AL43" i="2"/>
  <c r="AH43" i="2" s="1"/>
  <c r="M123" i="2"/>
  <c r="AG43" i="2" l="1"/>
  <c r="AD43" i="2"/>
  <c r="AI43" i="2"/>
  <c r="AE43" i="2"/>
  <c r="M124" i="2"/>
  <c r="AC43" i="2" l="1"/>
  <c r="AB44" i="2"/>
  <c r="Z44" i="2"/>
  <c r="M125" i="2"/>
  <c r="AA44" i="2" l="1"/>
  <c r="Y44" i="2"/>
  <c r="M126" i="2"/>
  <c r="AG44" i="2" l="1"/>
  <c r="AK44" i="2"/>
  <c r="AF44" i="2" s="1"/>
  <c r="AD44" i="2" s="1"/>
  <c r="AL44" i="2"/>
  <c r="AH44" i="2" s="1"/>
  <c r="AM44" i="2"/>
  <c r="AJ44" i="2" s="1"/>
  <c r="M127" i="2"/>
  <c r="AB45" i="2" l="1"/>
  <c r="Z45" i="2"/>
  <c r="AI44" i="2"/>
  <c r="AE44" i="2"/>
  <c r="AC44" i="2" s="1"/>
  <c r="M128" i="2"/>
  <c r="AA45" i="2" l="1"/>
  <c r="Y45" i="2"/>
  <c r="M129" i="2"/>
  <c r="AK45" i="2" l="1"/>
  <c r="AF45" i="2" s="1"/>
  <c r="AL45" i="2"/>
  <c r="AH45" i="2" s="1"/>
  <c r="AE45" i="2"/>
  <c r="AM45" i="2"/>
  <c r="AJ45" i="2" s="1"/>
  <c r="M130" i="2"/>
  <c r="AD45" i="2" l="1"/>
  <c r="AI45" i="2"/>
  <c r="AG45" i="2"/>
  <c r="AC45" i="2" s="1"/>
  <c r="M131" i="2"/>
  <c r="AA46" i="2" l="1"/>
  <c r="Y46" i="2"/>
  <c r="Z46" i="2"/>
  <c r="AB46" i="2"/>
  <c r="M132" i="2"/>
  <c r="AJ46" i="2" l="1"/>
  <c r="AL46" i="2"/>
  <c r="AH46" i="2" s="1"/>
  <c r="AI46" i="2"/>
  <c r="AM46" i="2"/>
  <c r="AG46" i="2"/>
  <c r="AK46" i="2"/>
  <c r="AE46" i="2" s="1"/>
  <c r="AC46" i="2" s="1"/>
  <c r="M133" i="2"/>
  <c r="AA47" i="2" l="1"/>
  <c r="Y47" i="2"/>
  <c r="AF46" i="2"/>
  <c r="AD46" i="2" s="1"/>
  <c r="M134" i="2"/>
  <c r="AB47" i="2" l="1"/>
  <c r="Z47" i="2"/>
  <c r="AI47" i="2"/>
  <c r="AM47" i="2"/>
  <c r="AG47" i="2"/>
  <c r="AK47" i="2"/>
  <c r="AE47" i="2" s="1"/>
  <c r="AC47" i="2" s="1"/>
  <c r="AL47" i="2"/>
  <c r="M135" i="2"/>
  <c r="Y48" i="2" l="1"/>
  <c r="AA48" i="2"/>
  <c r="AF47" i="2"/>
  <c r="AJ47" i="2"/>
  <c r="AH47" i="2"/>
  <c r="M136" i="2"/>
  <c r="AD47" i="2" l="1"/>
  <c r="M137" i="2"/>
  <c r="Z48" i="2" l="1"/>
  <c r="AB48" i="2"/>
  <c r="M138" i="2"/>
  <c r="AK48" i="2" l="1"/>
  <c r="AE48" i="2" s="1"/>
  <c r="AM48" i="2"/>
  <c r="AI48" i="2" s="1"/>
  <c r="AL48" i="2"/>
  <c r="AG48" i="2" s="1"/>
  <c r="M139" i="2"/>
  <c r="AC48" i="2" l="1"/>
  <c r="AF48" i="2"/>
  <c r="AJ48" i="2"/>
  <c r="AH48" i="2"/>
  <c r="M140" i="2"/>
  <c r="AD48" i="2" l="1"/>
  <c r="AA49" i="2"/>
  <c r="Y49" i="2"/>
  <c r="M141" i="2"/>
  <c r="AL49" i="2" l="1"/>
  <c r="AG49" i="2" s="1"/>
  <c r="AB49" i="2"/>
  <c r="Z49" i="2"/>
  <c r="M142" i="2"/>
  <c r="AH49" i="2" l="1"/>
  <c r="AM49" i="2"/>
  <c r="AI49" i="2" s="1"/>
  <c r="AK49" i="2"/>
  <c r="AE49" i="2" s="1"/>
  <c r="M143" i="2"/>
  <c r="AJ49" i="2" l="1"/>
  <c r="AF49" i="2"/>
  <c r="AC49" i="2"/>
  <c r="M144" i="2"/>
  <c r="Y50" i="2" l="1"/>
  <c r="AA50" i="2"/>
  <c r="AD49" i="2"/>
  <c r="M145" i="2"/>
  <c r="Z50" i="2" l="1"/>
  <c r="AB50" i="2"/>
  <c r="AL50" i="2"/>
  <c r="AG50" i="2" s="1"/>
  <c r="AM50" i="2"/>
  <c r="AI50" i="2" s="1"/>
  <c r="AK50" i="2"/>
  <c r="AE50" i="2" s="1"/>
  <c r="M146" i="2"/>
  <c r="AC50" i="2" l="1"/>
  <c r="AH50" i="2"/>
  <c r="AF50" i="2"/>
  <c r="AD50" i="2" s="1"/>
  <c r="AB51" i="2" s="1"/>
  <c r="AJ50" i="2"/>
  <c r="M147" i="2"/>
  <c r="Z51" i="2" l="1"/>
  <c r="AA51" i="2"/>
  <c r="Y51" i="2"/>
  <c r="M148" i="2"/>
  <c r="AM51" i="2" l="1"/>
  <c r="AJ51" i="2" s="1"/>
  <c r="AK51" i="2"/>
  <c r="AE51" i="2" s="1"/>
  <c r="AL51" i="2"/>
  <c r="AG51" i="2" s="1"/>
  <c r="AF51" i="2"/>
  <c r="M149" i="2"/>
  <c r="AH51" i="2" l="1"/>
  <c r="AD51" i="2" s="1"/>
  <c r="AI51" i="2"/>
  <c r="AC51" i="2" s="1"/>
  <c r="M150" i="2"/>
  <c r="Y52" i="2" l="1"/>
  <c r="AA52" i="2"/>
  <c r="AB52" i="2"/>
  <c r="Z52" i="2"/>
  <c r="M151" i="2"/>
  <c r="AG52" i="2" l="1"/>
  <c r="AL52" i="2"/>
  <c r="AH52" i="2" s="1"/>
  <c r="AK52" i="2"/>
  <c r="AF52" i="2" s="1"/>
  <c r="AM52" i="2"/>
  <c r="AJ52" i="2" s="1"/>
  <c r="AE52" i="2"/>
  <c r="M152" i="2"/>
  <c r="AD52" i="2" l="1"/>
  <c r="AI52" i="2"/>
  <c r="AC52" i="2"/>
  <c r="M153" i="2"/>
  <c r="AA53" i="2" l="1"/>
  <c r="Y53" i="2"/>
  <c r="AB53" i="2"/>
  <c r="Z53" i="2"/>
  <c r="M154" i="2"/>
  <c r="AK53" i="2" l="1"/>
  <c r="AF53" i="2" s="1"/>
  <c r="AE53" i="2"/>
  <c r="AM53" i="2"/>
  <c r="AI53" i="2" s="1"/>
  <c r="AL53" i="2"/>
  <c r="AH53" i="2" s="1"/>
  <c r="M155" i="2"/>
  <c r="AG53" i="2" l="1"/>
  <c r="AJ53" i="2"/>
  <c r="AD53" i="2" s="1"/>
  <c r="AC53" i="2"/>
  <c r="M156" i="2"/>
  <c r="Z54" i="2" l="1"/>
  <c r="AB54" i="2"/>
  <c r="AA54" i="2"/>
  <c r="Y54" i="2"/>
  <c r="M157" i="2"/>
  <c r="AL54" i="2" l="1"/>
  <c r="AG54" i="2" s="1"/>
  <c r="AK54" i="2"/>
  <c r="AE54" i="2"/>
  <c r="AM54" i="2"/>
  <c r="AI54" i="2"/>
  <c r="AF54" i="2"/>
  <c r="AJ54" i="2"/>
  <c r="M158" i="2"/>
  <c r="AC54" i="2" l="1"/>
  <c r="AH54" i="2"/>
  <c r="AD54" i="2"/>
  <c r="M159" i="2"/>
  <c r="AB55" i="2" l="1"/>
  <c r="Z55" i="2"/>
  <c r="Y55" i="2"/>
  <c r="AA55" i="2"/>
  <c r="M160" i="2"/>
  <c r="AM55" i="2" l="1"/>
  <c r="AI55" i="2" s="1"/>
  <c r="AK55" i="2"/>
  <c r="AE55" i="2" s="1"/>
  <c r="AC55" i="2" s="1"/>
  <c r="AG55" i="2"/>
  <c r="AL55" i="2"/>
  <c r="AJ55" i="2"/>
  <c r="AH55" i="2"/>
  <c r="M161" i="2"/>
  <c r="Y56" i="2" l="1"/>
  <c r="AA56" i="2"/>
  <c r="AF55" i="2"/>
  <c r="AD55" i="2" s="1"/>
  <c r="M162" i="2"/>
  <c r="Z56" i="2" l="1"/>
  <c r="AK56" i="2" s="1"/>
  <c r="AE56" i="2" s="1"/>
  <c r="AC56" i="2" s="1"/>
  <c r="AB56" i="2"/>
  <c r="AL56" i="2"/>
  <c r="AG56" i="2" s="1"/>
  <c r="AM56" i="2"/>
  <c r="AI56" i="2" s="1"/>
  <c r="M163" i="2"/>
  <c r="AA57" i="2" l="1"/>
  <c r="Y57" i="2"/>
  <c r="AF56" i="2"/>
  <c r="AD56" i="2" s="1"/>
  <c r="AB57" i="2" s="1"/>
  <c r="AJ56" i="2"/>
  <c r="AH56" i="2"/>
  <c r="M164" i="2"/>
  <c r="Z57" i="2" l="1"/>
  <c r="AK57" i="2"/>
  <c r="AE57" i="2" s="1"/>
  <c r="AL57" i="2"/>
  <c r="AG57" i="2" s="1"/>
  <c r="AM57" i="2"/>
  <c r="AI57" i="2"/>
  <c r="M165" i="2"/>
  <c r="AC57" i="2" l="1"/>
  <c r="AF57" i="2"/>
  <c r="AH57" i="2"/>
  <c r="AJ57" i="2"/>
  <c r="M166" i="2"/>
  <c r="AA58" i="2" l="1"/>
  <c r="Y58" i="2"/>
  <c r="AD57" i="2"/>
  <c r="M167" i="2"/>
  <c r="AB58" i="2" l="1"/>
  <c r="Z58" i="2"/>
  <c r="AL58" i="2"/>
  <c r="AG58" i="2" s="1"/>
  <c r="M168" i="2"/>
  <c r="AH58" i="2" l="1"/>
  <c r="AF58" i="2"/>
  <c r="AK58" i="2"/>
  <c r="AE58" i="2" s="1"/>
  <c r="AC58" i="2" s="1"/>
  <c r="AM58" i="2"/>
  <c r="AI58" i="2" s="1"/>
  <c r="M169" i="2"/>
  <c r="AJ58" i="2" l="1"/>
  <c r="AD58" i="2" s="1"/>
  <c r="AA59" i="2"/>
  <c r="Y59" i="2"/>
  <c r="M170" i="2"/>
  <c r="Z59" i="2" l="1"/>
  <c r="AB59" i="2"/>
  <c r="AM59" i="2"/>
  <c r="AI59" i="2" s="1"/>
  <c r="AK59" i="2"/>
  <c r="AE59" i="2" s="1"/>
  <c r="AC59" i="2" s="1"/>
  <c r="AL59" i="2"/>
  <c r="AG59" i="2" s="1"/>
  <c r="M171" i="2"/>
  <c r="AA60" i="2" l="1"/>
  <c r="Y60" i="2"/>
  <c r="AH59" i="2"/>
  <c r="AJ59" i="2"/>
  <c r="AF59" i="2"/>
  <c r="M172" i="2"/>
  <c r="AD59" i="2" l="1"/>
  <c r="M173" i="2"/>
  <c r="Z60" i="2" l="1"/>
  <c r="AB60" i="2"/>
  <c r="M174" i="2"/>
  <c r="AL60" i="2" l="1"/>
  <c r="AG60" i="2" s="1"/>
  <c r="AM60" i="2"/>
  <c r="AI60" i="2" s="1"/>
  <c r="AK60" i="2"/>
  <c r="AE60" i="2" s="1"/>
  <c r="AC60" i="2" s="1"/>
  <c r="M175" i="2"/>
  <c r="Y61" i="2" l="1"/>
  <c r="AA61" i="2"/>
  <c r="AJ60" i="2"/>
  <c r="AF60" i="2"/>
  <c r="AD60" i="2" s="1"/>
  <c r="AH60" i="2"/>
  <c r="M176" i="2"/>
  <c r="AB61" i="2" l="1"/>
  <c r="Z61" i="2"/>
  <c r="AL61" i="2"/>
  <c r="AG61" i="2" s="1"/>
  <c r="AM61" i="2"/>
  <c r="AI61" i="2" s="1"/>
  <c r="M177" i="2"/>
  <c r="AJ61" i="2" l="1"/>
  <c r="AF61" i="2"/>
  <c r="AH61" i="2"/>
  <c r="AK61" i="2"/>
  <c r="AE61" i="2" s="1"/>
  <c r="AC61" i="2" s="1"/>
  <c r="M178" i="2"/>
  <c r="AD61" i="2" l="1"/>
  <c r="Y62" i="2"/>
  <c r="AA62" i="2"/>
  <c r="M179" i="2"/>
  <c r="AK62" i="2" l="1"/>
  <c r="AL62" i="2"/>
  <c r="AG62" i="2" s="1"/>
  <c r="AM62" i="2"/>
  <c r="AI62" i="2" s="1"/>
  <c r="AE62" i="2"/>
  <c r="Z62" i="2"/>
  <c r="AB62" i="2"/>
  <c r="M180" i="2"/>
  <c r="AC62" i="2" l="1"/>
  <c r="AH62" i="2"/>
  <c r="AF62" i="2"/>
  <c r="AD62" i="2" s="1"/>
  <c r="Z63" i="2" s="1"/>
  <c r="AJ62" i="2"/>
  <c r="M181" i="2"/>
  <c r="AB63" i="2" l="1"/>
  <c r="AA63" i="2"/>
  <c r="Y63" i="2"/>
  <c r="M182" i="2"/>
  <c r="AL63" i="2" l="1"/>
  <c r="AH63" i="2" s="1"/>
  <c r="AM63" i="2"/>
  <c r="AJ63" i="2" s="1"/>
  <c r="AG63" i="2"/>
  <c r="AK63" i="2"/>
  <c r="AF63" i="2" s="1"/>
  <c r="M183" i="2"/>
  <c r="AI63" i="2" l="1"/>
  <c r="AD63" i="2"/>
  <c r="AE63" i="2"/>
  <c r="AC63" i="2" s="1"/>
  <c r="M184" i="2"/>
  <c r="Z64" i="2" l="1"/>
  <c r="AB64" i="2"/>
  <c r="Y64" i="2"/>
  <c r="AA64" i="2"/>
  <c r="M185" i="2"/>
  <c r="AM64" i="2" l="1"/>
  <c r="AI64" i="2" s="1"/>
  <c r="AK64" i="2"/>
  <c r="AF64" i="2" s="1"/>
  <c r="AL64" i="2"/>
  <c r="AH64" i="2" s="1"/>
  <c r="M186" i="2"/>
  <c r="AJ64" i="2" l="1"/>
  <c r="AD64" i="2" s="1"/>
  <c r="AG64" i="2"/>
  <c r="AE64" i="2"/>
  <c r="AC64" i="2" s="1"/>
  <c r="M187" i="2"/>
  <c r="AB65" i="2" l="1"/>
  <c r="Z65" i="2"/>
  <c r="AA65" i="2"/>
  <c r="Y65" i="2"/>
  <c r="M188" i="2"/>
  <c r="AK65" i="2" l="1"/>
  <c r="AE65" i="2" s="1"/>
  <c r="AC65" i="2" s="1"/>
  <c r="AL65" i="2"/>
  <c r="AG65" i="2" s="1"/>
  <c r="AM65" i="2"/>
  <c r="AI65" i="2" s="1"/>
  <c r="M189" i="2"/>
  <c r="Y66" i="2" l="1"/>
  <c r="AA66" i="2"/>
  <c r="AH65" i="2"/>
  <c r="AJ65" i="2"/>
  <c r="AF65" i="2"/>
  <c r="AD65" i="2" s="1"/>
  <c r="M190" i="2"/>
  <c r="AB66" i="2" l="1"/>
  <c r="Z66" i="2"/>
  <c r="AG66" i="2"/>
  <c r="AK66" i="2"/>
  <c r="AE66" i="2" s="1"/>
  <c r="AC66" i="2" s="1"/>
  <c r="AL66" i="2"/>
  <c r="AM66" i="2"/>
  <c r="AI66" i="2" s="1"/>
  <c r="M191" i="2"/>
  <c r="Y67" i="2" l="1"/>
  <c r="AA67" i="2"/>
  <c r="AH66" i="2"/>
  <c r="AF66" i="2"/>
  <c r="AJ66" i="2"/>
  <c r="M192" i="2"/>
  <c r="AD66" i="2" l="1"/>
  <c r="M193" i="2"/>
  <c r="AB67" i="2" l="1"/>
  <c r="Z67" i="2"/>
  <c r="M194" i="2"/>
  <c r="AJ67" i="2" l="1"/>
  <c r="AK67" i="2"/>
  <c r="AE67" i="2" s="1"/>
  <c r="AM67" i="2"/>
  <c r="AI67" i="2" s="1"/>
  <c r="AL67" i="2"/>
  <c r="AG67" i="2" s="1"/>
  <c r="M195" i="2"/>
  <c r="AF67" i="2" l="1"/>
  <c r="AD67" i="2" s="1"/>
  <c r="AC67" i="2"/>
  <c r="AH67" i="2"/>
  <c r="M196" i="2"/>
  <c r="AA68" i="2" l="1"/>
  <c r="Y68" i="2"/>
  <c r="AB68" i="2"/>
  <c r="Z68" i="2"/>
  <c r="M197" i="2"/>
  <c r="AM68" i="2" l="1"/>
  <c r="AJ68" i="2" s="1"/>
  <c r="AK68" i="2"/>
  <c r="AF68" i="2" s="1"/>
  <c r="AL68" i="2"/>
  <c r="AG68" i="2" s="1"/>
  <c r="M198" i="2"/>
  <c r="AH68" i="2" l="1"/>
  <c r="AD68" i="2" s="1"/>
  <c r="AI68" i="2"/>
  <c r="AE68" i="2"/>
  <c r="AC68" i="2" s="1"/>
  <c r="M199" i="2"/>
  <c r="AB69" i="2" l="1"/>
  <c r="Z69" i="2"/>
  <c r="Y69" i="2"/>
  <c r="AA69" i="2"/>
  <c r="M200" i="2"/>
  <c r="AK69" i="2" l="1"/>
  <c r="AL69" i="2"/>
  <c r="AG69" i="2" s="1"/>
  <c r="AI69" i="2"/>
  <c r="AM69" i="2"/>
  <c r="AE69" i="2"/>
  <c r="AF69" i="2"/>
  <c r="AJ69" i="2"/>
  <c r="AH69" i="2"/>
  <c r="M201" i="2"/>
  <c r="AD69" i="2" l="1"/>
  <c r="AC69" i="2"/>
  <c r="M202" i="2"/>
  <c r="Y70" i="2" l="1"/>
  <c r="AA70" i="2"/>
  <c r="Z70" i="2"/>
  <c r="AB70" i="2"/>
  <c r="M203" i="2"/>
  <c r="AH70" i="2" l="1"/>
  <c r="AK70" i="2"/>
  <c r="AF70" i="2" s="1"/>
  <c r="AL70" i="2"/>
  <c r="AG70" i="2" s="1"/>
  <c r="AM70" i="2"/>
  <c r="AJ70" i="2" s="1"/>
  <c r="M204" i="2"/>
  <c r="AD70" i="2" l="1"/>
  <c r="AI70" i="2"/>
  <c r="AE70" i="2"/>
  <c r="AC70" i="2" s="1"/>
  <c r="M205" i="2"/>
  <c r="Y71" i="2" l="1"/>
  <c r="AA71" i="2"/>
  <c r="AB71" i="2"/>
  <c r="Z71" i="2"/>
  <c r="M206" i="2"/>
  <c r="AJ71" i="2" l="1"/>
  <c r="AL71" i="2"/>
  <c r="AG71" i="2" s="1"/>
  <c r="AM71" i="2"/>
  <c r="AI71" i="2" s="1"/>
  <c r="AK71" i="2"/>
  <c r="AF71" i="2" s="1"/>
  <c r="M207" i="2"/>
  <c r="AE71" i="2" l="1"/>
  <c r="AC71" i="2" s="1"/>
  <c r="AH71" i="2"/>
  <c r="AD71" i="2" s="1"/>
  <c r="M208" i="2"/>
  <c r="AB72" i="2" l="1"/>
  <c r="Z72" i="2"/>
  <c r="AA72" i="2"/>
  <c r="Y72" i="2"/>
  <c r="M209" i="2"/>
  <c r="AM72" i="2" l="1"/>
  <c r="AI72" i="2" s="1"/>
  <c r="AK72" i="2"/>
  <c r="AE72" i="2" s="1"/>
  <c r="AL72" i="2"/>
  <c r="AG72" i="2" s="1"/>
  <c r="M210" i="2"/>
  <c r="AC72" i="2" l="1"/>
  <c r="AH72" i="2"/>
  <c r="AJ72" i="2"/>
  <c r="AF72" i="2"/>
  <c r="AD72" i="2" s="1"/>
  <c r="M211" i="2"/>
  <c r="AB73" i="2" l="1"/>
  <c r="Z73" i="2"/>
  <c r="Y73" i="2"/>
  <c r="AA73" i="2"/>
  <c r="M212" i="2"/>
  <c r="AG73" i="2" l="1"/>
  <c r="AK73" i="2"/>
  <c r="AF73" i="2" s="1"/>
  <c r="AD73" i="2" s="1"/>
  <c r="AL73" i="2"/>
  <c r="AM73" i="2"/>
  <c r="AI73" i="2"/>
  <c r="AJ73" i="2"/>
  <c r="AH73" i="2"/>
  <c r="M213" i="2"/>
  <c r="AB74" i="2" l="1"/>
  <c r="Z74" i="2"/>
  <c r="AE73" i="2"/>
  <c r="AC73" i="2" s="1"/>
  <c r="M214" i="2"/>
  <c r="AA74" i="2" l="1"/>
  <c r="Y74" i="2"/>
  <c r="M215" i="2"/>
  <c r="AK74" i="2" l="1"/>
  <c r="AF74" i="2" s="1"/>
  <c r="AL74" i="2"/>
  <c r="AH74" i="2" s="1"/>
  <c r="AE74" i="2"/>
  <c r="AM74" i="2"/>
  <c r="AJ74" i="2" s="1"/>
  <c r="M216" i="2"/>
  <c r="AD74" i="2" l="1"/>
  <c r="AI74" i="2"/>
  <c r="AG74" i="2"/>
  <c r="AC74" i="2" s="1"/>
  <c r="M217" i="2"/>
  <c r="Y75" i="2" l="1"/>
  <c r="AA75" i="2"/>
  <c r="Z75" i="2"/>
  <c r="AB75" i="2"/>
  <c r="M218" i="2"/>
  <c r="AF75" i="2" l="1"/>
  <c r="AJ75" i="2"/>
  <c r="AL75" i="2"/>
  <c r="AH75" i="2" s="1"/>
  <c r="AE75" i="2"/>
  <c r="AM75" i="2"/>
  <c r="AI75" i="2" s="1"/>
  <c r="AG75" i="2"/>
  <c r="AK75" i="2"/>
  <c r="M219" i="2"/>
  <c r="AC75" i="2" l="1"/>
  <c r="AD75" i="2"/>
  <c r="M220" i="2"/>
  <c r="AB76" i="2" l="1"/>
  <c r="Z76" i="2"/>
  <c r="AA76" i="2"/>
  <c r="Y76" i="2"/>
  <c r="M221" i="2"/>
  <c r="AM76" i="2" l="1"/>
  <c r="AJ76" i="2" s="1"/>
  <c r="AK76" i="2"/>
  <c r="AE76" i="2" s="1"/>
  <c r="AL76" i="2"/>
  <c r="AH76" i="2" s="1"/>
  <c r="M222" i="2"/>
  <c r="AF76" i="2" l="1"/>
  <c r="AD76" i="2" s="1"/>
  <c r="AI76" i="2"/>
  <c r="AG76" i="2"/>
  <c r="AC76" i="2" s="1"/>
  <c r="M223" i="2"/>
  <c r="AA77" i="2" l="1"/>
  <c r="Y77" i="2"/>
  <c r="AB77" i="2"/>
  <c r="Z77" i="2"/>
  <c r="M224" i="2"/>
  <c r="AK77" i="2" l="1"/>
  <c r="AE77" i="2" s="1"/>
  <c r="AL77" i="2"/>
  <c r="AG77" i="2" s="1"/>
  <c r="AM77" i="2"/>
  <c r="AJ77" i="2" s="1"/>
  <c r="AF77" i="2"/>
  <c r="M225" i="2"/>
  <c r="AH77" i="2" l="1"/>
  <c r="AD77" i="2" s="1"/>
  <c r="AI77" i="2"/>
  <c r="AC77" i="2" s="1"/>
  <c r="M226" i="2"/>
  <c r="Y78" i="2" l="1"/>
  <c r="AA78" i="2"/>
  <c r="Z78" i="2"/>
  <c r="AB78" i="2"/>
  <c r="M227" i="2"/>
  <c r="AH78" i="2" l="1"/>
  <c r="AG78" i="2"/>
  <c r="AK78" i="2"/>
  <c r="AF78" i="2" s="1"/>
  <c r="AL78" i="2"/>
  <c r="AM78" i="2"/>
  <c r="AI78" i="2" s="1"/>
  <c r="M228" i="2"/>
  <c r="AE78" i="2" l="1"/>
  <c r="AC78" i="2" s="1"/>
  <c r="AJ78" i="2"/>
  <c r="AD78" i="2" s="1"/>
  <c r="M229" i="2"/>
  <c r="AB79" i="2" l="1"/>
  <c r="Z79" i="2"/>
  <c r="AA79" i="2"/>
  <c r="Y79" i="2"/>
  <c r="M230" i="2"/>
  <c r="AL79" i="2" l="1"/>
  <c r="AM79" i="2"/>
  <c r="AI79" i="2" s="1"/>
  <c r="AG79" i="2"/>
  <c r="AK79" i="2"/>
  <c r="AF79" i="2" s="1"/>
  <c r="AH79" i="2"/>
  <c r="M231" i="2"/>
  <c r="AE79" i="2" l="1"/>
  <c r="AC79" i="2" s="1"/>
  <c r="AJ79" i="2"/>
  <c r="AD79" i="2" s="1"/>
  <c r="M232" i="2"/>
  <c r="AB80" i="2" l="1"/>
  <c r="Z80" i="2"/>
  <c r="Y80" i="2"/>
  <c r="AA80" i="2"/>
  <c r="M233" i="2"/>
  <c r="AM80" i="2" l="1"/>
  <c r="AI80" i="2" s="1"/>
  <c r="AK80" i="2"/>
  <c r="AE80" i="2" s="1"/>
  <c r="AC80" i="2" s="1"/>
  <c r="AL80" i="2"/>
  <c r="AG80" i="2" s="1"/>
  <c r="M234" i="2"/>
  <c r="AA81" i="2" l="1"/>
  <c r="Y81" i="2"/>
  <c r="AH80" i="2"/>
  <c r="AJ80" i="2"/>
  <c r="AF80" i="2"/>
  <c r="M235" i="2"/>
  <c r="AD80" i="2" l="1"/>
  <c r="M236" i="2"/>
  <c r="AB81" i="2" l="1"/>
  <c r="Z81" i="2"/>
  <c r="M237" i="2"/>
  <c r="AJ81" i="2" l="1"/>
  <c r="AK81" i="2"/>
  <c r="AE81" i="2" s="1"/>
  <c r="AM81" i="2"/>
  <c r="AI81" i="2" s="1"/>
  <c r="AL81" i="2"/>
  <c r="AG81" i="2" s="1"/>
  <c r="M238" i="2"/>
  <c r="AH81" i="2" l="1"/>
  <c r="AC81" i="2"/>
  <c r="AF81" i="2"/>
  <c r="AD81" i="2" s="1"/>
  <c r="M239" i="2"/>
  <c r="Y82" i="2" l="1"/>
  <c r="AA82" i="2"/>
  <c r="Z82" i="2"/>
  <c r="AB82" i="2"/>
  <c r="M240" i="2"/>
  <c r="AH82" i="2" l="1"/>
  <c r="AG82" i="2"/>
  <c r="AK82" i="2"/>
  <c r="AF82" i="2" s="1"/>
  <c r="AL82" i="2"/>
  <c r="AM82" i="2"/>
  <c r="AI82" i="2" s="1"/>
  <c r="M241" i="2"/>
  <c r="AJ82" i="2" l="1"/>
  <c r="AD82" i="2" s="1"/>
  <c r="AE82" i="2"/>
  <c r="AC82" i="2" s="1"/>
  <c r="M242" i="2"/>
  <c r="Z83" i="2" l="1"/>
  <c r="AB83" i="2"/>
  <c r="AA83" i="2"/>
  <c r="Y83" i="2"/>
  <c r="M243" i="2"/>
  <c r="AL83" i="2" l="1"/>
  <c r="AH83" i="2" s="1"/>
  <c r="AE83" i="2"/>
  <c r="AM83" i="2"/>
  <c r="AI83" i="2" s="1"/>
  <c r="AG83" i="2"/>
  <c r="AK83" i="2"/>
  <c r="AF83" i="2"/>
  <c r="AJ83" i="2"/>
  <c r="M244" i="2"/>
  <c r="AC83" i="2" l="1"/>
  <c r="AD83" i="2"/>
  <c r="M245" i="2"/>
  <c r="Z84" i="2" l="1"/>
  <c r="AB84" i="2"/>
  <c r="AA84" i="2"/>
  <c r="Y84" i="2"/>
  <c r="M246" i="2"/>
  <c r="AI84" i="2" l="1"/>
  <c r="AM84" i="2"/>
  <c r="AG84" i="2"/>
  <c r="AK84" i="2"/>
  <c r="AF84" i="2" s="1"/>
  <c r="AD84" i="2" s="1"/>
  <c r="AL84" i="2"/>
  <c r="AJ84" i="2"/>
  <c r="AH84" i="2"/>
  <c r="M247" i="2"/>
  <c r="AB85" i="2" l="1"/>
  <c r="Z85" i="2"/>
  <c r="AE84" i="2"/>
  <c r="AC84" i="2" s="1"/>
  <c r="M248" i="2"/>
  <c r="AA85" i="2" l="1"/>
  <c r="Y85" i="2"/>
  <c r="M249" i="2"/>
  <c r="AK85" i="2" l="1"/>
  <c r="AF85" i="2" s="1"/>
  <c r="AL85" i="2"/>
  <c r="AH85" i="2" s="1"/>
  <c r="AM85" i="2"/>
  <c r="AJ85" i="2" s="1"/>
  <c r="AE85" i="2"/>
  <c r="M250" i="2"/>
  <c r="AD85" i="2" l="1"/>
  <c r="AG85" i="2"/>
  <c r="AC85" i="2" s="1"/>
  <c r="AI85" i="2"/>
  <c r="M251" i="2"/>
  <c r="Y86" i="2" l="1"/>
  <c r="AA86" i="2"/>
  <c r="Z86" i="2"/>
  <c r="AB86" i="2"/>
  <c r="M252" i="2"/>
  <c r="AK86" i="2" l="1"/>
  <c r="AF86" i="2" s="1"/>
  <c r="AL86" i="2"/>
  <c r="AH86" i="2" s="1"/>
  <c r="AM86" i="2"/>
  <c r="AJ86" i="2" s="1"/>
  <c r="M253" i="2"/>
  <c r="AD86" i="2" l="1"/>
  <c r="AI86" i="2"/>
  <c r="AG86" i="2"/>
  <c r="AE86" i="2"/>
  <c r="AC86" i="2" s="1"/>
  <c r="M254" i="2"/>
  <c r="Y87" i="2" l="1"/>
  <c r="AA87" i="2"/>
  <c r="AB87" i="2"/>
  <c r="Z87" i="2"/>
  <c r="M255" i="2"/>
  <c r="AL87" i="2" l="1"/>
  <c r="AH87" i="2" s="1"/>
  <c r="AM87" i="2"/>
  <c r="AI87" i="2" s="1"/>
  <c r="AK87" i="2"/>
  <c r="AE87" i="2" s="1"/>
  <c r="M256" i="2"/>
  <c r="AJ87" i="2" l="1"/>
  <c r="AF87" i="2"/>
  <c r="AD87" i="2" s="1"/>
  <c r="AG87" i="2"/>
  <c r="AC87" i="2" s="1"/>
  <c r="M257" i="2"/>
  <c r="Y88" i="2" l="1"/>
  <c r="AA88" i="2"/>
  <c r="AB88" i="2"/>
  <c r="Z88" i="2"/>
  <c r="M258" i="2"/>
  <c r="AJ88" i="2" l="1"/>
  <c r="AI88" i="2"/>
  <c r="AM88" i="2"/>
  <c r="AG88" i="2"/>
  <c r="AK88" i="2"/>
  <c r="AF88" i="2" s="1"/>
  <c r="AL88" i="2"/>
  <c r="AH88" i="2" s="1"/>
  <c r="M259" i="2"/>
  <c r="AD88" i="2" l="1"/>
  <c r="AE88" i="2"/>
  <c r="AC88" i="2" s="1"/>
  <c r="M260" i="2"/>
  <c r="AA89" i="2" l="1"/>
  <c r="Y89" i="2"/>
  <c r="AB89" i="2"/>
  <c r="Z89" i="2"/>
  <c r="M261" i="2"/>
  <c r="AG89" i="2" l="1"/>
  <c r="AK89" i="2"/>
  <c r="AF89" i="2" s="1"/>
  <c r="AD89" i="2" s="1"/>
  <c r="AL89" i="2"/>
  <c r="AM89" i="2"/>
  <c r="AI89" i="2"/>
  <c r="AJ89" i="2"/>
  <c r="AH89" i="2"/>
  <c r="M262" i="2"/>
  <c r="AB90" i="2" l="1"/>
  <c r="Z90" i="2"/>
  <c r="AE89" i="2"/>
  <c r="AC89" i="2" s="1"/>
  <c r="M263" i="2"/>
  <c r="AA90" i="2" l="1"/>
  <c r="Y90" i="2"/>
  <c r="M264" i="2"/>
  <c r="AK90" i="2" l="1"/>
  <c r="AF90" i="2" s="1"/>
  <c r="AL90" i="2"/>
  <c r="AH90" i="2" s="1"/>
  <c r="AE90" i="2"/>
  <c r="AM90" i="2"/>
  <c r="AJ90" i="2" s="1"/>
  <c r="M265" i="2"/>
  <c r="AD90" i="2" l="1"/>
  <c r="AI90" i="2"/>
  <c r="AG90" i="2"/>
  <c r="AC90" i="2" s="1"/>
  <c r="M266" i="2"/>
  <c r="Y91" i="2" l="1"/>
  <c r="AA91" i="2"/>
  <c r="Z91" i="2"/>
  <c r="AB91" i="2"/>
  <c r="M267" i="2"/>
  <c r="AF91" i="2" l="1"/>
  <c r="AJ91" i="2"/>
  <c r="AL91" i="2"/>
  <c r="AH91" i="2" s="1"/>
  <c r="AE91" i="2"/>
  <c r="AM91" i="2"/>
  <c r="AI91" i="2" s="1"/>
  <c r="AG91" i="2"/>
  <c r="AK91" i="2"/>
  <c r="M268" i="2"/>
  <c r="AC91" i="2" l="1"/>
  <c r="AD91" i="2"/>
  <c r="M269" i="2"/>
  <c r="AB92" i="2" l="1"/>
  <c r="Z92" i="2"/>
  <c r="AA92" i="2"/>
  <c r="Y92" i="2"/>
  <c r="M270" i="2"/>
  <c r="AM92" i="2" l="1"/>
  <c r="AJ92" i="2" s="1"/>
  <c r="AK92" i="2"/>
  <c r="AF92" i="2" s="1"/>
  <c r="AL92" i="2"/>
  <c r="AG92" i="2" s="1"/>
  <c r="M271" i="2"/>
  <c r="AH92" i="2" l="1"/>
  <c r="AD92" i="2" s="1"/>
  <c r="AI92" i="2"/>
  <c r="AE92" i="2"/>
  <c r="AC92" i="2" s="1"/>
  <c r="M272" i="2"/>
  <c r="AB93" i="2" l="1"/>
  <c r="Z93" i="2"/>
  <c r="Y93" i="2"/>
  <c r="AA93" i="2"/>
  <c r="M273" i="2"/>
  <c r="AG93" i="2" l="1"/>
  <c r="AK93" i="2"/>
  <c r="AF93" i="2" s="1"/>
  <c r="AL93" i="2"/>
  <c r="AM93" i="2"/>
  <c r="AJ93" i="2" s="1"/>
  <c r="AH93" i="2"/>
  <c r="M274" i="2"/>
  <c r="AD93" i="2" l="1"/>
  <c r="AI93" i="2"/>
  <c r="AE93" i="2"/>
  <c r="AC93" i="2" s="1"/>
  <c r="M275" i="2"/>
  <c r="AA94" i="2" l="1"/>
  <c r="Y94" i="2"/>
  <c r="AB94" i="2"/>
  <c r="Z94" i="2"/>
  <c r="M276" i="2"/>
  <c r="AM94" i="2" l="1"/>
  <c r="AI94" i="2" s="1"/>
  <c r="AK94" i="2"/>
  <c r="AF94" i="2" s="1"/>
  <c r="AL94" i="2"/>
  <c r="AH94" i="2" s="1"/>
  <c r="M277" i="2"/>
  <c r="AJ94" i="2" l="1"/>
  <c r="AD94" i="2" s="1"/>
  <c r="AE94" i="2"/>
  <c r="AG94" i="2"/>
  <c r="M278" i="2"/>
  <c r="AB95" i="2" l="1"/>
  <c r="Z95" i="2"/>
  <c r="AC94" i="2"/>
  <c r="M279" i="2"/>
  <c r="Y95" i="2" l="1"/>
  <c r="AA95" i="2"/>
  <c r="M280" i="2"/>
  <c r="AE95" i="2" l="1"/>
  <c r="AK95" i="2"/>
  <c r="AF95" i="2" s="1"/>
  <c r="AL95" i="2"/>
  <c r="AH95" i="2" s="1"/>
  <c r="AM95" i="2"/>
  <c r="AJ95" i="2" s="1"/>
  <c r="M281" i="2"/>
  <c r="AI95" i="2" l="1"/>
  <c r="AG95" i="2"/>
  <c r="AC95" i="2" s="1"/>
  <c r="AD95" i="2"/>
  <c r="M282" i="2"/>
  <c r="AA96" i="2" l="1"/>
  <c r="Y96" i="2"/>
  <c r="Z96" i="2"/>
  <c r="AB96" i="2"/>
  <c r="M283" i="2"/>
  <c r="AL96" i="2" l="1"/>
  <c r="AM96" i="2"/>
  <c r="AI96" i="2" s="1"/>
  <c r="AG96" i="2"/>
  <c r="AK96" i="2"/>
  <c r="AE96" i="2" s="1"/>
  <c r="AC96" i="2" s="1"/>
  <c r="AH96" i="2"/>
  <c r="M284" i="2"/>
  <c r="Y97" i="2" l="1"/>
  <c r="AA97" i="2"/>
  <c r="AJ96" i="2"/>
  <c r="AF96" i="2"/>
  <c r="AD96" i="2" s="1"/>
  <c r="M285" i="2"/>
  <c r="AB97" i="2" l="1"/>
  <c r="Z97" i="2"/>
  <c r="AM97" i="2" s="1"/>
  <c r="AI97" i="2" s="1"/>
  <c r="M286" i="2"/>
  <c r="AJ97" i="2" l="1"/>
  <c r="AH97" i="2"/>
  <c r="AL97" i="2"/>
  <c r="AG97" i="2" s="1"/>
  <c r="AK97" i="2"/>
  <c r="AE97" i="2" s="1"/>
  <c r="AC97" i="2" s="1"/>
  <c r="M287" i="2"/>
  <c r="AA98" i="2" l="1"/>
  <c r="Y98" i="2"/>
  <c r="AF97" i="2"/>
  <c r="AD97" i="2" s="1"/>
  <c r="M288" i="2"/>
  <c r="AB98" i="2" l="1"/>
  <c r="Z98" i="2"/>
  <c r="M289" i="2"/>
  <c r="AH98" i="2" l="1"/>
  <c r="AL98" i="2"/>
  <c r="AG98" i="2" s="1"/>
  <c r="AM98" i="2"/>
  <c r="AI98" i="2" s="1"/>
  <c r="AK98" i="2"/>
  <c r="AE98" i="2" s="1"/>
  <c r="M290" i="2"/>
  <c r="AJ98" i="2" l="1"/>
  <c r="AC98" i="2"/>
  <c r="AF98" i="2"/>
  <c r="AD98" i="2" s="1"/>
  <c r="M291" i="2"/>
  <c r="AA99" i="2" l="1"/>
  <c r="Y99" i="2"/>
  <c r="Z99" i="2"/>
  <c r="AB99" i="2"/>
  <c r="M292" i="2"/>
  <c r="AK99" i="2" l="1"/>
  <c r="AL99" i="2"/>
  <c r="AG99" i="2" s="1"/>
  <c r="AE99" i="2"/>
  <c r="AM99" i="2"/>
  <c r="AI99" i="2" s="1"/>
  <c r="AF99" i="2"/>
  <c r="AJ99" i="2"/>
  <c r="M293" i="2"/>
  <c r="AC99" i="2" l="1"/>
  <c r="AH99" i="2"/>
  <c r="AD99" i="2" s="1"/>
  <c r="M294" i="2"/>
  <c r="Z100" i="2" l="1"/>
  <c r="AB100" i="2"/>
  <c r="AA100" i="2"/>
  <c r="Y100" i="2"/>
  <c r="M295" i="2"/>
  <c r="AL100" i="2" l="1"/>
  <c r="AM100" i="2"/>
  <c r="AI100" i="2" s="1"/>
  <c r="AG100" i="2"/>
  <c r="AK100" i="2"/>
  <c r="AE100" i="2" s="1"/>
  <c r="AC100" i="2" s="1"/>
  <c r="AH100" i="2"/>
  <c r="M296" i="2"/>
  <c r="Y101" i="2" l="1"/>
  <c r="AA101" i="2"/>
  <c r="AJ100" i="2"/>
  <c r="AF100" i="2"/>
  <c r="AD100" i="2" s="1"/>
  <c r="M297" i="2"/>
  <c r="AB101" i="2" l="1"/>
  <c r="Z101" i="2"/>
  <c r="AL101" i="2" s="1"/>
  <c r="AG101" i="2" s="1"/>
  <c r="M298" i="2"/>
  <c r="AJ101" i="2" l="1"/>
  <c r="AH101" i="2"/>
  <c r="AM101" i="2"/>
  <c r="AI101" i="2" s="1"/>
  <c r="AK101" i="2"/>
  <c r="AE101" i="2" s="1"/>
  <c r="AC101" i="2" s="1"/>
  <c r="M299" i="2"/>
  <c r="AA102" i="2" l="1"/>
  <c r="Y102" i="2"/>
  <c r="AF101" i="2"/>
  <c r="AD101" i="2" s="1"/>
  <c r="M300" i="2"/>
  <c r="AB102" i="2" l="1"/>
  <c r="Z102" i="2"/>
  <c r="M301" i="2"/>
  <c r="AJ102" i="2" l="1"/>
  <c r="AM102" i="2"/>
  <c r="AI102" i="2" s="1"/>
  <c r="AL102" i="2"/>
  <c r="AG102" i="2" s="1"/>
  <c r="AK102" i="2"/>
  <c r="AE102" i="2" s="1"/>
  <c r="AC102" i="2" s="1"/>
  <c r="M302" i="2"/>
  <c r="AH102" i="2" l="1"/>
  <c r="AA103" i="2"/>
  <c r="Y103" i="2"/>
  <c r="AF102" i="2"/>
  <c r="AD102" i="2" s="1"/>
  <c r="M303" i="2"/>
  <c r="Z103" i="2" l="1"/>
  <c r="AK103" i="2" s="1"/>
  <c r="AE103" i="2" s="1"/>
  <c r="AB103" i="2"/>
  <c r="M304" i="2"/>
  <c r="AF103" i="2" l="1"/>
  <c r="AL103" i="2"/>
  <c r="AG103" i="2" s="1"/>
  <c r="AC103" i="2" s="1"/>
  <c r="AM103" i="2"/>
  <c r="AI103" i="2" s="1"/>
  <c r="M305" i="2"/>
  <c r="AA104" i="2" l="1"/>
  <c r="Y104" i="2"/>
  <c r="AJ103" i="2"/>
  <c r="AH103" i="2"/>
  <c r="AD103" i="2" s="1"/>
  <c r="M306" i="2"/>
  <c r="Z104" i="2" l="1"/>
  <c r="AB104" i="2"/>
  <c r="AL104" i="2"/>
  <c r="AG104" i="2" s="1"/>
  <c r="AM104" i="2"/>
  <c r="AI104" i="2" s="1"/>
  <c r="AK104" i="2"/>
  <c r="AE104" i="2" s="1"/>
  <c r="M307" i="2"/>
  <c r="AC104" i="2" l="1"/>
  <c r="AH104" i="2"/>
  <c r="AF104" i="2"/>
  <c r="AD104" i="2" s="1"/>
  <c r="AB105" i="2" s="1"/>
  <c r="AJ104" i="2"/>
  <c r="M308" i="2"/>
  <c r="Z105" i="2" l="1"/>
  <c r="AA105" i="2"/>
  <c r="Y105" i="2"/>
  <c r="M309" i="2"/>
  <c r="AM105" i="2" l="1"/>
  <c r="AI105" i="2" s="1"/>
  <c r="AK105" i="2"/>
  <c r="AE105" i="2" s="1"/>
  <c r="AL105" i="2"/>
  <c r="AG105" i="2" s="1"/>
  <c r="AJ105" i="2"/>
  <c r="AH105" i="2"/>
  <c r="M310" i="2"/>
  <c r="AC105" i="2" l="1"/>
  <c r="AF105" i="2"/>
  <c r="AD105" i="2" s="1"/>
  <c r="M311" i="2"/>
  <c r="AB106" i="2" l="1"/>
  <c r="Z106" i="2"/>
  <c r="Y106" i="2"/>
  <c r="AA106" i="2"/>
  <c r="M312" i="2"/>
  <c r="AG106" i="2" l="1"/>
  <c r="AK106" i="2"/>
  <c r="AF106" i="2" s="1"/>
  <c r="AD106" i="2" s="1"/>
  <c r="AL106" i="2"/>
  <c r="AM106" i="2"/>
  <c r="AI106" i="2"/>
  <c r="AJ106" i="2"/>
  <c r="AH106" i="2"/>
  <c r="M313" i="2"/>
  <c r="AB107" i="2" l="1"/>
  <c r="Z107" i="2"/>
  <c r="AE106" i="2"/>
  <c r="AC106" i="2" s="1"/>
  <c r="M314" i="2"/>
  <c r="AA107" i="2" l="1"/>
  <c r="Y107" i="2"/>
  <c r="M315" i="2"/>
  <c r="AK107" i="2" l="1"/>
  <c r="AF107" i="2" s="1"/>
  <c r="AD107" i="2" s="1"/>
  <c r="AL107" i="2"/>
  <c r="AH107" i="2" s="1"/>
  <c r="AE107" i="2"/>
  <c r="AM107" i="2"/>
  <c r="AJ107" i="2" s="1"/>
  <c r="M316" i="2"/>
  <c r="Z108" i="2" l="1"/>
  <c r="AB108" i="2"/>
  <c r="AI107" i="2"/>
  <c r="AG107" i="2"/>
  <c r="AC107" i="2" s="1"/>
  <c r="M317" i="2"/>
  <c r="AA108" i="2" l="1"/>
  <c r="Y108" i="2"/>
  <c r="M318" i="2"/>
  <c r="AL108" i="2" l="1"/>
  <c r="AH108" i="2" s="1"/>
  <c r="AE108" i="2"/>
  <c r="AM108" i="2"/>
  <c r="AJ108" i="2" s="1"/>
  <c r="AG108" i="2"/>
  <c r="AK108" i="2"/>
  <c r="AF108" i="2" s="1"/>
  <c r="M319" i="2"/>
  <c r="AD108" i="2" l="1"/>
  <c r="AI108" i="2"/>
  <c r="AC108" i="2" s="1"/>
  <c r="M320" i="2"/>
  <c r="Y109" i="2" l="1"/>
  <c r="AA109" i="2"/>
  <c r="AB109" i="2"/>
  <c r="Z109" i="2"/>
  <c r="M321" i="2"/>
  <c r="AM109" i="2" l="1"/>
  <c r="AJ109" i="2" s="1"/>
  <c r="AK109" i="2"/>
  <c r="AF109" i="2" s="1"/>
  <c r="AD109" i="2" s="1"/>
  <c r="AL109" i="2"/>
  <c r="AH109" i="2" s="1"/>
  <c r="M322" i="2"/>
  <c r="AB110" i="2" l="1"/>
  <c r="Z110" i="2"/>
  <c r="AI109" i="2"/>
  <c r="AG109" i="2"/>
  <c r="AE109" i="2"/>
  <c r="M323" i="2"/>
  <c r="AC109" i="2" l="1"/>
  <c r="M324" i="2"/>
  <c r="AA110" i="2" l="1"/>
  <c r="Y110" i="2"/>
  <c r="M325" i="2"/>
  <c r="AK110" i="2" l="1"/>
  <c r="AF110" i="2" s="1"/>
  <c r="AL110" i="2"/>
  <c r="AH110" i="2" s="1"/>
  <c r="AM110" i="2"/>
  <c r="AJ110" i="2" s="1"/>
  <c r="M326" i="2"/>
  <c r="AD110" i="2" l="1"/>
  <c r="AI110" i="2"/>
  <c r="AG110" i="2"/>
  <c r="AE110" i="2"/>
  <c r="AC110" i="2" s="1"/>
  <c r="M327" i="2"/>
  <c r="Y111" i="2" l="1"/>
  <c r="AA111" i="2"/>
  <c r="Z111" i="2"/>
  <c r="AB111" i="2"/>
  <c r="M328" i="2"/>
  <c r="AH111" i="2" l="1"/>
  <c r="AG111" i="2"/>
  <c r="AK111" i="2"/>
  <c r="AE111" i="2" s="1"/>
  <c r="AL111" i="2"/>
  <c r="AM111" i="2"/>
  <c r="AJ111" i="2" s="1"/>
  <c r="M329" i="2"/>
  <c r="AF111" i="2" l="1"/>
  <c r="AD111" i="2" s="1"/>
  <c r="AI111" i="2"/>
  <c r="AC111" i="2" s="1"/>
  <c r="M330" i="2"/>
  <c r="Y112" i="2" l="1"/>
  <c r="AA112" i="2"/>
  <c r="AB112" i="2"/>
  <c r="Z112" i="2"/>
  <c r="M331" i="2"/>
  <c r="AF112" i="2" l="1"/>
  <c r="AL112" i="2"/>
  <c r="AG112" i="2" s="1"/>
  <c r="AE112" i="2"/>
  <c r="AM112" i="2"/>
  <c r="AJ112" i="2" s="1"/>
  <c r="AK112" i="2"/>
  <c r="M332" i="2"/>
  <c r="AH112" i="2" l="1"/>
  <c r="AD112" i="2" s="1"/>
  <c r="AI112" i="2"/>
  <c r="AC112" i="2" s="1"/>
  <c r="M333" i="2"/>
  <c r="AA113" i="2" l="1"/>
  <c r="Y113" i="2"/>
  <c r="AB113" i="2"/>
  <c r="Z113" i="2"/>
  <c r="M334" i="2"/>
  <c r="AM113" i="2" l="1"/>
  <c r="AI113" i="2" s="1"/>
  <c r="AK113" i="2"/>
  <c r="AF113" i="2" s="1"/>
  <c r="AL113" i="2"/>
  <c r="AG113" i="2" s="1"/>
  <c r="M335" i="2"/>
  <c r="AJ113" i="2" l="1"/>
  <c r="AE113" i="2"/>
  <c r="AC113" i="2" s="1"/>
  <c r="AH113" i="2"/>
  <c r="AD113" i="2" s="1"/>
  <c r="M336" i="2"/>
  <c r="AB114" i="2" l="1"/>
  <c r="Z114" i="2"/>
  <c r="Y114" i="2"/>
  <c r="AA114" i="2"/>
  <c r="M337" i="2"/>
  <c r="AK114" i="2" l="1"/>
  <c r="AE114" i="2" s="1"/>
  <c r="AL114" i="2"/>
  <c r="AG114" i="2" s="1"/>
  <c r="AM114" i="2"/>
  <c r="AJ114" i="2" s="1"/>
  <c r="AF114" i="2"/>
  <c r="M338" i="2"/>
  <c r="AH114" i="2" l="1"/>
  <c r="AD114" i="2" s="1"/>
  <c r="AI114" i="2"/>
  <c r="AC114" i="2" s="1"/>
  <c r="M339" i="2"/>
  <c r="Y115" i="2" l="1"/>
  <c r="AA115" i="2"/>
  <c r="AB115" i="2"/>
  <c r="Z115" i="2"/>
  <c r="M340" i="2"/>
  <c r="AK115" i="2" l="1"/>
  <c r="AE115" i="2" s="1"/>
  <c r="AL115" i="2"/>
  <c r="AH115" i="2" s="1"/>
  <c r="AM115" i="2"/>
  <c r="AJ115" i="2" s="1"/>
  <c r="M341" i="2"/>
  <c r="AF115" i="2" l="1"/>
  <c r="AD115" i="2" s="1"/>
  <c r="AI115" i="2"/>
  <c r="AG115" i="2"/>
  <c r="AC115" i="2" s="1"/>
  <c r="M342" i="2"/>
  <c r="AA116" i="2" l="1"/>
  <c r="Y116" i="2"/>
  <c r="AB116" i="2"/>
  <c r="Z116" i="2"/>
  <c r="M343" i="2"/>
  <c r="AL116" i="2" l="1"/>
  <c r="AG116" i="2" s="1"/>
  <c r="AM116" i="2"/>
  <c r="AJ116" i="2" s="1"/>
  <c r="AK116" i="2"/>
  <c r="AE116" i="2" s="1"/>
  <c r="AF116" i="2"/>
  <c r="M344" i="2"/>
  <c r="AH116" i="2" l="1"/>
  <c r="AD116" i="2" s="1"/>
  <c r="AI116" i="2"/>
  <c r="AC116" i="2" s="1"/>
  <c r="M345" i="2"/>
  <c r="Y117" i="2" l="1"/>
  <c r="AA117" i="2"/>
  <c r="AB117" i="2"/>
  <c r="Z117" i="2"/>
  <c r="M346" i="2"/>
  <c r="AM117" i="2" l="1"/>
  <c r="AJ117" i="2" s="1"/>
  <c r="AK117" i="2"/>
  <c r="AF117" i="2" s="1"/>
  <c r="AL117" i="2"/>
  <c r="AG117" i="2" s="1"/>
  <c r="M347" i="2"/>
  <c r="AI117" i="2" l="1"/>
  <c r="AH117" i="2"/>
  <c r="AD117" i="2" s="1"/>
  <c r="AE117" i="2"/>
  <c r="AC117" i="2" s="1"/>
  <c r="M348" i="2"/>
  <c r="AB118" i="2" l="1"/>
  <c r="Z118" i="2"/>
  <c r="AA118" i="2"/>
  <c r="Y118" i="2"/>
  <c r="M349" i="2"/>
  <c r="AK118" i="2" l="1"/>
  <c r="AF118" i="2" s="1"/>
  <c r="AL118" i="2"/>
  <c r="AH118" i="2" s="1"/>
  <c r="AM118" i="2"/>
  <c r="AI118" i="2" s="1"/>
  <c r="M350" i="2"/>
  <c r="AG118" i="2" l="1"/>
  <c r="AJ118" i="2"/>
  <c r="AD118" i="2" s="1"/>
  <c r="AE118" i="2"/>
  <c r="AC118" i="2" s="1"/>
  <c r="M351" i="2"/>
  <c r="AB119" i="2" l="1"/>
  <c r="Z119" i="2"/>
  <c r="AA119" i="2"/>
  <c r="Y119" i="2"/>
  <c r="M352" i="2"/>
  <c r="AK119" i="2" l="1"/>
  <c r="AF119" i="2" s="1"/>
  <c r="AL119" i="2"/>
  <c r="AG119" i="2" s="1"/>
  <c r="AM119" i="2"/>
  <c r="AI119" i="2" s="1"/>
  <c r="M353" i="2"/>
  <c r="AJ119" i="2" l="1"/>
  <c r="AH119" i="2"/>
  <c r="AD119" i="2" s="1"/>
  <c r="AE119" i="2"/>
  <c r="AC119" i="2" s="1"/>
  <c r="M354" i="2"/>
  <c r="AB120" i="2" l="1"/>
  <c r="Z120" i="2"/>
  <c r="AA120" i="2"/>
  <c r="Y120" i="2"/>
  <c r="M355" i="2"/>
  <c r="AL120" i="2" l="1"/>
  <c r="AH120" i="2" s="1"/>
  <c r="AM120" i="2"/>
  <c r="AJ120" i="2" s="1"/>
  <c r="AK120" i="2"/>
  <c r="AF120" i="2" s="1"/>
  <c r="M356" i="2"/>
  <c r="AD120" i="2" l="1"/>
  <c r="AG120" i="2"/>
  <c r="AI120" i="2"/>
  <c r="AE120" i="2"/>
  <c r="AC120" i="2" s="1"/>
  <c r="M357" i="2"/>
  <c r="AA121" i="2" l="1"/>
  <c r="Y121" i="2"/>
  <c r="Z121" i="2"/>
  <c r="AB121" i="2"/>
  <c r="M358" i="2"/>
  <c r="AM121" i="2" l="1"/>
  <c r="AJ121" i="2" s="1"/>
  <c r="AK121" i="2"/>
  <c r="AF121" i="2" s="1"/>
  <c r="AD121" i="2" s="1"/>
  <c r="AL121" i="2"/>
  <c r="AH121" i="2" s="1"/>
  <c r="M359" i="2"/>
  <c r="AB122" i="2" l="1"/>
  <c r="Z122" i="2"/>
  <c r="AI121" i="2"/>
  <c r="AE121" i="2"/>
  <c r="AC121" i="2" s="1"/>
  <c r="AG121" i="2"/>
  <c r="M360" i="2"/>
  <c r="Y122" i="2" l="1"/>
  <c r="AA122" i="2"/>
  <c r="M361" i="2"/>
  <c r="AG122" i="2" l="1"/>
  <c r="AK122" i="2"/>
  <c r="AF122" i="2" s="1"/>
  <c r="AD122" i="2" s="1"/>
  <c r="AL122" i="2"/>
  <c r="AH122" i="2" s="1"/>
  <c r="AM122" i="2"/>
  <c r="AJ122" i="2" s="1"/>
  <c r="AI122" i="2"/>
  <c r="M362" i="2"/>
  <c r="Z123" i="2" l="1"/>
  <c r="AB123" i="2"/>
  <c r="AE122" i="2"/>
  <c r="AC122" i="2" s="1"/>
  <c r="M363" i="2"/>
  <c r="AA123" i="2" l="1"/>
  <c r="Y123" i="2"/>
  <c r="M364" i="2"/>
  <c r="AK123" i="2" l="1"/>
  <c r="AF123" i="2" s="1"/>
  <c r="AL123" i="2"/>
  <c r="AH123" i="2" s="1"/>
  <c r="AE123" i="2"/>
  <c r="AM123" i="2"/>
  <c r="AJ123" i="2" s="1"/>
  <c r="M365" i="2"/>
  <c r="AD123" i="2" l="1"/>
  <c r="AI123" i="2"/>
  <c r="AG123" i="2"/>
  <c r="AC123" i="2" s="1"/>
  <c r="M366" i="2"/>
  <c r="Y124" i="2" l="1"/>
  <c r="AA124" i="2"/>
  <c r="AB124" i="2"/>
  <c r="Z124" i="2"/>
  <c r="M367" i="2"/>
  <c r="AJ124" i="2" l="1"/>
  <c r="AL124" i="2"/>
  <c r="AH124" i="2" s="1"/>
  <c r="AE124" i="2"/>
  <c r="AM124" i="2"/>
  <c r="AI124" i="2" s="1"/>
  <c r="AG124" i="2"/>
  <c r="AK124" i="2"/>
  <c r="AF124" i="2" s="1"/>
  <c r="AD124" i="2" s="1"/>
  <c r="M368" i="2"/>
  <c r="AB125" i="2" l="1"/>
  <c r="Z125" i="2"/>
  <c r="AC124" i="2"/>
  <c r="M369" i="2"/>
  <c r="AA125" i="2" l="1"/>
  <c r="Y125" i="2"/>
  <c r="M370" i="2"/>
  <c r="AM125" i="2" l="1"/>
  <c r="AJ125" i="2" s="1"/>
  <c r="AK125" i="2"/>
  <c r="AF125" i="2" s="1"/>
  <c r="AL125" i="2"/>
  <c r="AH125" i="2" s="1"/>
  <c r="M371" i="2"/>
  <c r="AD125" i="2" l="1"/>
  <c r="AI125" i="2"/>
  <c r="AG125" i="2"/>
  <c r="AE125" i="2"/>
  <c r="AC125" i="2" s="1"/>
  <c r="M372" i="2"/>
  <c r="Y126" i="2" l="1"/>
  <c r="AA126" i="2"/>
  <c r="Z126" i="2"/>
  <c r="AB126" i="2"/>
  <c r="M373" i="2"/>
  <c r="AF126" i="2" l="1"/>
  <c r="AJ126" i="2"/>
  <c r="AG126" i="2"/>
  <c r="AK126" i="2"/>
  <c r="AL126" i="2"/>
  <c r="AH126" i="2" s="1"/>
  <c r="AE126" i="2"/>
  <c r="AI126" i="2"/>
  <c r="AM126" i="2"/>
  <c r="M374" i="2"/>
  <c r="AD126" i="2" l="1"/>
  <c r="AC126" i="2"/>
  <c r="M375" i="2"/>
  <c r="AB127" i="2" l="1"/>
  <c r="Z127" i="2"/>
  <c r="AA127" i="2"/>
  <c r="Y127" i="2"/>
  <c r="M376" i="2"/>
  <c r="AK127" i="2" l="1"/>
  <c r="AE127" i="2" s="1"/>
  <c r="AL127" i="2"/>
  <c r="AG127" i="2" s="1"/>
  <c r="AM127" i="2"/>
  <c r="AJ127" i="2" s="1"/>
  <c r="M377" i="2"/>
  <c r="AI127" i="2" l="1"/>
  <c r="AC127" i="2" s="1"/>
  <c r="AF127" i="2"/>
  <c r="AH127" i="2"/>
  <c r="M378" i="2"/>
  <c r="Y128" i="2" l="1"/>
  <c r="AA128" i="2"/>
  <c r="AD127" i="2"/>
  <c r="M379" i="2"/>
  <c r="Z128" i="2" l="1"/>
  <c r="AB128" i="2"/>
  <c r="AM128" i="2"/>
  <c r="AI128" i="2" s="1"/>
  <c r="AK128" i="2"/>
  <c r="AE128" i="2" s="1"/>
  <c r="AC128" i="2" s="1"/>
  <c r="AL128" i="2"/>
  <c r="AG128" i="2" s="1"/>
  <c r="M380" i="2"/>
  <c r="AA129" i="2" l="1"/>
  <c r="Y129" i="2"/>
  <c r="AH128" i="2"/>
  <c r="AJ128" i="2"/>
  <c r="AF128" i="2"/>
  <c r="M381" i="2"/>
  <c r="AD128" i="2" l="1"/>
  <c r="M382" i="2"/>
  <c r="Z129" i="2" l="1"/>
  <c r="AB129" i="2"/>
  <c r="M383" i="2"/>
  <c r="AM129" i="2" l="1"/>
  <c r="AI129" i="2" s="1"/>
  <c r="AL129" i="2"/>
  <c r="AG129" i="2" s="1"/>
  <c r="AK129" i="2"/>
  <c r="AE129" i="2" s="1"/>
  <c r="AC129" i="2" s="1"/>
  <c r="M384" i="2"/>
  <c r="AA130" i="2" l="1"/>
  <c r="Y130" i="2"/>
  <c r="AJ129" i="2"/>
  <c r="AF129" i="2"/>
  <c r="AD129" i="2" s="1"/>
  <c r="AH129" i="2"/>
  <c r="M385" i="2"/>
  <c r="AB130" i="2" l="1"/>
  <c r="Z130" i="2"/>
  <c r="AK130" i="2" s="1"/>
  <c r="AE130" i="2" s="1"/>
  <c r="M386" i="2"/>
  <c r="AL130" i="2" l="1"/>
  <c r="AG130" i="2" s="1"/>
  <c r="AC130" i="2" s="1"/>
  <c r="AF130" i="2"/>
  <c r="AM130" i="2"/>
  <c r="AI130" i="2" s="1"/>
  <c r="M387" i="2"/>
  <c r="AA131" i="2" l="1"/>
  <c r="Y131" i="2"/>
  <c r="AJ130" i="2"/>
  <c r="AH130" i="2"/>
  <c r="AD130" i="2" s="1"/>
  <c r="M388" i="2"/>
  <c r="Z131" i="2" l="1"/>
  <c r="AB131" i="2"/>
  <c r="AK131" i="2"/>
  <c r="AE131" i="2" s="1"/>
  <c r="AL131" i="2"/>
  <c r="AG131" i="2" s="1"/>
  <c r="AM131" i="2"/>
  <c r="AI131" i="2" s="1"/>
  <c r="M389" i="2"/>
  <c r="AC131" i="2" l="1"/>
  <c r="AF131" i="2"/>
  <c r="AJ131" i="2"/>
  <c r="AH131" i="2"/>
  <c r="M390" i="2"/>
  <c r="AD131" i="2" l="1"/>
  <c r="Y132" i="2"/>
  <c r="AA132" i="2"/>
  <c r="M391" i="2"/>
  <c r="Z132" i="2" l="1"/>
  <c r="AK132" i="2" s="1"/>
  <c r="AE132" i="2" s="1"/>
  <c r="AB132" i="2"/>
  <c r="M392" i="2"/>
  <c r="AL132" i="2" l="1"/>
  <c r="AG132" i="2" s="1"/>
  <c r="AC132" i="2" s="1"/>
  <c r="AM132" i="2"/>
  <c r="AI132" i="2" s="1"/>
  <c r="AF132" i="2"/>
  <c r="M393" i="2"/>
  <c r="AA133" i="2" l="1"/>
  <c r="Y133" i="2"/>
  <c r="AH132" i="2"/>
  <c r="AD132" i="2"/>
  <c r="AJ132" i="2"/>
  <c r="M394" i="2"/>
  <c r="Z133" i="2" l="1"/>
  <c r="AL133" i="2" s="1"/>
  <c r="AG133" i="2" s="1"/>
  <c r="AB133" i="2"/>
  <c r="AM133" i="2"/>
  <c r="AI133" i="2" s="1"/>
  <c r="AK133" i="2"/>
  <c r="AE133" i="2" s="1"/>
  <c r="AC133" i="2" s="1"/>
  <c r="M395" i="2"/>
  <c r="AA134" i="2" l="1"/>
  <c r="Y134" i="2"/>
  <c r="AH133" i="2"/>
  <c r="AF133" i="2"/>
  <c r="AJ133" i="2"/>
  <c r="M396" i="2"/>
  <c r="AD133" i="2" l="1"/>
  <c r="M397" i="2"/>
  <c r="AB134" i="2" l="1"/>
  <c r="Z134" i="2"/>
  <c r="M398" i="2"/>
  <c r="AH134" i="2" l="1"/>
  <c r="AK134" i="2"/>
  <c r="AE134" i="2" s="1"/>
  <c r="AM134" i="2"/>
  <c r="AI134" i="2" s="1"/>
  <c r="AL134" i="2"/>
  <c r="AG134" i="2" s="1"/>
  <c r="M399" i="2"/>
  <c r="AJ134" i="2" l="1"/>
  <c r="AC134" i="2"/>
  <c r="AF134" i="2"/>
  <c r="AD134" i="2" s="1"/>
  <c r="M400" i="2"/>
  <c r="AB135" i="2" l="1"/>
  <c r="Z135" i="2"/>
  <c r="AA135" i="2"/>
  <c r="Y135" i="2"/>
  <c r="M401" i="2"/>
  <c r="AJ135" i="2" l="1"/>
  <c r="AK135" i="2"/>
  <c r="AF135" i="2" s="1"/>
  <c r="AL135" i="2"/>
  <c r="AG135" i="2" s="1"/>
  <c r="AM135" i="2"/>
  <c r="AI135" i="2"/>
  <c r="M402" i="2"/>
  <c r="AH135" i="2" l="1"/>
  <c r="AD135" i="2" s="1"/>
  <c r="AE135" i="2"/>
  <c r="AC135" i="2" s="1"/>
  <c r="M403" i="2"/>
  <c r="AB136" i="2" l="1"/>
  <c r="Z136" i="2"/>
  <c r="Y136" i="2"/>
  <c r="AA136" i="2"/>
  <c r="M404" i="2"/>
  <c r="AK136" i="2" l="1"/>
  <c r="AL136" i="2"/>
  <c r="AG136" i="2" s="1"/>
  <c r="AE136" i="2"/>
  <c r="AM136" i="2"/>
  <c r="AI136" i="2" s="1"/>
  <c r="AF136" i="2"/>
  <c r="AJ136" i="2"/>
  <c r="M405" i="2"/>
  <c r="AC136" i="2" l="1"/>
  <c r="AH136" i="2"/>
  <c r="AD136" i="2" s="1"/>
  <c r="M406" i="2"/>
  <c r="AB137" i="2" l="1"/>
  <c r="Z137" i="2"/>
  <c r="Y137" i="2"/>
  <c r="AA137" i="2"/>
  <c r="M407" i="2"/>
  <c r="AL137" i="2" l="1"/>
  <c r="AG137" i="2" s="1"/>
  <c r="AM137" i="2"/>
  <c r="AJ137" i="2" s="1"/>
  <c r="AK137" i="2"/>
  <c r="AF137" i="2" s="1"/>
  <c r="AD137" i="2" s="1"/>
  <c r="AH137" i="2"/>
  <c r="M408" i="2"/>
  <c r="AB138" i="2" l="1"/>
  <c r="Z138" i="2"/>
  <c r="AI137" i="2"/>
  <c r="AE137" i="2"/>
  <c r="AC137" i="2" s="1"/>
  <c r="M409" i="2"/>
  <c r="Y138" i="2" l="1"/>
  <c r="AA138" i="2"/>
  <c r="M410" i="2"/>
  <c r="AM138" i="2" l="1"/>
  <c r="AJ138" i="2" s="1"/>
  <c r="AK138" i="2"/>
  <c r="AF138" i="2" s="1"/>
  <c r="AL138" i="2"/>
  <c r="AH138" i="2" s="1"/>
  <c r="M411" i="2"/>
  <c r="AD138" i="2" l="1"/>
  <c r="AG138" i="2"/>
  <c r="AE138" i="2"/>
  <c r="AI138" i="2"/>
  <c r="M412" i="2"/>
  <c r="AC138" i="2" l="1"/>
  <c r="Z139" i="2"/>
  <c r="AB139" i="2"/>
  <c r="M413" i="2"/>
  <c r="AA139" i="2" l="1"/>
  <c r="Y139" i="2"/>
  <c r="M414" i="2"/>
  <c r="AK139" i="2" l="1"/>
  <c r="AF139" i="2" s="1"/>
  <c r="AL139" i="2"/>
  <c r="AH139" i="2" s="1"/>
  <c r="AM139" i="2"/>
  <c r="AJ139" i="2" s="1"/>
  <c r="M415" i="2"/>
  <c r="AD139" i="2" l="1"/>
  <c r="AG139" i="2"/>
  <c r="AI139" i="2"/>
  <c r="AE139" i="2"/>
  <c r="AC139" i="2" s="1"/>
  <c r="M416" i="2"/>
  <c r="Y140" i="2" l="1"/>
  <c r="AA140" i="2"/>
  <c r="AB140" i="2"/>
  <c r="Z140" i="2"/>
  <c r="M417" i="2"/>
  <c r="AK140" i="2" l="1"/>
  <c r="AE140" i="2" s="1"/>
  <c r="AL140" i="2"/>
  <c r="AH140" i="2" s="1"/>
  <c r="AM140" i="2"/>
  <c r="AJ140" i="2" s="1"/>
  <c r="M418" i="2"/>
  <c r="AF140" i="2" l="1"/>
  <c r="AD140" i="2" s="1"/>
  <c r="AI140" i="2"/>
  <c r="AG140" i="2"/>
  <c r="AC140" i="2" s="1"/>
  <c r="M419" i="2"/>
  <c r="Y141" i="2" l="1"/>
  <c r="AA141" i="2"/>
  <c r="AB141" i="2"/>
  <c r="Z141" i="2"/>
  <c r="M420" i="2"/>
  <c r="AJ141" i="2" l="1"/>
  <c r="AL141" i="2"/>
  <c r="AH141" i="2" s="1"/>
  <c r="AE141" i="2"/>
  <c r="AM141" i="2"/>
  <c r="AI141" i="2" s="1"/>
  <c r="AG141" i="2"/>
  <c r="AK141" i="2"/>
  <c r="AF141" i="2" s="1"/>
  <c r="AD141" i="2" s="1"/>
  <c r="M421" i="2"/>
  <c r="AB142" i="2" l="1"/>
  <c r="Z142" i="2"/>
  <c r="AC141" i="2"/>
  <c r="M422" i="2"/>
  <c r="AA142" i="2" l="1"/>
  <c r="Y142" i="2"/>
  <c r="M423" i="2"/>
  <c r="AM142" i="2" l="1"/>
  <c r="AJ142" i="2" s="1"/>
  <c r="AK142" i="2"/>
  <c r="AF142" i="2" s="1"/>
  <c r="AL142" i="2"/>
  <c r="AH142" i="2" s="1"/>
  <c r="M424" i="2"/>
  <c r="AD142" i="2" l="1"/>
  <c r="AI142" i="2"/>
  <c r="AG142" i="2"/>
  <c r="AE142" i="2"/>
  <c r="AC142" i="2" s="1"/>
  <c r="M425" i="2"/>
  <c r="Y143" i="2" l="1"/>
  <c r="AA143" i="2"/>
  <c r="Z143" i="2"/>
  <c r="AB143" i="2"/>
  <c r="M426" i="2"/>
  <c r="AH143" i="2" l="1"/>
  <c r="AG143" i="2"/>
  <c r="AK143" i="2"/>
  <c r="AF143" i="2" s="1"/>
  <c r="AD143" i="2" s="1"/>
  <c r="AL143" i="2"/>
  <c r="AE143" i="2"/>
  <c r="AI143" i="2"/>
  <c r="AM143" i="2"/>
  <c r="AJ143" i="2" s="1"/>
  <c r="M427" i="2"/>
  <c r="AB144" i="2" l="1"/>
  <c r="Z144" i="2"/>
  <c r="AC143" i="2"/>
  <c r="M428" i="2"/>
  <c r="AA144" i="2" l="1"/>
  <c r="Y144" i="2"/>
  <c r="M429" i="2"/>
  <c r="AK144" i="2" l="1"/>
  <c r="AF144" i="2" s="1"/>
  <c r="AL144" i="2"/>
  <c r="AH144" i="2" s="1"/>
  <c r="AE144" i="2"/>
  <c r="AM144" i="2"/>
  <c r="AJ144" i="2" s="1"/>
  <c r="M430" i="2"/>
  <c r="AD144" i="2" l="1"/>
  <c r="AI144" i="2"/>
  <c r="AG144" i="2"/>
  <c r="AC144" i="2" s="1"/>
  <c r="M431" i="2"/>
  <c r="Y145" i="2" l="1"/>
  <c r="AA145" i="2"/>
  <c r="Z145" i="2"/>
  <c r="AB145" i="2"/>
  <c r="M432" i="2"/>
  <c r="AF145" i="2" l="1"/>
  <c r="AJ145" i="2"/>
  <c r="AL145" i="2"/>
  <c r="AH145" i="2" s="1"/>
  <c r="AE145" i="2"/>
  <c r="AM145" i="2"/>
  <c r="AI145" i="2" s="1"/>
  <c r="AG145" i="2"/>
  <c r="AK145" i="2"/>
  <c r="M433" i="2"/>
  <c r="AC145" i="2" l="1"/>
  <c r="AD145" i="2"/>
  <c r="M434" i="2"/>
  <c r="AB146" i="2" l="1"/>
  <c r="Z146" i="2"/>
  <c r="AA146" i="2"/>
  <c r="Y146" i="2"/>
  <c r="M435" i="2"/>
  <c r="AM146" i="2" l="1"/>
  <c r="AJ146" i="2" s="1"/>
  <c r="AK146" i="2"/>
  <c r="AF146" i="2" s="1"/>
  <c r="AL146" i="2"/>
  <c r="AG146" i="2" s="1"/>
  <c r="M436" i="2"/>
  <c r="AH146" i="2" l="1"/>
  <c r="AD146" i="2" s="1"/>
  <c r="AI146" i="2"/>
  <c r="AE146" i="2"/>
  <c r="AC146" i="2" s="1"/>
  <c r="M437" i="2"/>
  <c r="AB147" i="2" l="1"/>
  <c r="Z147" i="2"/>
  <c r="AA147" i="2"/>
  <c r="Y147" i="2"/>
  <c r="M438" i="2"/>
  <c r="AK147" i="2" l="1"/>
  <c r="AF147" i="2" s="1"/>
  <c r="AL147" i="2"/>
  <c r="AG147" i="2" s="1"/>
  <c r="AM147" i="2"/>
  <c r="AI147" i="2" s="1"/>
  <c r="AH147" i="2"/>
  <c r="M439" i="2"/>
  <c r="AE147" i="2" l="1"/>
  <c r="AC147" i="2" s="1"/>
  <c r="AJ147" i="2"/>
  <c r="AD147" i="2" s="1"/>
  <c r="M440" i="2"/>
  <c r="AB148" i="2" l="1"/>
  <c r="Z148" i="2"/>
  <c r="AA148" i="2"/>
  <c r="Y148" i="2"/>
  <c r="M441" i="2"/>
  <c r="AK148" i="2" l="1"/>
  <c r="AF148" i="2" s="1"/>
  <c r="AL148" i="2"/>
  <c r="AG148" i="2" s="1"/>
  <c r="AM148" i="2"/>
  <c r="AI148" i="2" s="1"/>
  <c r="M442" i="2"/>
  <c r="AH148" i="2" l="1"/>
  <c r="AD148" i="2" s="1"/>
  <c r="AJ148" i="2"/>
  <c r="AE148" i="2"/>
  <c r="AC148" i="2" s="1"/>
  <c r="M443" i="2"/>
  <c r="AB149" i="2" l="1"/>
  <c r="Z149" i="2"/>
  <c r="AA149" i="2"/>
  <c r="Y149" i="2"/>
  <c r="M444" i="2"/>
  <c r="AL149" i="2" l="1"/>
  <c r="AH149" i="2" s="1"/>
  <c r="AI149" i="2"/>
  <c r="AM149" i="2"/>
  <c r="AK149" i="2"/>
  <c r="AF149" i="2" s="1"/>
  <c r="AD149" i="2" s="1"/>
  <c r="AG149" i="2"/>
  <c r="AJ149" i="2"/>
  <c r="M445" i="2"/>
  <c r="AB150" i="2" l="1"/>
  <c r="Z150" i="2"/>
  <c r="AE149" i="2"/>
  <c r="AC149" i="2" s="1"/>
  <c r="M446" i="2"/>
  <c r="AA150" i="2" l="1"/>
  <c r="Y150" i="2"/>
  <c r="M447" i="2"/>
  <c r="AM150" i="2" l="1"/>
  <c r="AJ150" i="2" s="1"/>
  <c r="AK150" i="2"/>
  <c r="AF150" i="2" s="1"/>
  <c r="AL150" i="2"/>
  <c r="AH150" i="2" s="1"/>
  <c r="M448" i="2"/>
  <c r="AD150" i="2" l="1"/>
  <c r="AI150" i="2"/>
  <c r="AG150" i="2"/>
  <c r="AE150" i="2"/>
  <c r="AC150" i="2" s="1"/>
  <c r="M449" i="2"/>
  <c r="Y151" i="2" l="1"/>
  <c r="AA151" i="2"/>
  <c r="Z151" i="2"/>
  <c r="AB151" i="2"/>
  <c r="M450" i="2"/>
  <c r="AF151" i="2" l="1"/>
  <c r="AG151" i="2"/>
  <c r="AK151" i="2"/>
  <c r="AL151" i="2"/>
  <c r="AH151" i="2" s="1"/>
  <c r="AM151" i="2"/>
  <c r="AI151" i="2" s="1"/>
  <c r="AE151" i="2"/>
  <c r="M451" i="2"/>
  <c r="AJ151" i="2" l="1"/>
  <c r="AD151" i="2" s="1"/>
  <c r="AC151" i="2"/>
  <c r="M452" i="2"/>
  <c r="AB152" i="2" l="1"/>
  <c r="Z152" i="2"/>
  <c r="AA152" i="2"/>
  <c r="Y152" i="2"/>
  <c r="M453" i="2"/>
  <c r="AK152" i="2" l="1"/>
  <c r="AL152" i="2"/>
  <c r="AG152" i="2" s="1"/>
  <c r="AE152" i="2"/>
  <c r="AI152" i="2"/>
  <c r="AM152" i="2"/>
  <c r="AH152" i="2"/>
  <c r="AF152" i="2"/>
  <c r="AJ152" i="2"/>
  <c r="M454" i="2"/>
  <c r="AC152" i="2" l="1"/>
  <c r="AD152" i="2"/>
  <c r="M455" i="2"/>
  <c r="AB153" i="2" l="1"/>
  <c r="Z153" i="2"/>
  <c r="Y153" i="2"/>
  <c r="AA153" i="2"/>
  <c r="M456" i="2"/>
  <c r="AJ153" i="2" l="1"/>
  <c r="AL153" i="2"/>
  <c r="AH153" i="2" s="1"/>
  <c r="AI153" i="2"/>
  <c r="AM153" i="2"/>
  <c r="AG153" i="2"/>
  <c r="AK153" i="2"/>
  <c r="AE153" i="2" s="1"/>
  <c r="AC153" i="2" s="1"/>
  <c r="M457" i="2"/>
  <c r="AA154" i="2" l="1"/>
  <c r="Y154" i="2"/>
  <c r="AF153" i="2"/>
  <c r="AD153" i="2" s="1"/>
  <c r="M458" i="2"/>
  <c r="Z154" i="2" l="1"/>
  <c r="AB154" i="2"/>
  <c r="M459" i="2"/>
  <c r="AH154" i="2" l="1"/>
  <c r="AL154" i="2"/>
  <c r="AG154" i="2" s="1"/>
  <c r="AM154" i="2"/>
  <c r="AI154" i="2" s="1"/>
  <c r="AK154" i="2"/>
  <c r="AE154" i="2" s="1"/>
  <c r="AC154" i="2" s="1"/>
  <c r="M460" i="2"/>
  <c r="AA155" i="2" l="1"/>
  <c r="Y155" i="2"/>
  <c r="AJ154" i="2"/>
  <c r="AF154" i="2"/>
  <c r="AD154" i="2" s="1"/>
  <c r="M461" i="2"/>
  <c r="AB155" i="2" l="1"/>
  <c r="Z155" i="2"/>
  <c r="AG155" i="2"/>
  <c r="AL155" i="2"/>
  <c r="AM155" i="2"/>
  <c r="AI155" i="2"/>
  <c r="AE155" i="2"/>
  <c r="AC155" i="2" s="1"/>
  <c r="AA156" i="2" s="1"/>
  <c r="AK155" i="2"/>
  <c r="M462" i="2"/>
  <c r="Y156" i="2" l="1"/>
  <c r="AF155" i="2"/>
  <c r="AD155" i="2" s="1"/>
  <c r="AB156" i="2" s="1"/>
  <c r="AJ155" i="2"/>
  <c r="AH155" i="2"/>
  <c r="M463" i="2"/>
  <c r="Z156" i="2" l="1"/>
  <c r="AK156" i="2"/>
  <c r="AE156" i="2" s="1"/>
  <c r="M464" i="2"/>
  <c r="AH156" i="2" l="1"/>
  <c r="AF156" i="2"/>
  <c r="AL156" i="2"/>
  <c r="AG156" i="2" s="1"/>
  <c r="AC156" i="2" s="1"/>
  <c r="AM156" i="2"/>
  <c r="AI156" i="2" s="1"/>
  <c r="M465" i="2"/>
  <c r="AA157" i="2" l="1"/>
  <c r="Y157" i="2"/>
  <c r="AJ156" i="2"/>
  <c r="AD156" i="2" s="1"/>
  <c r="M466" i="2"/>
  <c r="AB157" i="2" l="1"/>
  <c r="Z157" i="2"/>
  <c r="AL157" i="2"/>
  <c r="AI157" i="2"/>
  <c r="AK157" i="2"/>
  <c r="AE157" i="2" s="1"/>
  <c r="AC157" i="2" s="1"/>
  <c r="AG157" i="2"/>
  <c r="AM157" i="2"/>
  <c r="M467" i="2"/>
  <c r="Y158" i="2" l="1"/>
  <c r="AA158" i="2"/>
  <c r="AH157" i="2"/>
  <c r="AJ157" i="2"/>
  <c r="AF157" i="2"/>
  <c r="M468" i="2"/>
  <c r="AD157" i="2" l="1"/>
  <c r="M469" i="2"/>
  <c r="Z158" i="2" l="1"/>
  <c r="AB158" i="2"/>
  <c r="M470" i="2"/>
  <c r="AM158" i="2" l="1"/>
  <c r="AI158" i="2" s="1"/>
  <c r="AK158" i="2"/>
  <c r="AE158" i="2" s="1"/>
  <c r="AL158" i="2"/>
  <c r="AG158" i="2" s="1"/>
  <c r="M471" i="2"/>
  <c r="AF158" i="2" l="1"/>
  <c r="AC158" i="2"/>
  <c r="AJ158" i="2"/>
  <c r="AH158" i="2"/>
  <c r="M472" i="2"/>
  <c r="Y159" i="2" l="1"/>
  <c r="AA159" i="2"/>
  <c r="AD158" i="2"/>
  <c r="M473" i="2"/>
  <c r="AB159" i="2" l="1"/>
  <c r="Z159" i="2"/>
  <c r="AK159" i="2"/>
  <c r="AE159" i="2" s="1"/>
  <c r="AL159" i="2"/>
  <c r="AG159" i="2" s="1"/>
  <c r="M474" i="2"/>
  <c r="AF159" i="2" l="1"/>
  <c r="AH159" i="2"/>
  <c r="AM159" i="2"/>
  <c r="AI159" i="2" s="1"/>
  <c r="AC159" i="2" s="1"/>
  <c r="M475" i="2"/>
  <c r="AA160" i="2" l="1"/>
  <c r="Y160" i="2"/>
  <c r="AJ159" i="2"/>
  <c r="AD159" i="2" s="1"/>
  <c r="M476" i="2"/>
  <c r="Z160" i="2" l="1"/>
  <c r="AB160" i="2"/>
  <c r="AK160" i="2"/>
  <c r="AE160" i="2" s="1"/>
  <c r="AL160" i="2"/>
  <c r="AG160" i="2" s="1"/>
  <c r="AM160" i="2"/>
  <c r="AI160" i="2" s="1"/>
  <c r="M477" i="2"/>
  <c r="AC160" i="2" l="1"/>
  <c r="AF160" i="2"/>
  <c r="AD160" i="2" s="1"/>
  <c r="AB161" i="2" s="1"/>
  <c r="AH160" i="2"/>
  <c r="AJ160" i="2"/>
  <c r="M478" i="2"/>
  <c r="Z161" i="2" l="1"/>
  <c r="Y161" i="2"/>
  <c r="AA161" i="2"/>
  <c r="M479" i="2"/>
  <c r="AL161" i="2" l="1"/>
  <c r="AG161" i="2"/>
  <c r="AM161" i="2"/>
  <c r="AI161" i="2"/>
  <c r="AE161" i="2"/>
  <c r="AC161" i="2" s="1"/>
  <c r="Y162" i="2" s="1"/>
  <c r="AK161" i="2"/>
  <c r="AH161" i="2"/>
  <c r="AJ161" i="2"/>
  <c r="AF161" i="2"/>
  <c r="M480" i="2"/>
  <c r="AD161" i="2" l="1"/>
  <c r="AA162" i="2"/>
  <c r="M481" i="2"/>
  <c r="AB162" i="2" l="1"/>
  <c r="Z162" i="2"/>
  <c r="M482" i="2"/>
  <c r="AL162" i="2" l="1"/>
  <c r="AG162" i="2" s="1"/>
  <c r="AK162" i="2"/>
  <c r="AE162" i="2" s="1"/>
  <c r="AC162" i="2" s="1"/>
  <c r="AM162" i="2"/>
  <c r="AI162" i="2" s="1"/>
  <c r="M483" i="2"/>
  <c r="AJ162" i="2" l="1"/>
  <c r="AA163" i="2"/>
  <c r="Y163" i="2"/>
  <c r="AF162" i="2"/>
  <c r="AD162" i="2" s="1"/>
  <c r="AH162" i="2"/>
  <c r="M484" i="2"/>
  <c r="AB163" i="2" l="1"/>
  <c r="Z163" i="2"/>
  <c r="AK163" i="2" s="1"/>
  <c r="AE163" i="2" s="1"/>
  <c r="M485" i="2"/>
  <c r="AF163" i="2" l="1"/>
  <c r="AL163" i="2"/>
  <c r="AG163" i="2" s="1"/>
  <c r="AC163" i="2" s="1"/>
  <c r="AM163" i="2"/>
  <c r="AI163" i="2" s="1"/>
  <c r="M486" i="2"/>
  <c r="AA164" i="2" l="1"/>
  <c r="Y164" i="2"/>
  <c r="AJ163" i="2"/>
  <c r="AD163" i="2"/>
  <c r="AH163" i="2"/>
  <c r="M487" i="2"/>
  <c r="AB164" i="2" l="1"/>
  <c r="Z164" i="2"/>
  <c r="AG164" i="2"/>
  <c r="AL164" i="2"/>
  <c r="M488" i="2"/>
  <c r="AH164" i="2" l="1"/>
  <c r="AM164" i="2"/>
  <c r="AI164" i="2" s="1"/>
  <c r="AK164" i="2"/>
  <c r="AE164" i="2" s="1"/>
  <c r="M489" i="2"/>
  <c r="AC164" i="2" l="1"/>
  <c r="AJ164" i="2"/>
  <c r="AF164" i="2"/>
  <c r="AD164" i="2" s="1"/>
  <c r="M490" i="2"/>
  <c r="Z165" i="2" l="1"/>
  <c r="AB165" i="2"/>
  <c r="Y165" i="2"/>
  <c r="AA165" i="2"/>
  <c r="M491" i="2"/>
  <c r="AG165" i="2" l="1"/>
  <c r="AK165" i="2"/>
  <c r="AE165" i="2" s="1"/>
  <c r="AL165" i="2"/>
  <c r="AM165" i="2"/>
  <c r="AJ165" i="2" s="1"/>
  <c r="AH165" i="2"/>
  <c r="M492" i="2"/>
  <c r="AF165" i="2" l="1"/>
  <c r="AD165" i="2" s="1"/>
  <c r="AI165" i="2"/>
  <c r="AC165" i="2" s="1"/>
  <c r="M493" i="2"/>
  <c r="Y166" i="2" l="1"/>
  <c r="AA166" i="2"/>
  <c r="AB166" i="2"/>
  <c r="Z166" i="2"/>
  <c r="M494" i="2"/>
  <c r="AJ166" i="2" l="1"/>
  <c r="AL166" i="2"/>
  <c r="AH166" i="2" s="1"/>
  <c r="AE166" i="2"/>
  <c r="AM166" i="2"/>
  <c r="AI166" i="2" s="1"/>
  <c r="AG166" i="2"/>
  <c r="AK166" i="2"/>
  <c r="AF166" i="2" s="1"/>
  <c r="AD166" i="2" s="1"/>
  <c r="M495" i="2"/>
  <c r="AB167" i="2" l="1"/>
  <c r="Z167" i="2"/>
  <c r="AC166" i="2"/>
  <c r="M496" i="2"/>
  <c r="AA167" i="2" l="1"/>
  <c r="Y167" i="2"/>
  <c r="M497" i="2"/>
  <c r="AM167" i="2" l="1"/>
  <c r="AJ167" i="2" s="1"/>
  <c r="AK167" i="2"/>
  <c r="AF167" i="2" s="1"/>
  <c r="AL167" i="2"/>
  <c r="AH167" i="2" s="1"/>
  <c r="M498" i="2"/>
  <c r="AD167" i="2" l="1"/>
  <c r="AI167" i="2"/>
  <c r="AG167" i="2"/>
  <c r="AE167" i="2"/>
  <c r="AC167" i="2" s="1"/>
  <c r="M499" i="2"/>
  <c r="AA168" i="2" l="1"/>
  <c r="Y168" i="2"/>
  <c r="Z168" i="2"/>
  <c r="AB168" i="2"/>
  <c r="M500" i="2"/>
  <c r="AK168" i="2" l="1"/>
  <c r="AF168" i="2" s="1"/>
  <c r="AL168" i="2"/>
  <c r="AG168" i="2" s="1"/>
  <c r="AM168" i="2"/>
  <c r="AI168" i="2" s="1"/>
  <c r="M501" i="2"/>
  <c r="AH168" i="2" l="1"/>
  <c r="AD168" i="2" s="1"/>
  <c r="AJ168" i="2"/>
  <c r="AE168" i="2"/>
  <c r="AC168" i="2" s="1"/>
  <c r="M502" i="2"/>
  <c r="Z169" i="2" l="1"/>
  <c r="AB169" i="2"/>
  <c r="Y169" i="2"/>
  <c r="AA169" i="2"/>
  <c r="M503" i="2"/>
  <c r="AK169" i="2" l="1"/>
  <c r="AE169" i="2" s="1"/>
  <c r="AL169" i="2"/>
  <c r="AG169" i="2" s="1"/>
  <c r="AM169" i="2"/>
  <c r="AJ169" i="2" s="1"/>
  <c r="M504" i="2"/>
  <c r="AH169" i="2" l="1"/>
  <c r="AI169" i="2"/>
  <c r="AC169" i="2" s="1"/>
  <c r="AF169" i="2"/>
  <c r="AD169" i="2" s="1"/>
  <c r="M505" i="2"/>
  <c r="Y170" i="2" l="1"/>
  <c r="AA170" i="2"/>
  <c r="AB170" i="2"/>
  <c r="Z170" i="2"/>
  <c r="M506" i="2"/>
  <c r="AL170" i="2" l="1"/>
  <c r="AH170" i="2" s="1"/>
  <c r="AM170" i="2"/>
  <c r="AJ170" i="2" s="1"/>
  <c r="AG170" i="2"/>
  <c r="AK170" i="2"/>
  <c r="AF170" i="2" s="1"/>
  <c r="M507" i="2"/>
  <c r="AD170" i="2" l="1"/>
  <c r="AE170" i="2"/>
  <c r="AC170" i="2" s="1"/>
  <c r="AI170" i="2"/>
  <c r="M508" i="2"/>
  <c r="AA171" i="2" l="1"/>
  <c r="Y171" i="2"/>
  <c r="AB171" i="2"/>
  <c r="Z171" i="2"/>
  <c r="M509" i="2"/>
  <c r="AM171" i="2" l="1"/>
  <c r="AJ171" i="2" s="1"/>
  <c r="AK171" i="2"/>
  <c r="AF171" i="2" s="1"/>
  <c r="AL171" i="2"/>
  <c r="AG171" i="2" s="1"/>
  <c r="M510" i="2"/>
  <c r="AH171" i="2" l="1"/>
  <c r="AD171" i="2" s="1"/>
  <c r="AI171" i="2"/>
  <c r="AE171" i="2"/>
  <c r="AC171" i="2" s="1"/>
  <c r="M511" i="2"/>
  <c r="Z172" i="2" l="1"/>
  <c r="AB172" i="2"/>
  <c r="AA172" i="2"/>
  <c r="Y172" i="2"/>
  <c r="M512" i="2"/>
  <c r="AK172" i="2" l="1"/>
  <c r="AL172" i="2"/>
  <c r="AG172" i="2" s="1"/>
  <c r="AM172" i="2"/>
  <c r="AI172" i="2" s="1"/>
  <c r="AE172" i="2"/>
  <c r="AF172" i="2"/>
  <c r="AH172" i="2"/>
  <c r="M513" i="2"/>
  <c r="AJ172" i="2" l="1"/>
  <c r="AD172" i="2" s="1"/>
  <c r="AC172" i="2"/>
  <c r="M514" i="2"/>
  <c r="AB173" i="2" l="1"/>
  <c r="Z173" i="2"/>
  <c r="AA173" i="2"/>
  <c r="Y173" i="2"/>
  <c r="M515" i="2"/>
  <c r="AK173" i="2" l="1"/>
  <c r="AE173" i="2" s="1"/>
  <c r="AL173" i="2"/>
  <c r="AH173" i="2" s="1"/>
  <c r="AM173" i="2"/>
  <c r="AI173" i="2" s="1"/>
  <c r="AF173" i="2"/>
  <c r="M516" i="2"/>
  <c r="AJ173" i="2" l="1"/>
  <c r="AD173" i="2" s="1"/>
  <c r="AG173" i="2"/>
  <c r="AC173" i="2" s="1"/>
  <c r="M517" i="2"/>
  <c r="AA174" i="2" l="1"/>
  <c r="Y174" i="2"/>
  <c r="Z174" i="2"/>
  <c r="AB174" i="2"/>
  <c r="M518" i="2"/>
  <c r="AJ174" i="2" l="1"/>
  <c r="AL174" i="2"/>
  <c r="AH174" i="2" s="1"/>
  <c r="AI174" i="2"/>
  <c r="AM174" i="2"/>
  <c r="AK174" i="2"/>
  <c r="AE174" i="2" s="1"/>
  <c r="AC174" i="2" s="1"/>
  <c r="AG174" i="2"/>
  <c r="M519" i="2"/>
  <c r="AA175" i="2" l="1"/>
  <c r="Y175" i="2"/>
  <c r="AF174" i="2"/>
  <c r="AD174" i="2" s="1"/>
  <c r="M520" i="2"/>
  <c r="AK175" i="2" l="1"/>
  <c r="AE175" i="2" s="1"/>
  <c r="AB175" i="2"/>
  <c r="Z175" i="2"/>
  <c r="AM175" i="2" s="1"/>
  <c r="AI175" i="2" s="1"/>
  <c r="M521" i="2"/>
  <c r="AL175" i="2" l="1"/>
  <c r="AG175" i="2" s="1"/>
  <c r="AC175" i="2" s="1"/>
  <c r="AF175" i="2"/>
  <c r="AJ175" i="2"/>
  <c r="M522" i="2"/>
  <c r="AA176" i="2" l="1"/>
  <c r="Y176" i="2"/>
  <c r="AH175" i="2"/>
  <c r="AD175" i="2" s="1"/>
  <c r="M523" i="2"/>
  <c r="AB176" i="2" l="1"/>
  <c r="Z176" i="2"/>
  <c r="AM176" i="2" s="1"/>
  <c r="AI176" i="2" s="1"/>
  <c r="M524" i="2"/>
  <c r="AJ176" i="2" l="1"/>
  <c r="AL176" i="2"/>
  <c r="AG176" i="2" s="1"/>
  <c r="AK176" i="2"/>
  <c r="AE176" i="2" s="1"/>
  <c r="AC176" i="2" s="1"/>
  <c r="M525" i="2"/>
  <c r="AA177" i="2" l="1"/>
  <c r="Y177" i="2"/>
  <c r="AH176" i="2"/>
  <c r="AF176" i="2"/>
  <c r="AD176" i="2" s="1"/>
  <c r="M526" i="2"/>
  <c r="Z177" i="2" l="1"/>
  <c r="AK177" i="2" s="1"/>
  <c r="AE177" i="2" s="1"/>
  <c r="AB177" i="2"/>
  <c r="M527" i="2"/>
  <c r="AL177" i="2" l="1"/>
  <c r="AG177" i="2" s="1"/>
  <c r="AC177" i="2" s="1"/>
  <c r="AM177" i="2"/>
  <c r="AI177" i="2" s="1"/>
  <c r="AF177" i="2"/>
  <c r="M528" i="2"/>
  <c r="AA178" i="2" l="1"/>
  <c r="Y178" i="2"/>
  <c r="AJ177" i="2"/>
  <c r="AD177" i="2"/>
  <c r="AH177" i="2"/>
  <c r="M529" i="2"/>
  <c r="Z178" i="2" l="1"/>
  <c r="AB178" i="2"/>
  <c r="AL178" i="2"/>
  <c r="AE178" i="2"/>
  <c r="AM178" i="2"/>
  <c r="AI178" i="2" s="1"/>
  <c r="AG178" i="2"/>
  <c r="AK178" i="2"/>
  <c r="M530" i="2"/>
  <c r="AC178" i="2" l="1"/>
  <c r="AH178" i="2"/>
  <c r="AF178" i="2"/>
  <c r="AD178" i="2" s="1"/>
  <c r="AB179" i="2" s="1"/>
  <c r="AJ178" i="2"/>
  <c r="M531" i="2"/>
  <c r="Z179" i="2" l="1"/>
  <c r="AA179" i="2"/>
  <c r="Y179" i="2"/>
  <c r="M532" i="2"/>
  <c r="AM179" i="2" l="1"/>
  <c r="AJ179" i="2" s="1"/>
  <c r="AK179" i="2"/>
  <c r="AF179" i="2" s="1"/>
  <c r="AL179" i="2"/>
  <c r="AG179" i="2" s="1"/>
  <c r="M533" i="2"/>
  <c r="AH179" i="2" l="1"/>
  <c r="AD179" i="2" s="1"/>
  <c r="AI179" i="2"/>
  <c r="AE179" i="2"/>
  <c r="AC179" i="2" s="1"/>
  <c r="M534" i="2"/>
  <c r="AB180" i="2" l="1"/>
  <c r="Z180" i="2"/>
  <c r="AA180" i="2"/>
  <c r="Y180" i="2"/>
  <c r="M535" i="2"/>
  <c r="AK180" i="2" l="1"/>
  <c r="AE180" i="2" s="1"/>
  <c r="AL180" i="2"/>
  <c r="AG180" i="2" s="1"/>
  <c r="AM180" i="2"/>
  <c r="AI180" i="2" s="1"/>
  <c r="AH180" i="2"/>
  <c r="M536" i="2"/>
  <c r="AC180" i="2" l="1"/>
  <c r="AJ180" i="2"/>
  <c r="AF180" i="2"/>
  <c r="AD180" i="2" s="1"/>
  <c r="M537" i="2"/>
  <c r="AB181" i="2" l="1"/>
  <c r="Z181" i="2"/>
  <c r="Y181" i="2"/>
  <c r="AA181" i="2"/>
  <c r="M538" i="2"/>
  <c r="AK181" i="2" l="1"/>
  <c r="AE181" i="2" s="1"/>
  <c r="AL181" i="2"/>
  <c r="AG181" i="2" s="1"/>
  <c r="AM181" i="2"/>
  <c r="AI181" i="2" s="1"/>
  <c r="AF181" i="2"/>
  <c r="AJ181" i="2"/>
  <c r="M539" i="2"/>
  <c r="AC181" i="2" l="1"/>
  <c r="AH181" i="2"/>
  <c r="AD181" i="2" s="1"/>
  <c r="M540" i="2"/>
  <c r="Z182" i="2" l="1"/>
  <c r="AB182" i="2"/>
  <c r="AA182" i="2"/>
  <c r="Y182" i="2"/>
  <c r="M541" i="2"/>
  <c r="AL182" i="2" l="1"/>
  <c r="AM182" i="2"/>
  <c r="AI182" i="2" s="1"/>
  <c r="AG182" i="2"/>
  <c r="AK182" i="2"/>
  <c r="AF182" i="2" s="1"/>
  <c r="AD182" i="2" s="1"/>
  <c r="AH182" i="2"/>
  <c r="AJ182" i="2"/>
  <c r="M542" i="2"/>
  <c r="AB183" i="2" l="1"/>
  <c r="Z183" i="2"/>
  <c r="AE182" i="2"/>
  <c r="AC182" i="2" s="1"/>
  <c r="M543" i="2"/>
  <c r="Y183" i="2" l="1"/>
  <c r="AA183" i="2"/>
  <c r="M544" i="2"/>
  <c r="AM183" i="2" l="1"/>
  <c r="AJ183" i="2" s="1"/>
  <c r="AK183" i="2"/>
  <c r="AF183" i="2" s="1"/>
  <c r="AL183" i="2"/>
  <c r="AH183" i="2" s="1"/>
  <c r="M545" i="2"/>
  <c r="AD183" i="2" l="1"/>
  <c r="AI183" i="2"/>
  <c r="AG183" i="2"/>
  <c r="AE183" i="2"/>
  <c r="AC183" i="2" s="1"/>
  <c r="M546" i="2"/>
  <c r="AA184" i="2" l="1"/>
  <c r="Y184" i="2"/>
  <c r="AB184" i="2"/>
  <c r="Z184" i="2"/>
  <c r="M547" i="2"/>
  <c r="AG184" i="2" l="1"/>
  <c r="AK184" i="2"/>
  <c r="AF184" i="2" s="1"/>
  <c r="AL184" i="2"/>
  <c r="AM184" i="2"/>
  <c r="AJ184" i="2" s="1"/>
  <c r="AH184" i="2"/>
  <c r="M548" i="2"/>
  <c r="AD184" i="2" l="1"/>
  <c r="AI184" i="2"/>
  <c r="AE184" i="2"/>
  <c r="AC184" i="2" s="1"/>
  <c r="M549" i="2"/>
  <c r="AA185" i="2" l="1"/>
  <c r="Y185" i="2"/>
  <c r="AB185" i="2"/>
  <c r="Z185" i="2"/>
  <c r="M550" i="2"/>
  <c r="AK185" i="2" l="1"/>
  <c r="AE185" i="2" s="1"/>
  <c r="AL185" i="2"/>
  <c r="AH185" i="2" s="1"/>
  <c r="AM185" i="2"/>
  <c r="AI185" i="2" s="1"/>
  <c r="AJ185" i="2"/>
  <c r="M551" i="2"/>
  <c r="AF185" i="2" l="1"/>
  <c r="AD185" i="2" s="1"/>
  <c r="AG185" i="2"/>
  <c r="AC185" i="2" s="1"/>
  <c r="M552" i="2"/>
  <c r="AA186" i="2" l="1"/>
  <c r="Y186" i="2"/>
  <c r="AB186" i="2"/>
  <c r="Z186" i="2"/>
  <c r="M553" i="2"/>
  <c r="AJ186" i="2" l="1"/>
  <c r="AL186" i="2"/>
  <c r="AH186" i="2" s="1"/>
  <c r="AI186" i="2"/>
  <c r="AM186" i="2"/>
  <c r="AG186" i="2"/>
  <c r="AK186" i="2"/>
  <c r="AF186" i="2" s="1"/>
  <c r="AD186" i="2" s="1"/>
  <c r="M554" i="2"/>
  <c r="AB187" i="2" l="1"/>
  <c r="Z187" i="2"/>
  <c r="AE186" i="2"/>
  <c r="AC186" i="2" s="1"/>
  <c r="M555" i="2"/>
  <c r="AA187" i="2" l="1"/>
  <c r="Y187" i="2"/>
  <c r="M556" i="2"/>
  <c r="AM187" i="2" l="1"/>
  <c r="AJ187" i="2" s="1"/>
  <c r="AK187" i="2"/>
  <c r="AF187" i="2" s="1"/>
  <c r="AL187" i="2"/>
  <c r="AH187" i="2" s="1"/>
  <c r="M557" i="2"/>
  <c r="AD187" i="2" l="1"/>
  <c r="AI187" i="2"/>
  <c r="AG187" i="2"/>
  <c r="AE187" i="2"/>
  <c r="AC187" i="2" s="1"/>
  <c r="M558" i="2"/>
  <c r="Y188" i="2" l="1"/>
  <c r="AA188" i="2"/>
  <c r="Z188" i="2"/>
  <c r="AB188" i="2"/>
  <c r="M559" i="2"/>
  <c r="AF188" i="2" l="1"/>
  <c r="AG188" i="2"/>
  <c r="AK188" i="2"/>
  <c r="AL188" i="2"/>
  <c r="AH188" i="2" s="1"/>
  <c r="AM188" i="2"/>
  <c r="AJ188" i="2" s="1"/>
  <c r="AE188" i="2"/>
  <c r="M560" i="2"/>
  <c r="AI188" i="2" l="1"/>
  <c r="AD188" i="2"/>
  <c r="AC188" i="2"/>
  <c r="M561" i="2"/>
  <c r="AA189" i="2" l="1"/>
  <c r="Y189" i="2"/>
  <c r="AB189" i="2"/>
  <c r="Z189" i="2"/>
  <c r="M562" i="2"/>
  <c r="AK189" i="2" l="1"/>
  <c r="AE189" i="2" s="1"/>
  <c r="AL189" i="2"/>
  <c r="AH189" i="2" s="1"/>
  <c r="AM189" i="2"/>
  <c r="AI189" i="2" s="1"/>
  <c r="M563" i="2"/>
  <c r="AF189" i="2" l="1"/>
  <c r="AJ189" i="2"/>
  <c r="AG189" i="2"/>
  <c r="AC189" i="2" s="1"/>
  <c r="M564" i="2"/>
  <c r="AA190" i="2" l="1"/>
  <c r="Y190" i="2"/>
  <c r="AD189" i="2"/>
  <c r="M565" i="2"/>
  <c r="Z190" i="2" l="1"/>
  <c r="AB190" i="2"/>
  <c r="AL190" i="2"/>
  <c r="AG190" i="2" s="1"/>
  <c r="AM190" i="2"/>
  <c r="AI190" i="2" s="1"/>
  <c r="AK190" i="2"/>
  <c r="AE190" i="2" s="1"/>
  <c r="AC190" i="2" s="1"/>
  <c r="M566" i="2"/>
  <c r="AA191" i="2" l="1"/>
  <c r="Y191" i="2"/>
  <c r="AH190" i="2"/>
  <c r="AF190" i="2"/>
  <c r="AJ190" i="2"/>
  <c r="M567" i="2"/>
  <c r="AD190" i="2" l="1"/>
  <c r="M568" i="2"/>
  <c r="Z191" i="2" l="1"/>
  <c r="AB191" i="2"/>
  <c r="M569" i="2"/>
  <c r="AJ191" i="2" l="1"/>
  <c r="AM191" i="2"/>
  <c r="AI191" i="2" s="1"/>
  <c r="AK191" i="2"/>
  <c r="AE191" i="2" s="1"/>
  <c r="AL191" i="2"/>
  <c r="AG191" i="2" s="1"/>
  <c r="M570" i="2"/>
  <c r="AC191" i="2" l="1"/>
  <c r="AF191" i="2"/>
  <c r="AH191" i="2"/>
  <c r="M571" i="2"/>
  <c r="AD191" i="2" l="1"/>
  <c r="AA192" i="2"/>
  <c r="Y192" i="2"/>
  <c r="M572" i="2"/>
  <c r="AK192" i="2" l="1"/>
  <c r="AE192" i="2" s="1"/>
  <c r="AB192" i="2"/>
  <c r="Z192" i="2"/>
  <c r="M573" i="2"/>
  <c r="AF192" i="2" l="1"/>
  <c r="AM192" i="2"/>
  <c r="AI192" i="2" s="1"/>
  <c r="AL192" i="2"/>
  <c r="AG192" i="2" s="1"/>
  <c r="AC192" i="2" s="1"/>
  <c r="M574" i="2"/>
  <c r="AA193" i="2" l="1"/>
  <c r="Y193" i="2"/>
  <c r="AJ192" i="2"/>
  <c r="AD192" i="2"/>
  <c r="AH192" i="2"/>
  <c r="M575" i="2"/>
  <c r="AB193" i="2" l="1"/>
  <c r="Z193" i="2"/>
  <c r="AK193" i="2"/>
  <c r="AE193" i="2" s="1"/>
  <c r="AM193" i="2"/>
  <c r="AI193" i="2" s="1"/>
  <c r="M576" i="2"/>
  <c r="AH193" i="2" l="1"/>
  <c r="AF193" i="2"/>
  <c r="AD193" i="2" s="1"/>
  <c r="Z194" i="2" s="1"/>
  <c r="AJ193" i="2"/>
  <c r="AL193" i="2"/>
  <c r="AG193" i="2" s="1"/>
  <c r="AC193" i="2" s="1"/>
  <c r="M577" i="2"/>
  <c r="Y194" i="2" l="1"/>
  <c r="AA194" i="2"/>
  <c r="AB194" i="2"/>
  <c r="M578" i="2"/>
  <c r="AL194" i="2" l="1"/>
  <c r="AH194" i="2" s="1"/>
  <c r="AM194" i="2"/>
  <c r="AJ194" i="2" s="1"/>
  <c r="AK194" i="2"/>
  <c r="AF194" i="2" s="1"/>
  <c r="M579" i="2"/>
  <c r="AD194" i="2" l="1"/>
  <c r="AI194" i="2"/>
  <c r="AG194" i="2"/>
  <c r="AE194" i="2"/>
  <c r="AC194" i="2" s="1"/>
  <c r="M580" i="2"/>
  <c r="Y195" i="2" l="1"/>
  <c r="AA195" i="2"/>
  <c r="AB195" i="2"/>
  <c r="Z195" i="2"/>
  <c r="M581" i="2"/>
  <c r="AM195" i="2" l="1"/>
  <c r="AJ195" i="2" s="1"/>
  <c r="AK195" i="2"/>
  <c r="AF195" i="2" s="1"/>
  <c r="AL195" i="2"/>
  <c r="AG195" i="2" s="1"/>
  <c r="M582" i="2"/>
  <c r="AI195" i="2" l="1"/>
  <c r="AH195" i="2"/>
  <c r="AD195" i="2" s="1"/>
  <c r="AE195" i="2"/>
  <c r="AC195" i="2" s="1"/>
  <c r="M583" i="2"/>
  <c r="AB196" i="2" l="1"/>
  <c r="Z196" i="2"/>
  <c r="AA196" i="2"/>
  <c r="Y196" i="2"/>
  <c r="M584" i="2"/>
  <c r="AK196" i="2" l="1"/>
  <c r="AE196" i="2" s="1"/>
  <c r="AL196" i="2"/>
  <c r="AG196" i="2" s="1"/>
  <c r="AM196" i="2"/>
  <c r="AI196" i="2" s="1"/>
  <c r="AH196" i="2"/>
  <c r="M585" i="2"/>
  <c r="AC196" i="2" l="1"/>
  <c r="AJ196" i="2"/>
  <c r="AF196" i="2"/>
  <c r="AD196" i="2" s="1"/>
  <c r="M586" i="2"/>
  <c r="AB197" i="2" l="1"/>
  <c r="Z197" i="2"/>
  <c r="Y197" i="2"/>
  <c r="AA197" i="2"/>
  <c r="M587" i="2"/>
  <c r="AK197" i="2" l="1"/>
  <c r="AL197" i="2"/>
  <c r="AG197" i="2" s="1"/>
  <c r="AE197" i="2"/>
  <c r="AM197" i="2"/>
  <c r="AI197" i="2" s="1"/>
  <c r="AF197" i="2"/>
  <c r="AJ197" i="2"/>
  <c r="M588" i="2"/>
  <c r="AC197" i="2" l="1"/>
  <c r="AH197" i="2"/>
  <c r="AD197" i="2" s="1"/>
  <c r="M589" i="2"/>
  <c r="AB198" i="2" l="1"/>
  <c r="Z198" i="2"/>
  <c r="Y198" i="2"/>
  <c r="AA198" i="2"/>
  <c r="M590" i="2"/>
  <c r="AL198" i="2" l="1"/>
  <c r="AE198" i="2"/>
  <c r="AM198" i="2"/>
  <c r="AI198" i="2" s="1"/>
  <c r="AG198" i="2"/>
  <c r="AK198" i="2"/>
  <c r="AH198" i="2"/>
  <c r="AF198" i="2"/>
  <c r="AJ198" i="2"/>
  <c r="M591" i="2"/>
  <c r="AC198" i="2" l="1"/>
  <c r="AD198" i="2"/>
  <c r="M592" i="2"/>
  <c r="AB199" i="2" l="1"/>
  <c r="Z199" i="2"/>
  <c r="Y199" i="2"/>
  <c r="AA199" i="2"/>
  <c r="M593" i="2"/>
  <c r="AM199" i="2" l="1"/>
  <c r="AI199" i="2" s="1"/>
  <c r="AK199" i="2"/>
  <c r="AF199" i="2" s="1"/>
  <c r="AL199" i="2"/>
  <c r="AG199" i="2" s="1"/>
  <c r="M594" i="2"/>
  <c r="AH199" i="2" l="1"/>
  <c r="AD199" i="2" s="1"/>
  <c r="AJ199" i="2"/>
  <c r="AE199" i="2"/>
  <c r="AC199" i="2" s="1"/>
  <c r="M595" i="2"/>
  <c r="AB200" i="2" l="1"/>
  <c r="Z200" i="2"/>
  <c r="AA200" i="2"/>
  <c r="Y200" i="2"/>
  <c r="M596" i="2"/>
  <c r="AG200" i="2" l="1"/>
  <c r="AK200" i="2"/>
  <c r="AF200" i="2" s="1"/>
  <c r="AL200" i="2"/>
  <c r="AH200" i="2" s="1"/>
  <c r="AM200" i="2"/>
  <c r="AJ200" i="2" s="1"/>
  <c r="M597" i="2"/>
  <c r="AD200" i="2" l="1"/>
  <c r="AI200" i="2"/>
  <c r="AE200" i="2"/>
  <c r="AC200" i="2" s="1"/>
  <c r="M598" i="2"/>
  <c r="AA201" i="2" l="1"/>
  <c r="Y201" i="2"/>
  <c r="AB201" i="2"/>
  <c r="Z201" i="2"/>
  <c r="M599" i="2"/>
  <c r="AK201" i="2" l="1"/>
  <c r="AE201" i="2" s="1"/>
  <c r="AL201" i="2"/>
  <c r="AH201" i="2" s="1"/>
  <c r="AM201" i="2"/>
  <c r="AI201" i="2" s="1"/>
  <c r="M600" i="2"/>
  <c r="AJ201" i="2" l="1"/>
  <c r="AF201" i="2"/>
  <c r="AD201" i="2" s="1"/>
  <c r="AG201" i="2"/>
  <c r="AC201" i="2" s="1"/>
  <c r="M601" i="2"/>
  <c r="AA202" i="2" l="1"/>
  <c r="Y202" i="2"/>
  <c r="Z202" i="2"/>
  <c r="AB202" i="2"/>
  <c r="M602" i="2"/>
  <c r="AL202" i="2" l="1"/>
  <c r="AH202" i="2" s="1"/>
  <c r="AI202" i="2"/>
  <c r="AM202" i="2"/>
  <c r="AJ202" i="2" s="1"/>
  <c r="AG202" i="2"/>
  <c r="AK202" i="2"/>
  <c r="AF202" i="2" s="1"/>
  <c r="M603" i="2"/>
  <c r="AD202" i="2" l="1"/>
  <c r="AE202" i="2"/>
  <c r="AC202" i="2" s="1"/>
  <c r="M604" i="2"/>
  <c r="AA203" i="2" l="1"/>
  <c r="Y203" i="2"/>
  <c r="AB203" i="2"/>
  <c r="Z203" i="2"/>
  <c r="M605" i="2"/>
  <c r="AM203" i="2" l="1"/>
  <c r="AI203" i="2" s="1"/>
  <c r="AK203" i="2"/>
  <c r="AF203" i="2" s="1"/>
  <c r="AL203" i="2"/>
  <c r="AH203" i="2" s="1"/>
  <c r="M606" i="2"/>
  <c r="AG203" i="2" l="1"/>
  <c r="AE203" i="2"/>
  <c r="AC203" i="2" s="1"/>
  <c r="AJ203" i="2"/>
  <c r="AD203" i="2" s="1"/>
  <c r="M607" i="2"/>
  <c r="AB204" i="2" l="1"/>
  <c r="Z204" i="2"/>
  <c r="Y204" i="2"/>
  <c r="AA204" i="2"/>
  <c r="M608" i="2"/>
  <c r="AG204" i="2" l="1"/>
  <c r="AK204" i="2"/>
  <c r="AF204" i="2" s="1"/>
  <c r="AL204" i="2"/>
  <c r="AM204" i="2"/>
  <c r="AJ204" i="2" s="1"/>
  <c r="AE204" i="2"/>
  <c r="AH204" i="2"/>
  <c r="M609" i="2"/>
  <c r="AD204" i="2" l="1"/>
  <c r="AI204" i="2"/>
  <c r="AC204" i="2"/>
  <c r="M610" i="2"/>
  <c r="AA205" i="2" l="1"/>
  <c r="Y205" i="2"/>
  <c r="AB205" i="2"/>
  <c r="Z205" i="2"/>
  <c r="M611" i="2"/>
  <c r="AK205" i="2" l="1"/>
  <c r="AF205" i="2" s="1"/>
  <c r="AL205" i="2"/>
  <c r="AG205" i="2" s="1"/>
  <c r="AM205" i="2"/>
  <c r="AI205" i="2" s="1"/>
  <c r="M612" i="2"/>
  <c r="AJ205" i="2" l="1"/>
  <c r="AH205" i="2"/>
  <c r="AD205" i="2" s="1"/>
  <c r="AE205" i="2"/>
  <c r="AC205" i="2" s="1"/>
  <c r="M613" i="2"/>
  <c r="AB206" i="2" l="1"/>
  <c r="Z206" i="2"/>
  <c r="AA206" i="2"/>
  <c r="Y206" i="2"/>
  <c r="M614" i="2"/>
  <c r="AL206" i="2" l="1"/>
  <c r="AM206" i="2"/>
  <c r="AI206" i="2" s="1"/>
  <c r="AK206" i="2"/>
  <c r="AE206" i="2" s="1"/>
  <c r="AC206" i="2" s="1"/>
  <c r="AG206" i="2"/>
  <c r="AH206" i="2"/>
  <c r="AF206" i="2"/>
  <c r="M615" i="2"/>
  <c r="Y207" i="2" l="1"/>
  <c r="AA207" i="2"/>
  <c r="AJ206" i="2"/>
  <c r="AD206" i="2" s="1"/>
  <c r="M616" i="2"/>
  <c r="AB207" i="2" l="1"/>
  <c r="Z207" i="2"/>
  <c r="M617" i="2"/>
  <c r="AH207" i="2" l="1"/>
  <c r="AL207" i="2"/>
  <c r="AG207" i="2" s="1"/>
  <c r="AM207" i="2"/>
  <c r="AI207" i="2" s="1"/>
  <c r="AK207" i="2"/>
  <c r="AE207" i="2" s="1"/>
  <c r="M618" i="2"/>
  <c r="AJ207" i="2" l="1"/>
  <c r="AC207" i="2"/>
  <c r="AF207" i="2"/>
  <c r="AD207" i="2" s="1"/>
  <c r="M619" i="2"/>
  <c r="Z208" i="2" l="1"/>
  <c r="AB208" i="2"/>
  <c r="AA208" i="2"/>
  <c r="Y208" i="2"/>
  <c r="M620" i="2"/>
  <c r="AG208" i="2" l="1"/>
  <c r="AK208" i="2"/>
  <c r="AF208" i="2" s="1"/>
  <c r="AD208" i="2" s="1"/>
  <c r="AL208" i="2"/>
  <c r="AM208" i="2"/>
  <c r="AI208" i="2"/>
  <c r="AJ208" i="2"/>
  <c r="AH208" i="2"/>
  <c r="M621" i="2"/>
  <c r="AB209" i="2" l="1"/>
  <c r="Z209" i="2"/>
  <c r="AE208" i="2"/>
  <c r="AC208" i="2" s="1"/>
  <c r="M622" i="2"/>
  <c r="AA209" i="2" l="1"/>
  <c r="Y209" i="2"/>
  <c r="M623" i="2"/>
  <c r="AK209" i="2" l="1"/>
  <c r="AF209" i="2" s="1"/>
  <c r="AL209" i="2"/>
  <c r="AH209" i="2" s="1"/>
  <c r="AE209" i="2"/>
  <c r="AM209" i="2"/>
  <c r="AJ209" i="2" s="1"/>
  <c r="M624" i="2"/>
  <c r="AD209" i="2" l="1"/>
  <c r="AI209" i="2"/>
  <c r="AG209" i="2"/>
  <c r="AC209" i="2" s="1"/>
  <c r="M625" i="2"/>
  <c r="Y210" i="2" l="1"/>
  <c r="AA210" i="2"/>
  <c r="Z210" i="2"/>
  <c r="AB210" i="2"/>
  <c r="M626" i="2"/>
  <c r="AJ210" i="2" l="1"/>
  <c r="AL210" i="2"/>
  <c r="AH210" i="2" s="1"/>
  <c r="AE210" i="2"/>
  <c r="AM210" i="2"/>
  <c r="AI210" i="2" s="1"/>
  <c r="AG210" i="2"/>
  <c r="AK210" i="2"/>
  <c r="AF210" i="2" s="1"/>
  <c r="AD210" i="2" s="1"/>
  <c r="M627" i="2"/>
  <c r="AB211" i="2" l="1"/>
  <c r="Z211" i="2"/>
  <c r="AC210" i="2"/>
  <c r="M628" i="2"/>
  <c r="AA211" i="2" l="1"/>
  <c r="Y211" i="2"/>
  <c r="M629" i="2"/>
  <c r="AM211" i="2" l="1"/>
  <c r="AJ211" i="2" s="1"/>
  <c r="AK211" i="2"/>
  <c r="AF211" i="2" s="1"/>
  <c r="AL211" i="2"/>
  <c r="AH211" i="2" s="1"/>
  <c r="M630" i="2"/>
  <c r="AI211" i="2" l="1"/>
  <c r="AD211" i="2"/>
  <c r="AG211" i="2"/>
  <c r="AE211" i="2"/>
  <c r="AC211" i="2" s="1"/>
  <c r="M631" i="2"/>
  <c r="AA212" i="2" l="1"/>
  <c r="Y212" i="2"/>
  <c r="Z212" i="2"/>
  <c r="AB212" i="2"/>
  <c r="M632" i="2"/>
  <c r="AG212" i="2" l="1"/>
  <c r="AK212" i="2"/>
  <c r="AE212" i="2" s="1"/>
  <c r="AL212" i="2"/>
  <c r="AH212" i="2" s="1"/>
  <c r="AM212" i="2"/>
  <c r="AJ212" i="2" s="1"/>
  <c r="M633" i="2"/>
  <c r="AI212" i="2" l="1"/>
  <c r="AC212" i="2" s="1"/>
  <c r="AF212" i="2"/>
  <c r="AD212" i="2" s="1"/>
  <c r="M634" i="2"/>
  <c r="AA213" i="2" l="1"/>
  <c r="Y213" i="2"/>
  <c r="AB213" i="2"/>
  <c r="Z213" i="2"/>
  <c r="M635" i="2"/>
  <c r="AF213" i="2" l="1"/>
  <c r="AK213" i="2"/>
  <c r="AE213" i="2" s="1"/>
  <c r="AL213" i="2"/>
  <c r="AG213" i="2" s="1"/>
  <c r="AM213" i="2"/>
  <c r="AJ213" i="2" s="1"/>
  <c r="M636" i="2"/>
  <c r="AH213" i="2" l="1"/>
  <c r="AD213" i="2" s="1"/>
  <c r="AI213" i="2"/>
  <c r="AC213" i="2" s="1"/>
  <c r="M637" i="2"/>
  <c r="AA214" i="2" l="1"/>
  <c r="Y214" i="2"/>
  <c r="AB214" i="2"/>
  <c r="Z214" i="2"/>
  <c r="M638" i="2"/>
  <c r="AJ214" i="2" l="1"/>
  <c r="AL214" i="2"/>
  <c r="AG214" i="2" s="1"/>
  <c r="AI214" i="2"/>
  <c r="AM214" i="2"/>
  <c r="AK214" i="2"/>
  <c r="AE214" i="2" s="1"/>
  <c r="M639" i="2"/>
  <c r="AC214" i="2" l="1"/>
  <c r="AF214" i="2"/>
  <c r="AH214" i="2"/>
  <c r="M640" i="2"/>
  <c r="AD214" i="2" l="1"/>
  <c r="AA215" i="2"/>
  <c r="Y215" i="2"/>
  <c r="M641" i="2"/>
  <c r="AM215" i="2" l="1"/>
  <c r="AI215" i="2" s="1"/>
  <c r="AK215" i="2"/>
  <c r="AE215" i="2" s="1"/>
  <c r="AL215" i="2"/>
  <c r="AG215" i="2" s="1"/>
  <c r="AB215" i="2"/>
  <c r="Z215" i="2"/>
  <c r="M642" i="2"/>
  <c r="AC215" i="2" l="1"/>
  <c r="AF215" i="2"/>
  <c r="AJ215" i="2"/>
  <c r="AH215" i="2"/>
  <c r="M643" i="2"/>
  <c r="AD215" i="2" l="1"/>
  <c r="AA216" i="2"/>
  <c r="Y216" i="2"/>
  <c r="M644" i="2"/>
  <c r="AK216" i="2" l="1"/>
  <c r="AE216" i="2" s="1"/>
  <c r="AM216" i="2"/>
  <c r="AI216" i="2" s="1"/>
  <c r="AB216" i="2"/>
  <c r="Z216" i="2"/>
  <c r="M645" i="2"/>
  <c r="AF216" i="2" l="1"/>
  <c r="AJ216" i="2"/>
  <c r="AL216" i="2"/>
  <c r="AG216" i="2" s="1"/>
  <c r="AC216" i="2" s="1"/>
  <c r="M646" i="2"/>
  <c r="AA217" i="2" l="1"/>
  <c r="Y217" i="2"/>
  <c r="AH216" i="2"/>
  <c r="AD216" i="2" s="1"/>
  <c r="M647" i="2"/>
  <c r="Z217" i="2" l="1"/>
  <c r="AB217" i="2"/>
  <c r="AK217" i="2"/>
  <c r="AE217" i="2" s="1"/>
  <c r="AL217" i="2"/>
  <c r="AG217" i="2" s="1"/>
  <c r="AM217" i="2"/>
  <c r="AI217" i="2" s="1"/>
  <c r="M648" i="2"/>
  <c r="AC217" i="2" l="1"/>
  <c r="AH217" i="2"/>
  <c r="AF217" i="2"/>
  <c r="AJ217" i="2"/>
  <c r="M649" i="2"/>
  <c r="AD217" i="2" l="1"/>
  <c r="Y218" i="2"/>
  <c r="AA218" i="2"/>
  <c r="M650" i="2"/>
  <c r="AM218" i="2" l="1"/>
  <c r="AI218" i="2" s="1"/>
  <c r="AK218" i="2"/>
  <c r="AE218" i="2" s="1"/>
  <c r="AB218" i="2"/>
  <c r="Z218" i="2"/>
  <c r="M651" i="2"/>
  <c r="AF218" i="2" l="1"/>
  <c r="AJ218" i="2"/>
  <c r="AL218" i="2"/>
  <c r="AG218" i="2" s="1"/>
  <c r="AC218" i="2" s="1"/>
  <c r="M652" i="2"/>
  <c r="Y219" i="2" l="1"/>
  <c r="AA219" i="2"/>
  <c r="AH218" i="2"/>
  <c r="AD218" i="2" s="1"/>
  <c r="M653" i="2"/>
  <c r="Z219" i="2" l="1"/>
  <c r="AB219" i="2"/>
  <c r="AE219" i="2"/>
  <c r="AM219" i="2"/>
  <c r="AI219" i="2" s="1"/>
  <c r="AG219" i="2"/>
  <c r="AK219" i="2"/>
  <c r="AL219" i="2"/>
  <c r="M654" i="2"/>
  <c r="AC219" i="2" l="1"/>
  <c r="AF219" i="2"/>
  <c r="AJ219" i="2"/>
  <c r="AH219" i="2"/>
  <c r="M655" i="2"/>
  <c r="AD219" i="2" l="1"/>
  <c r="AA220" i="2"/>
  <c r="Y220" i="2"/>
  <c r="M656" i="2"/>
  <c r="AK220" i="2" l="1"/>
  <c r="AE220" i="2" s="1"/>
  <c r="AM220" i="2"/>
  <c r="AI220" i="2" s="1"/>
  <c r="Z220" i="2"/>
  <c r="AB220" i="2"/>
  <c r="M657" i="2"/>
  <c r="AF220" i="2" l="1"/>
  <c r="AJ220" i="2"/>
  <c r="AL220" i="2"/>
  <c r="AG220" i="2" s="1"/>
  <c r="AC220" i="2" s="1"/>
  <c r="M658" i="2"/>
  <c r="AA221" i="2" l="1"/>
  <c r="Y221" i="2"/>
  <c r="AH220" i="2"/>
  <c r="AD220" i="2" s="1"/>
  <c r="M659" i="2"/>
  <c r="Z221" i="2" l="1"/>
  <c r="AB221" i="2"/>
  <c r="AG221" i="2"/>
  <c r="AK221" i="2"/>
  <c r="AE221" i="2" s="1"/>
  <c r="AC221" i="2" s="1"/>
  <c r="AL221" i="2"/>
  <c r="AM221" i="2"/>
  <c r="AI221" i="2" s="1"/>
  <c r="M660" i="2"/>
  <c r="Y222" i="2" l="1"/>
  <c r="AA222" i="2"/>
  <c r="AH221" i="2"/>
  <c r="AJ221" i="2"/>
  <c r="AF221" i="2"/>
  <c r="AD221" i="2" s="1"/>
  <c r="AB222" i="2" s="1"/>
  <c r="M661" i="2"/>
  <c r="Z222" i="2" l="1"/>
  <c r="AL222" i="2"/>
  <c r="AG222" i="2" s="1"/>
  <c r="AM222" i="2"/>
  <c r="AI222" i="2" s="1"/>
  <c r="AK222" i="2"/>
  <c r="AE222" i="2" s="1"/>
  <c r="AC222" i="2" s="1"/>
  <c r="M662" i="2"/>
  <c r="AA223" i="2" l="1"/>
  <c r="Y223" i="2"/>
  <c r="AH222" i="2"/>
  <c r="AF222" i="2"/>
  <c r="AD222" i="2" s="1"/>
  <c r="AB223" i="2" s="1"/>
  <c r="AJ222" i="2"/>
  <c r="M663" i="2"/>
  <c r="Z223" i="2" l="1"/>
  <c r="AK223" i="2"/>
  <c r="AE223" i="2" s="1"/>
  <c r="M664" i="2"/>
  <c r="AF223" i="2" l="1"/>
  <c r="AL223" i="2"/>
  <c r="AG223" i="2" s="1"/>
  <c r="AC223" i="2" s="1"/>
  <c r="AM223" i="2"/>
  <c r="AI223" i="2" s="1"/>
  <c r="M665" i="2"/>
  <c r="Y224" i="2" l="1"/>
  <c r="AA224" i="2"/>
  <c r="AJ223" i="2"/>
  <c r="AD223" i="2" s="1"/>
  <c r="AH223" i="2"/>
  <c r="M666" i="2"/>
  <c r="AB224" i="2" l="1"/>
  <c r="Z224" i="2"/>
  <c r="AK224" i="2"/>
  <c r="AE224" i="2" s="1"/>
  <c r="AM224" i="2"/>
  <c r="AI224" i="2" s="1"/>
  <c r="M667" i="2"/>
  <c r="AF224" i="2" l="1"/>
  <c r="AJ224" i="2"/>
  <c r="AH224" i="2"/>
  <c r="AL224" i="2"/>
  <c r="AG224" i="2" s="1"/>
  <c r="AC224" i="2" s="1"/>
  <c r="M668" i="2"/>
  <c r="AA225" i="2" l="1"/>
  <c r="Y225" i="2"/>
  <c r="AD224" i="2"/>
  <c r="M669" i="2"/>
  <c r="Z225" i="2" l="1"/>
  <c r="AB225" i="2"/>
  <c r="AK225" i="2"/>
  <c r="AE225" i="2" s="1"/>
  <c r="AM225" i="2"/>
  <c r="AI225" i="2" s="1"/>
  <c r="AL225" i="2"/>
  <c r="AG225" i="2" s="1"/>
  <c r="M670" i="2"/>
  <c r="AC225" i="2" l="1"/>
  <c r="AH225" i="2"/>
  <c r="AJ225" i="2"/>
  <c r="AF225" i="2"/>
  <c r="M671" i="2"/>
  <c r="AD225" i="2" l="1"/>
  <c r="Y226" i="2"/>
  <c r="AA226" i="2"/>
  <c r="M672" i="2"/>
  <c r="AK226" i="2" l="1"/>
  <c r="AE226" i="2" s="1"/>
  <c r="AB226" i="2"/>
  <c r="Z226" i="2"/>
  <c r="M673" i="2"/>
  <c r="AF226" i="2" l="1"/>
  <c r="AJ226" i="2"/>
  <c r="AM226" i="2"/>
  <c r="AI226" i="2" s="1"/>
  <c r="AL226" i="2"/>
  <c r="AG226" i="2" s="1"/>
  <c r="AC226" i="2" s="1"/>
  <c r="M674" i="2"/>
  <c r="AA227" i="2" l="1"/>
  <c r="Y227" i="2"/>
  <c r="AH226" i="2"/>
  <c r="AD226" i="2" s="1"/>
  <c r="M675" i="2"/>
  <c r="Z227" i="2" l="1"/>
  <c r="AK227" i="2" s="1"/>
  <c r="AE227" i="2" s="1"/>
  <c r="AB227" i="2"/>
  <c r="AM227" i="2"/>
  <c r="AI227" i="2" s="1"/>
  <c r="AL227" i="2"/>
  <c r="AG227" i="2" s="1"/>
  <c r="M676" i="2"/>
  <c r="AC227" i="2" l="1"/>
  <c r="AJ227" i="2"/>
  <c r="AF227" i="2"/>
  <c r="AH227" i="2"/>
  <c r="M677" i="2"/>
  <c r="AD227" i="2" l="1"/>
  <c r="AA228" i="2"/>
  <c r="Y228" i="2"/>
  <c r="M678" i="2"/>
  <c r="AB228" i="2" l="1"/>
  <c r="Z228" i="2"/>
  <c r="AK228" i="2" s="1"/>
  <c r="AE228" i="2" s="1"/>
  <c r="M679" i="2"/>
  <c r="AF228" i="2" l="1"/>
  <c r="AH228" i="2"/>
  <c r="AL228" i="2"/>
  <c r="AG228" i="2" s="1"/>
  <c r="AC228" i="2" s="1"/>
  <c r="AM228" i="2"/>
  <c r="AI228" i="2" s="1"/>
  <c r="M680" i="2"/>
  <c r="Y229" i="2" l="1"/>
  <c r="AA229" i="2"/>
  <c r="AJ228" i="2"/>
  <c r="AD228" i="2" s="1"/>
  <c r="M681" i="2"/>
  <c r="Z229" i="2" l="1"/>
  <c r="AB229" i="2"/>
  <c r="AK229" i="2"/>
  <c r="AE229" i="2" s="1"/>
  <c r="AC229" i="2" s="1"/>
  <c r="AM229" i="2"/>
  <c r="AI229" i="2" s="1"/>
  <c r="AL229" i="2"/>
  <c r="AG229" i="2" s="1"/>
  <c r="M682" i="2"/>
  <c r="Y230" i="2" l="1"/>
  <c r="AA230" i="2"/>
  <c r="AF229" i="2"/>
  <c r="AH229" i="2"/>
  <c r="AJ229" i="2"/>
  <c r="M683" i="2"/>
  <c r="AD229" i="2" l="1"/>
  <c r="M684" i="2"/>
  <c r="AB230" i="2" l="1"/>
  <c r="Z230" i="2"/>
  <c r="M685" i="2"/>
  <c r="AK230" i="2" l="1"/>
  <c r="AE230" i="2" s="1"/>
  <c r="AM230" i="2"/>
  <c r="AI230" i="2" s="1"/>
  <c r="AL230" i="2"/>
  <c r="AG230" i="2" s="1"/>
  <c r="M686" i="2"/>
  <c r="AJ230" i="2" l="1"/>
  <c r="AF230" i="2"/>
  <c r="AD230" i="2" s="1"/>
  <c r="AC230" i="2"/>
  <c r="AH230" i="2"/>
  <c r="M687" i="2"/>
  <c r="AA231" i="2" l="1"/>
  <c r="Y231" i="2"/>
  <c r="Z231" i="2"/>
  <c r="AB231" i="2"/>
  <c r="M688" i="2"/>
  <c r="AM231" i="2" l="1"/>
  <c r="AI231" i="2" s="1"/>
  <c r="AK231" i="2"/>
  <c r="AE231" i="2" s="1"/>
  <c r="AL231" i="2"/>
  <c r="AH231" i="2" s="1"/>
  <c r="M689" i="2"/>
  <c r="AG231" i="2" l="1"/>
  <c r="AC231" i="2" s="1"/>
  <c r="AJ231" i="2"/>
  <c r="AF231" i="2"/>
  <c r="AD231" i="2" s="1"/>
  <c r="M690" i="2"/>
  <c r="Y232" i="2" l="1"/>
  <c r="AA232" i="2"/>
  <c r="Z232" i="2"/>
  <c r="AB232" i="2"/>
  <c r="M691" i="2"/>
  <c r="AL232" i="2" l="1"/>
  <c r="AG232" i="2" s="1"/>
  <c r="AK232" i="2"/>
  <c r="AF232" i="2" s="1"/>
  <c r="AM232" i="2"/>
  <c r="AI232" i="2" s="1"/>
  <c r="M692" i="2"/>
  <c r="AH232" i="2" l="1"/>
  <c r="AD232" i="2" s="1"/>
  <c r="AJ232" i="2"/>
  <c r="AE232" i="2"/>
  <c r="AC232" i="2" s="1"/>
  <c r="M693" i="2"/>
  <c r="AB233" i="2" l="1"/>
  <c r="Z233" i="2"/>
  <c r="AA233" i="2"/>
  <c r="Y233" i="2"/>
  <c r="M694" i="2"/>
  <c r="AK233" i="2" l="1"/>
  <c r="AE233" i="2" s="1"/>
  <c r="AL233" i="2"/>
  <c r="AG233" i="2" s="1"/>
  <c r="AM233" i="2"/>
  <c r="AI233" i="2"/>
  <c r="AJ233" i="2"/>
  <c r="AF233" i="2"/>
  <c r="M695" i="2"/>
  <c r="AC233" i="2" l="1"/>
  <c r="AH233" i="2"/>
  <c r="AD233" i="2" s="1"/>
  <c r="M696" i="2"/>
  <c r="AB234" i="2" l="1"/>
  <c r="Z234" i="2"/>
  <c r="Y234" i="2"/>
  <c r="AA234" i="2"/>
  <c r="M697" i="2"/>
  <c r="AL234" i="2" l="1"/>
  <c r="AG234" i="2" s="1"/>
  <c r="AK234" i="2"/>
  <c r="AE234" i="2" s="1"/>
  <c r="AC234" i="2" s="1"/>
  <c r="AM234" i="2"/>
  <c r="AI234" i="2" s="1"/>
  <c r="AH234" i="2"/>
  <c r="AF234" i="2"/>
  <c r="AD234" i="2" s="1"/>
  <c r="Z235" i="2" s="1"/>
  <c r="AJ234" i="2"/>
  <c r="M698" i="2"/>
  <c r="Y235" i="2" l="1"/>
  <c r="AA235" i="2"/>
  <c r="AB235" i="2"/>
  <c r="M699" i="2"/>
  <c r="AM235" i="2" l="1"/>
  <c r="AJ235" i="2" s="1"/>
  <c r="AL235" i="2"/>
  <c r="AH235" i="2" s="1"/>
  <c r="AK235" i="2"/>
  <c r="AF235" i="2" s="1"/>
  <c r="AD235" i="2" s="1"/>
  <c r="AB236" i="2" s="1"/>
  <c r="M700" i="2"/>
  <c r="AE235" i="2" l="1"/>
  <c r="AG235" i="2"/>
  <c r="Z236" i="2"/>
  <c r="AI235" i="2"/>
  <c r="M701" i="2"/>
  <c r="AC235" i="2" l="1"/>
  <c r="M702" i="2"/>
  <c r="Y236" i="2" l="1"/>
  <c r="AA236" i="2"/>
  <c r="M703" i="2"/>
  <c r="AM236" i="2" l="1"/>
  <c r="AJ236" i="2" s="1"/>
  <c r="AI236" i="2"/>
  <c r="AK236" i="2"/>
  <c r="AF236" i="2" s="1"/>
  <c r="AL236" i="2"/>
  <c r="AH236" i="2" s="1"/>
  <c r="M704" i="2"/>
  <c r="AG236" i="2" l="1"/>
  <c r="AD236" i="2"/>
  <c r="AE236" i="2"/>
  <c r="AC236" i="2" s="1"/>
  <c r="M705" i="2"/>
  <c r="AA237" i="2" l="1"/>
  <c r="Y237" i="2"/>
  <c r="AB237" i="2"/>
  <c r="Z237" i="2"/>
  <c r="M706" i="2"/>
  <c r="AK237" i="2" l="1"/>
  <c r="AE237" i="2" s="1"/>
  <c r="AL237" i="2"/>
  <c r="AG237" i="2" s="1"/>
  <c r="AM237" i="2"/>
  <c r="AJ237" i="2" s="1"/>
  <c r="AF237" i="2"/>
  <c r="AH237" i="2"/>
  <c r="M707" i="2"/>
  <c r="AI237" i="2" l="1"/>
  <c r="AC237" i="2" s="1"/>
  <c r="AD237" i="2"/>
  <c r="M708" i="2"/>
  <c r="AA238" i="2" l="1"/>
  <c r="Y238" i="2"/>
  <c r="AB238" i="2"/>
  <c r="Z238" i="2"/>
  <c r="M709" i="2"/>
  <c r="AM238" i="2" l="1"/>
  <c r="AI238" i="2" s="1"/>
  <c r="AK238" i="2"/>
  <c r="AF238" i="2" s="1"/>
  <c r="AL238" i="2"/>
  <c r="AG238" i="2" s="1"/>
  <c r="M710" i="2"/>
  <c r="AJ238" i="2" l="1"/>
  <c r="AE238" i="2"/>
  <c r="AC238" i="2" s="1"/>
  <c r="AH238" i="2"/>
  <c r="AD238" i="2" s="1"/>
  <c r="M711" i="2"/>
  <c r="AB239" i="2" l="1"/>
  <c r="Z239" i="2"/>
  <c r="Y239" i="2"/>
  <c r="AA239" i="2"/>
  <c r="M712" i="2"/>
  <c r="AK239" i="2" l="1"/>
  <c r="AE239" i="2" s="1"/>
  <c r="AL239" i="2"/>
  <c r="AG239" i="2" s="1"/>
  <c r="AM239" i="2"/>
  <c r="AJ239" i="2" s="1"/>
  <c r="M713" i="2"/>
  <c r="AH239" i="2" l="1"/>
  <c r="AI239" i="2"/>
  <c r="AC239" i="2" s="1"/>
  <c r="AF239" i="2"/>
  <c r="AD239" i="2" s="1"/>
  <c r="M714" i="2"/>
  <c r="Y240" i="2" l="1"/>
  <c r="AA240" i="2"/>
  <c r="AB240" i="2"/>
  <c r="Z240" i="2"/>
  <c r="M715" i="2"/>
  <c r="AH240" i="2" l="1"/>
  <c r="AK240" i="2"/>
  <c r="AF240" i="2" s="1"/>
  <c r="AL240" i="2"/>
  <c r="AG240" i="2" s="1"/>
  <c r="AM240" i="2"/>
  <c r="AJ240" i="2" s="1"/>
  <c r="M716" i="2"/>
  <c r="AD240" i="2" l="1"/>
  <c r="AI240" i="2"/>
  <c r="AE240" i="2"/>
  <c r="AC240" i="2" s="1"/>
  <c r="M717" i="2"/>
  <c r="Y241" i="2" l="1"/>
  <c r="AA241" i="2"/>
  <c r="AB241" i="2"/>
  <c r="Z241" i="2"/>
  <c r="M718" i="2"/>
  <c r="AF241" i="2" l="1"/>
  <c r="AL241" i="2"/>
  <c r="AH241" i="2" s="1"/>
  <c r="AE241" i="2"/>
  <c r="AM241" i="2"/>
  <c r="AI241" i="2" s="1"/>
  <c r="AG241" i="2"/>
  <c r="AK241" i="2"/>
  <c r="M719" i="2"/>
  <c r="AC241" i="2" l="1"/>
  <c r="AJ241" i="2"/>
  <c r="AD241" i="2"/>
  <c r="M720" i="2"/>
  <c r="AB242" i="2" l="1"/>
  <c r="Z242" i="2"/>
  <c r="AA242" i="2"/>
  <c r="Y242" i="2"/>
  <c r="M721" i="2"/>
  <c r="AM242" i="2" l="1"/>
  <c r="AI242" i="2" s="1"/>
  <c r="AK242" i="2"/>
  <c r="AE242" i="2" s="1"/>
  <c r="AL242" i="2"/>
  <c r="AG242" i="2" s="1"/>
  <c r="AJ242" i="2"/>
  <c r="AH242" i="2"/>
  <c r="M722" i="2"/>
  <c r="AC242" i="2" l="1"/>
  <c r="AF242" i="2"/>
  <c r="AD242" i="2" s="1"/>
  <c r="M723" i="2"/>
  <c r="AB243" i="2" l="1"/>
  <c r="Z243" i="2"/>
  <c r="Y243" i="2"/>
  <c r="AA243" i="2"/>
  <c r="M724" i="2"/>
  <c r="AK243" i="2" l="1"/>
  <c r="AE243" i="2" s="1"/>
  <c r="AL243" i="2"/>
  <c r="AG243" i="2" s="1"/>
  <c r="AM243" i="2"/>
  <c r="AI243" i="2" s="1"/>
  <c r="AH243" i="2"/>
  <c r="M725" i="2"/>
  <c r="AC243" i="2" l="1"/>
  <c r="AJ243" i="2"/>
  <c r="AF243" i="2"/>
  <c r="M726" i="2"/>
  <c r="AD243" i="2" l="1"/>
  <c r="Y244" i="2"/>
  <c r="AA244" i="2"/>
  <c r="M727" i="2"/>
  <c r="AB244" i="2" l="1"/>
  <c r="Z244" i="2"/>
  <c r="AK244" i="2" s="1"/>
  <c r="AE244" i="2" s="1"/>
  <c r="M728" i="2"/>
  <c r="AL244" i="2" l="1"/>
  <c r="AG244" i="2" s="1"/>
  <c r="AC244" i="2" s="1"/>
  <c r="AM244" i="2"/>
  <c r="AI244" i="2" s="1"/>
  <c r="AF244" i="2"/>
  <c r="AJ244" i="2"/>
  <c r="M729" i="2"/>
  <c r="AA245" i="2" l="1"/>
  <c r="Y245" i="2"/>
  <c r="AH244" i="2"/>
  <c r="AD244" i="2" s="1"/>
  <c r="M730" i="2"/>
  <c r="Z245" i="2" l="1"/>
  <c r="AB245" i="2"/>
  <c r="AK245" i="2"/>
  <c r="AE245" i="2" s="1"/>
  <c r="M731" i="2"/>
  <c r="AF245" i="2" l="1"/>
  <c r="AJ245" i="2"/>
  <c r="AL245" i="2"/>
  <c r="AG245" i="2" s="1"/>
  <c r="AC245" i="2" s="1"/>
  <c r="AM245" i="2"/>
  <c r="AI245" i="2" s="1"/>
  <c r="M732" i="2"/>
  <c r="AA246" i="2" l="1"/>
  <c r="Y246" i="2"/>
  <c r="AH245" i="2"/>
  <c r="AD245" i="2" s="1"/>
  <c r="M733" i="2"/>
  <c r="Z246" i="2" l="1"/>
  <c r="AB246" i="2"/>
  <c r="AI246" i="2"/>
  <c r="AM246" i="2"/>
  <c r="AK246" i="2"/>
  <c r="AE246" i="2" s="1"/>
  <c r="AL246" i="2"/>
  <c r="AG246" i="2" s="1"/>
  <c r="M734" i="2"/>
  <c r="AC246" i="2" l="1"/>
  <c r="AF246" i="2"/>
  <c r="AJ246" i="2"/>
  <c r="AH246" i="2"/>
  <c r="M735" i="2"/>
  <c r="AD246" i="2" l="1"/>
  <c r="Y247" i="2"/>
  <c r="AA247" i="2"/>
  <c r="M736" i="2"/>
  <c r="AK247" i="2" l="1"/>
  <c r="AE247" i="2"/>
  <c r="Z247" i="2"/>
  <c r="AM247" i="2" s="1"/>
  <c r="AI247" i="2" s="1"/>
  <c r="AB247" i="2"/>
  <c r="M737" i="2"/>
  <c r="AF247" i="2" l="1"/>
  <c r="AJ247" i="2"/>
  <c r="AL247" i="2"/>
  <c r="AG247" i="2" s="1"/>
  <c r="AC247" i="2" s="1"/>
  <c r="M738" i="2"/>
  <c r="AA248" i="2" l="1"/>
  <c r="Y248" i="2"/>
  <c r="AH247" i="2"/>
  <c r="AD247" i="2" s="1"/>
  <c r="M739" i="2"/>
  <c r="AB248" i="2" l="1"/>
  <c r="Z248" i="2"/>
  <c r="AK248" i="2" s="1"/>
  <c r="AE248" i="2" s="1"/>
  <c r="M740" i="2"/>
  <c r="AM248" i="2" l="1"/>
  <c r="AI248" i="2" s="1"/>
  <c r="AF248" i="2"/>
  <c r="AL248" i="2"/>
  <c r="AG248" i="2" s="1"/>
  <c r="AC248" i="2" s="1"/>
  <c r="M741" i="2"/>
  <c r="Y249" i="2" l="1"/>
  <c r="AA249" i="2"/>
  <c r="AH248" i="2"/>
  <c r="AD248" i="2" s="1"/>
  <c r="AJ248" i="2"/>
  <c r="M742" i="2"/>
  <c r="Z249" i="2" l="1"/>
  <c r="AB249" i="2"/>
  <c r="AL249" i="2"/>
  <c r="AG249" i="2" s="1"/>
  <c r="AM249" i="2"/>
  <c r="AI249" i="2" s="1"/>
  <c r="AK249" i="2"/>
  <c r="AE249" i="2" s="1"/>
  <c r="M743" i="2"/>
  <c r="AC249" i="2" l="1"/>
  <c r="AH249" i="2"/>
  <c r="AF249" i="2"/>
  <c r="AD249" i="2" s="1"/>
  <c r="Z250" i="2" s="1"/>
  <c r="AJ249" i="2"/>
  <c r="M744" i="2"/>
  <c r="AB250" i="2" l="1"/>
  <c r="AA250" i="2"/>
  <c r="Y250" i="2"/>
  <c r="M745" i="2"/>
  <c r="AM250" i="2" l="1"/>
  <c r="AJ250" i="2" s="1"/>
  <c r="AK250" i="2"/>
  <c r="AF250" i="2" s="1"/>
  <c r="AL250" i="2"/>
  <c r="AH250" i="2" s="1"/>
  <c r="M746" i="2"/>
  <c r="AI250" i="2" l="1"/>
  <c r="AD250" i="2"/>
  <c r="AG250" i="2"/>
  <c r="AE250" i="2"/>
  <c r="AC250" i="2" s="1"/>
  <c r="M747" i="2"/>
  <c r="Z251" i="2" l="1"/>
  <c r="AB251" i="2"/>
  <c r="AA251" i="2"/>
  <c r="Y251" i="2"/>
  <c r="M748" i="2"/>
  <c r="AK251" i="2" l="1"/>
  <c r="AE251" i="2" s="1"/>
  <c r="AL251" i="2"/>
  <c r="AH251" i="2" s="1"/>
  <c r="AM251" i="2"/>
  <c r="AI251" i="2"/>
  <c r="AJ251" i="2"/>
  <c r="M749" i="2"/>
  <c r="AF251" i="2" l="1"/>
  <c r="AD251" i="2" s="1"/>
  <c r="AG251" i="2"/>
  <c r="AC251" i="2" s="1"/>
  <c r="M750" i="2"/>
  <c r="Y252" i="2" l="1"/>
  <c r="AA252" i="2"/>
  <c r="AB252" i="2"/>
  <c r="Z252" i="2"/>
  <c r="M751" i="2"/>
  <c r="AG252" i="2" l="1"/>
  <c r="AK252" i="2"/>
  <c r="AE252" i="2" s="1"/>
  <c r="AL252" i="2"/>
  <c r="AH252" i="2" s="1"/>
  <c r="AM252" i="2"/>
  <c r="AI252" i="2" s="1"/>
  <c r="M752" i="2"/>
  <c r="AC252" i="2" l="1"/>
  <c r="AF252" i="2"/>
  <c r="AD252" i="2" s="1"/>
  <c r="AJ252" i="2"/>
  <c r="M753" i="2"/>
  <c r="Z253" i="2" l="1"/>
  <c r="AB253" i="2"/>
  <c r="AA253" i="2"/>
  <c r="Y253" i="2"/>
  <c r="M754" i="2"/>
  <c r="AL253" i="2" l="1"/>
  <c r="AH253" i="2" s="1"/>
  <c r="AE253" i="2"/>
  <c r="AM253" i="2"/>
  <c r="AI253" i="2" s="1"/>
  <c r="AG253" i="2"/>
  <c r="AK253" i="2"/>
  <c r="AF253" i="2"/>
  <c r="AJ253" i="2"/>
  <c r="M755" i="2"/>
  <c r="AC253" i="2" l="1"/>
  <c r="AD253" i="2"/>
  <c r="M756" i="2"/>
  <c r="Z254" i="2" l="1"/>
  <c r="AB254" i="2"/>
  <c r="AA254" i="2"/>
  <c r="Y254" i="2"/>
  <c r="M757" i="2"/>
  <c r="AM254" i="2" l="1"/>
  <c r="AI254" i="2" s="1"/>
  <c r="AK254" i="2"/>
  <c r="AE254" i="2" s="1"/>
  <c r="AL254" i="2"/>
  <c r="AG254" i="2" s="1"/>
  <c r="AJ254" i="2"/>
  <c r="M758" i="2"/>
  <c r="AC254" i="2" l="1"/>
  <c r="AF254" i="2"/>
  <c r="AH254" i="2"/>
  <c r="M759" i="2"/>
  <c r="AD254" i="2" l="1"/>
  <c r="AA255" i="2"/>
  <c r="Y255" i="2"/>
  <c r="M760" i="2"/>
  <c r="AL255" i="2" l="1"/>
  <c r="AG255" i="2" s="1"/>
  <c r="AB255" i="2"/>
  <c r="Z255" i="2"/>
  <c r="AM255" i="2" s="1"/>
  <c r="AI255" i="2" s="1"/>
  <c r="M761" i="2"/>
  <c r="AK255" i="2" l="1"/>
  <c r="AE255" i="2" s="1"/>
  <c r="AC255" i="2" s="1"/>
  <c r="AF255" i="2"/>
  <c r="AD255" i="2" s="1"/>
  <c r="Z256" i="2" s="1"/>
  <c r="AJ255" i="2"/>
  <c r="AH255" i="2"/>
  <c r="M762" i="2"/>
  <c r="AB256" i="2" l="1"/>
  <c r="Y256" i="2"/>
  <c r="AA256" i="2"/>
  <c r="M763" i="2"/>
  <c r="AK256" i="2" l="1"/>
  <c r="AF256" i="2" s="1"/>
  <c r="AL256" i="2"/>
  <c r="AH256" i="2" s="1"/>
  <c r="AM256" i="2"/>
  <c r="AJ256" i="2" s="1"/>
  <c r="M764" i="2"/>
  <c r="AD256" i="2" l="1"/>
  <c r="AI256" i="2"/>
  <c r="AG256" i="2"/>
  <c r="AE256" i="2"/>
  <c r="AC256" i="2" s="1"/>
  <c r="M765" i="2"/>
  <c r="AA257" i="2" l="1"/>
  <c r="Y257" i="2"/>
  <c r="AB257" i="2"/>
  <c r="Z257" i="2"/>
  <c r="M766" i="2"/>
  <c r="AL257" i="2" l="1"/>
  <c r="AH257" i="2" s="1"/>
  <c r="AM257" i="2"/>
  <c r="AJ257" i="2" s="1"/>
  <c r="AK257" i="2"/>
  <c r="AF257" i="2" s="1"/>
  <c r="AD257" i="2" s="1"/>
  <c r="M767" i="2"/>
  <c r="AB258" i="2" l="1"/>
  <c r="Z258" i="2"/>
  <c r="AI257" i="2"/>
  <c r="AG257" i="2"/>
  <c r="AE257" i="2"/>
  <c r="M768" i="2"/>
  <c r="AC257" i="2" l="1"/>
  <c r="M769" i="2"/>
  <c r="Y258" i="2" l="1"/>
  <c r="AA258" i="2"/>
  <c r="M770" i="2"/>
  <c r="AM258" i="2" l="1"/>
  <c r="AJ258" i="2" s="1"/>
  <c r="AK258" i="2"/>
  <c r="AF258" i="2" s="1"/>
  <c r="AL258" i="2"/>
  <c r="AH258" i="2" s="1"/>
  <c r="M771" i="2"/>
  <c r="AD258" i="2" l="1"/>
  <c r="AI258" i="2"/>
  <c r="AG258" i="2"/>
  <c r="AE258" i="2"/>
  <c r="AC258" i="2" s="1"/>
  <c r="M772" i="2"/>
  <c r="AA259" i="2" l="1"/>
  <c r="Y259" i="2"/>
  <c r="Z259" i="2"/>
  <c r="AB259" i="2"/>
  <c r="M773" i="2"/>
  <c r="AH259" i="2" l="1"/>
  <c r="AK259" i="2"/>
  <c r="AF259" i="2" s="1"/>
  <c r="AL259" i="2"/>
  <c r="AG259" i="2" s="1"/>
  <c r="AM259" i="2"/>
  <c r="AJ259" i="2" s="1"/>
  <c r="M774" i="2"/>
  <c r="AD259" i="2" l="1"/>
  <c r="AI259" i="2"/>
  <c r="AE259" i="2"/>
  <c r="AC259" i="2" s="1"/>
  <c r="M775" i="2"/>
  <c r="AA260" i="2" l="1"/>
  <c r="Y260" i="2"/>
  <c r="AB260" i="2"/>
  <c r="Z260" i="2"/>
  <c r="M776" i="2"/>
  <c r="AK260" i="2" l="1"/>
  <c r="AE260" i="2" s="1"/>
  <c r="AL260" i="2"/>
  <c r="AG260" i="2" s="1"/>
  <c r="AM260" i="2"/>
  <c r="AJ260" i="2" s="1"/>
  <c r="M777" i="2"/>
  <c r="AC260" i="2" l="1"/>
  <c r="AF260" i="2"/>
  <c r="AH260" i="2"/>
  <c r="AI260" i="2"/>
  <c r="M778" i="2"/>
  <c r="AA261" i="2" l="1"/>
  <c r="Y261" i="2"/>
  <c r="AD260" i="2"/>
  <c r="M779" i="2"/>
  <c r="AB261" i="2" l="1"/>
  <c r="Z261" i="2"/>
  <c r="AL261" i="2"/>
  <c r="AG261" i="2" s="1"/>
  <c r="M780" i="2"/>
  <c r="AH261" i="2" l="1"/>
  <c r="AM261" i="2"/>
  <c r="AI261" i="2" s="1"/>
  <c r="AK261" i="2"/>
  <c r="AE261" i="2" s="1"/>
  <c r="AC261" i="2" s="1"/>
  <c r="M781" i="2"/>
  <c r="AA262" i="2" l="1"/>
  <c r="Y262" i="2"/>
  <c r="AJ261" i="2"/>
  <c r="AF261" i="2"/>
  <c r="AD261" i="2" s="1"/>
  <c r="M782" i="2"/>
  <c r="AB262" i="2" l="1"/>
  <c r="Z262" i="2"/>
  <c r="AK262" i="2"/>
  <c r="AE262" i="2" s="1"/>
  <c r="M783" i="2"/>
  <c r="AF262" i="2" l="1"/>
  <c r="AL262" i="2"/>
  <c r="AG262" i="2" s="1"/>
  <c r="AC262" i="2" s="1"/>
  <c r="AM262" i="2"/>
  <c r="AI262" i="2" s="1"/>
  <c r="M784" i="2"/>
  <c r="Y263" i="2" l="1"/>
  <c r="AA263" i="2"/>
  <c r="AJ262" i="2"/>
  <c r="AD262" i="2" s="1"/>
  <c r="AH262" i="2"/>
  <c r="M785" i="2"/>
  <c r="Z263" i="2" l="1"/>
  <c r="AB263" i="2"/>
  <c r="AK263" i="2"/>
  <c r="AL263" i="2"/>
  <c r="AG263" i="2" s="1"/>
  <c r="AI263" i="2"/>
  <c r="AM263" i="2"/>
  <c r="AE263" i="2"/>
  <c r="M786" i="2"/>
  <c r="AC263" i="2" l="1"/>
  <c r="AF263" i="2"/>
  <c r="AJ263" i="2"/>
  <c r="AH263" i="2"/>
  <c r="M787" i="2"/>
  <c r="AD263" i="2" l="1"/>
  <c r="AA264" i="2"/>
  <c r="Y264" i="2"/>
  <c r="M788" i="2"/>
  <c r="AK264" i="2" l="1"/>
  <c r="AE264" i="2" s="1"/>
  <c r="AM264" i="2"/>
  <c r="AI264" i="2" s="1"/>
  <c r="Z264" i="2"/>
  <c r="AL264" i="2" s="1"/>
  <c r="AG264" i="2" s="1"/>
  <c r="AB264" i="2"/>
  <c r="M789" i="2"/>
  <c r="AC264" i="2" l="1"/>
  <c r="AH264" i="2"/>
  <c r="AJ264" i="2"/>
  <c r="AF264" i="2"/>
  <c r="M790" i="2"/>
  <c r="AD264" i="2" l="1"/>
  <c r="Y265" i="2"/>
  <c r="AA265" i="2"/>
  <c r="M791" i="2"/>
  <c r="AM265" i="2" l="1"/>
  <c r="AI265" i="2" s="1"/>
  <c r="Z265" i="2"/>
  <c r="AK265" i="2" s="1"/>
  <c r="AE265" i="2" s="1"/>
  <c r="AB265" i="2"/>
  <c r="M792" i="2"/>
  <c r="AF265" i="2" l="1"/>
  <c r="AJ265" i="2"/>
  <c r="AL265" i="2"/>
  <c r="AG265" i="2" s="1"/>
  <c r="AC265" i="2" s="1"/>
  <c r="M793" i="2"/>
  <c r="Y266" i="2" l="1"/>
  <c r="AA266" i="2"/>
  <c r="AH265" i="2"/>
  <c r="AD265" i="2" s="1"/>
  <c r="M794" i="2"/>
  <c r="AB266" i="2" l="1"/>
  <c r="Z266" i="2"/>
  <c r="AE266" i="2"/>
  <c r="AM266" i="2"/>
  <c r="AI266" i="2" s="1"/>
  <c r="AG266" i="2"/>
  <c r="AK266" i="2"/>
  <c r="AL266" i="2"/>
  <c r="M795" i="2"/>
  <c r="AC266" i="2" l="1"/>
  <c r="AF266" i="2"/>
  <c r="AJ266" i="2"/>
  <c r="AH266" i="2"/>
  <c r="M796" i="2"/>
  <c r="AD266" i="2" l="1"/>
  <c r="Y267" i="2"/>
  <c r="AA267" i="2"/>
  <c r="M797" i="2"/>
  <c r="AL267" i="2" l="1"/>
  <c r="AG267" i="2" s="1"/>
  <c r="AB267" i="2"/>
  <c r="Z267" i="2"/>
  <c r="M798" i="2"/>
  <c r="AH267" i="2" l="1"/>
  <c r="AK267" i="2"/>
  <c r="AE267" i="2" s="1"/>
  <c r="AC267" i="2" s="1"/>
  <c r="AM267" i="2"/>
  <c r="AI267" i="2" s="1"/>
  <c r="M799" i="2"/>
  <c r="AJ267" i="2" l="1"/>
  <c r="Y268" i="2"/>
  <c r="AA268" i="2"/>
  <c r="AF267" i="2"/>
  <c r="AD267" i="2" s="1"/>
  <c r="M800" i="2"/>
  <c r="AB268" i="2" l="1"/>
  <c r="Z268" i="2"/>
  <c r="AK268" i="2" s="1"/>
  <c r="AE268" i="2" s="1"/>
  <c r="M801" i="2"/>
  <c r="AL268" i="2" l="1"/>
  <c r="AG268" i="2" s="1"/>
  <c r="AC268" i="2" s="1"/>
  <c r="AM268" i="2"/>
  <c r="AI268" i="2" s="1"/>
  <c r="AF268" i="2"/>
  <c r="M802" i="2"/>
  <c r="AA269" i="2" l="1"/>
  <c r="Y269" i="2"/>
  <c r="AH268" i="2"/>
  <c r="AD268" i="2" s="1"/>
  <c r="AJ268" i="2"/>
  <c r="M803" i="2"/>
  <c r="Z269" i="2" l="1"/>
  <c r="AB269" i="2"/>
  <c r="AL269" i="2"/>
  <c r="AE269" i="2"/>
  <c r="AM269" i="2"/>
  <c r="AI269" i="2" s="1"/>
  <c r="AG269" i="2"/>
  <c r="AK269" i="2"/>
  <c r="M804" i="2"/>
  <c r="AC269" i="2" l="1"/>
  <c r="AH269" i="2"/>
  <c r="AF269" i="2"/>
  <c r="AJ269" i="2"/>
  <c r="M805" i="2"/>
  <c r="AA270" i="2" l="1"/>
  <c r="Y270" i="2"/>
  <c r="AD269" i="2"/>
  <c r="M806" i="2"/>
  <c r="AB270" i="2" l="1"/>
  <c r="Z270" i="2"/>
  <c r="AK270" i="2" s="1"/>
  <c r="AE270" i="2" s="1"/>
  <c r="M807" i="2"/>
  <c r="AL270" i="2" l="1"/>
  <c r="AG270" i="2" s="1"/>
  <c r="AC270" i="2" s="1"/>
  <c r="AM270" i="2"/>
  <c r="AI270" i="2" s="1"/>
  <c r="AF270" i="2"/>
  <c r="AH270" i="2"/>
  <c r="M808" i="2"/>
  <c r="AA271" i="2" l="1"/>
  <c r="Y271" i="2"/>
  <c r="AJ270" i="2"/>
  <c r="AD270" i="2" s="1"/>
  <c r="M809" i="2"/>
  <c r="Z271" i="2" l="1"/>
  <c r="AB271" i="2"/>
  <c r="AG271" i="2"/>
  <c r="AK271" i="2"/>
  <c r="AL271" i="2"/>
  <c r="AE271" i="2"/>
  <c r="AI271" i="2"/>
  <c r="AM271" i="2"/>
  <c r="M810" i="2"/>
  <c r="AC271" i="2" l="1"/>
  <c r="AF271" i="2"/>
  <c r="AJ271" i="2"/>
  <c r="AH271" i="2"/>
  <c r="M811" i="2"/>
  <c r="AD271" i="2" l="1"/>
  <c r="AA272" i="2"/>
  <c r="Y272" i="2"/>
  <c r="M812" i="2"/>
  <c r="AK272" i="2" l="1"/>
  <c r="AE272" i="2" s="1"/>
  <c r="AL272" i="2"/>
  <c r="AG272" i="2" s="1"/>
  <c r="AM272" i="2"/>
  <c r="AI272" i="2" s="1"/>
  <c r="Z272" i="2"/>
  <c r="AB272" i="2"/>
  <c r="M813" i="2"/>
  <c r="AC272" i="2" l="1"/>
  <c r="AH272" i="2"/>
  <c r="AF272" i="2"/>
  <c r="AD272" i="2" s="1"/>
  <c r="AB273" i="2" s="1"/>
  <c r="AJ272" i="2"/>
  <c r="M814" i="2"/>
  <c r="Z273" i="2" l="1"/>
  <c r="AA273" i="2"/>
  <c r="Y273" i="2"/>
  <c r="M815" i="2"/>
  <c r="AL273" i="2" l="1"/>
  <c r="AH273" i="2" s="1"/>
  <c r="AM273" i="2"/>
  <c r="AJ273" i="2" s="1"/>
  <c r="AG273" i="2"/>
  <c r="AK273" i="2"/>
  <c r="AF273" i="2" s="1"/>
  <c r="AD273" i="2" s="1"/>
  <c r="M816" i="2"/>
  <c r="AB274" i="2" l="1"/>
  <c r="Z274" i="2"/>
  <c r="AE273" i="2"/>
  <c r="AC273" i="2" s="1"/>
  <c r="AI273" i="2"/>
  <c r="M817" i="2"/>
  <c r="Y274" i="2" l="1"/>
  <c r="AA274" i="2"/>
  <c r="M818" i="2"/>
  <c r="AM274" i="2" l="1"/>
  <c r="AJ274" i="2" s="1"/>
  <c r="AK274" i="2"/>
  <c r="AF274" i="2" s="1"/>
  <c r="AL274" i="2"/>
  <c r="AH274" i="2" s="1"/>
  <c r="M819" i="2"/>
  <c r="AD274" i="2" l="1"/>
  <c r="AI274" i="2"/>
  <c r="AG274" i="2"/>
  <c r="AE274" i="2"/>
  <c r="AC274" i="2" s="1"/>
  <c r="M820" i="2"/>
  <c r="AA275" i="2" l="1"/>
  <c r="Y275" i="2"/>
  <c r="Z275" i="2"/>
  <c r="AB275" i="2"/>
  <c r="M821" i="2"/>
  <c r="AG275" i="2" l="1"/>
  <c r="AK275" i="2"/>
  <c r="AF275" i="2" s="1"/>
  <c r="AL275" i="2"/>
  <c r="AM275" i="2"/>
  <c r="AI275" i="2" s="1"/>
  <c r="AH275" i="2"/>
  <c r="M822" i="2"/>
  <c r="AJ275" i="2" l="1"/>
  <c r="AD275" i="2" s="1"/>
  <c r="AE275" i="2"/>
  <c r="AC275" i="2" s="1"/>
  <c r="M823" i="2"/>
  <c r="AB276" i="2" l="1"/>
  <c r="Z276" i="2"/>
  <c r="AA276" i="2"/>
  <c r="Y276" i="2"/>
  <c r="M824" i="2"/>
  <c r="AK276" i="2" l="1"/>
  <c r="AE276" i="2" s="1"/>
  <c r="AL276" i="2"/>
  <c r="AG276" i="2" s="1"/>
  <c r="AM276" i="2"/>
  <c r="AI276" i="2" s="1"/>
  <c r="AF276" i="2"/>
  <c r="AJ276" i="2"/>
  <c r="M825" i="2"/>
  <c r="AC276" i="2" l="1"/>
  <c r="AH276" i="2"/>
  <c r="AD276" i="2" s="1"/>
  <c r="M826" i="2"/>
  <c r="Z277" i="2" l="1"/>
  <c r="AB277" i="2"/>
  <c r="AA277" i="2"/>
  <c r="Y277" i="2"/>
  <c r="M827" i="2"/>
  <c r="AL277" i="2" l="1"/>
  <c r="AH277" i="2" s="1"/>
  <c r="AE277" i="2"/>
  <c r="AM277" i="2"/>
  <c r="AI277" i="2" s="1"/>
  <c r="AG277" i="2"/>
  <c r="AK277" i="2"/>
  <c r="AF277" i="2"/>
  <c r="AJ277" i="2"/>
  <c r="M828" i="2"/>
  <c r="AD277" i="2" l="1"/>
  <c r="AC277" i="2"/>
  <c r="M829" i="2"/>
  <c r="Z278" i="2" l="1"/>
  <c r="AB278" i="2"/>
  <c r="AA278" i="2"/>
  <c r="Y278" i="2"/>
  <c r="M830" i="2"/>
  <c r="AI278" i="2" l="1"/>
  <c r="AM278" i="2"/>
  <c r="AK278" i="2"/>
  <c r="AF278" i="2" s="1"/>
  <c r="AD278" i="2" s="1"/>
  <c r="AL278" i="2"/>
  <c r="AG278" i="2" s="1"/>
  <c r="AJ278" i="2"/>
  <c r="AH278" i="2"/>
  <c r="M831" i="2"/>
  <c r="AB279" i="2" l="1"/>
  <c r="Z279" i="2"/>
  <c r="AE278" i="2"/>
  <c r="AC278" i="2" s="1"/>
  <c r="M832" i="2"/>
  <c r="AA279" i="2" l="1"/>
  <c r="Y279" i="2"/>
  <c r="M833" i="2"/>
  <c r="AK279" i="2" l="1"/>
  <c r="AF279" i="2" s="1"/>
  <c r="AL279" i="2"/>
  <c r="AH279" i="2" s="1"/>
  <c r="AM279" i="2"/>
  <c r="AJ279" i="2" s="1"/>
  <c r="AE279" i="2"/>
  <c r="M834" i="2"/>
  <c r="AD279" i="2" l="1"/>
  <c r="AG279" i="2"/>
  <c r="AC279" i="2" s="1"/>
  <c r="AI279" i="2"/>
  <c r="M835" i="2"/>
  <c r="Y280" i="2" l="1"/>
  <c r="AA280" i="2"/>
  <c r="Z280" i="2"/>
  <c r="AB280" i="2"/>
  <c r="M836" i="2"/>
  <c r="AK280" i="2" l="1"/>
  <c r="AE280" i="2" s="1"/>
  <c r="AL280" i="2"/>
  <c r="AH280" i="2" s="1"/>
  <c r="AM280" i="2"/>
  <c r="AJ280" i="2" s="1"/>
  <c r="M837" i="2"/>
  <c r="AF280" i="2" l="1"/>
  <c r="AD280" i="2" s="1"/>
  <c r="AI280" i="2"/>
  <c r="AG280" i="2"/>
  <c r="AC280" i="2" s="1"/>
  <c r="M838" i="2"/>
  <c r="AA281" i="2" l="1"/>
  <c r="Y281" i="2"/>
  <c r="Z281" i="2"/>
  <c r="AB281" i="2"/>
  <c r="M839" i="2"/>
  <c r="AL281" i="2" l="1"/>
  <c r="AI281" i="2"/>
  <c r="AM281" i="2"/>
  <c r="AK281" i="2"/>
  <c r="AF281" i="2" s="1"/>
  <c r="AD281" i="2" s="1"/>
  <c r="AG281" i="2"/>
  <c r="AH281" i="2"/>
  <c r="AJ281" i="2"/>
  <c r="M840" i="2"/>
  <c r="AB282" i="2" l="1"/>
  <c r="Z282" i="2"/>
  <c r="AE281" i="2"/>
  <c r="AC281" i="2" s="1"/>
  <c r="M841" i="2"/>
  <c r="AA282" i="2" l="1"/>
  <c r="Y282" i="2"/>
  <c r="M842" i="2"/>
  <c r="AM282" i="2" l="1"/>
  <c r="AJ282" i="2" s="1"/>
  <c r="AK282" i="2"/>
  <c r="AF282" i="2" s="1"/>
  <c r="AL282" i="2"/>
  <c r="AH282" i="2" s="1"/>
  <c r="M843" i="2"/>
  <c r="AD282" i="2" l="1"/>
  <c r="AI282" i="2"/>
  <c r="AG282" i="2"/>
  <c r="AE282" i="2"/>
  <c r="AC282" i="2" s="1"/>
  <c r="M844" i="2"/>
  <c r="Y283" i="2" l="1"/>
  <c r="AA283" i="2"/>
  <c r="Z283" i="2"/>
  <c r="AB283" i="2"/>
  <c r="M845" i="2"/>
  <c r="AJ283" i="2" l="1"/>
  <c r="AG283" i="2"/>
  <c r="AK283" i="2"/>
  <c r="AF283" i="2" s="1"/>
  <c r="AL283" i="2"/>
  <c r="AH283" i="2" s="1"/>
  <c r="AM283" i="2"/>
  <c r="AE283" i="2"/>
  <c r="AC283" i="2" s="1"/>
  <c r="AA284" i="2" s="1"/>
  <c r="AI283" i="2"/>
  <c r="M846" i="2"/>
  <c r="AD283" i="2" l="1"/>
  <c r="Y284" i="2"/>
  <c r="M847" i="2"/>
  <c r="AB284" i="2" l="1"/>
  <c r="Z284" i="2"/>
  <c r="AK284" i="2" s="1"/>
  <c r="AE284" i="2" s="1"/>
  <c r="M848" i="2"/>
  <c r="AM284" i="2" l="1"/>
  <c r="AI284" i="2" s="1"/>
  <c r="AF284" i="2"/>
  <c r="AJ284" i="2"/>
  <c r="AL284" i="2"/>
  <c r="AG284" i="2" s="1"/>
  <c r="AC284" i="2" s="1"/>
  <c r="M849" i="2"/>
  <c r="AA285" i="2" l="1"/>
  <c r="Y285" i="2"/>
  <c r="AH284" i="2"/>
  <c r="AD284" i="2" s="1"/>
  <c r="M850" i="2"/>
  <c r="Z285" i="2" l="1"/>
  <c r="AL285" i="2" s="1"/>
  <c r="AG285" i="2" s="1"/>
  <c r="AB285" i="2"/>
  <c r="AM285" i="2"/>
  <c r="AI285" i="2" s="1"/>
  <c r="AK285" i="2"/>
  <c r="AE285" i="2" s="1"/>
  <c r="AC285" i="2" s="1"/>
  <c r="M851" i="2"/>
  <c r="AA286" i="2" l="1"/>
  <c r="Y286" i="2"/>
  <c r="AH285" i="2"/>
  <c r="AF285" i="2"/>
  <c r="AJ285" i="2"/>
  <c r="M852" i="2"/>
  <c r="AD285" i="2" l="1"/>
  <c r="M853" i="2"/>
  <c r="AB286" i="2" l="1"/>
  <c r="Z286" i="2"/>
  <c r="M854" i="2"/>
  <c r="AK286" i="2" l="1"/>
  <c r="AE286" i="2" s="1"/>
  <c r="AM286" i="2"/>
  <c r="AI286" i="2" s="1"/>
  <c r="AL286" i="2"/>
  <c r="AG286" i="2" s="1"/>
  <c r="M855" i="2"/>
  <c r="AH286" i="2" l="1"/>
  <c r="AJ286" i="2"/>
  <c r="AC286" i="2"/>
  <c r="AF286" i="2"/>
  <c r="M856" i="2"/>
  <c r="AD286" i="2" l="1"/>
  <c r="AA287" i="2"/>
  <c r="Y287" i="2"/>
  <c r="M857" i="2"/>
  <c r="AL287" i="2" l="1"/>
  <c r="AG287" i="2" s="1"/>
  <c r="Z287" i="2"/>
  <c r="AK287" i="2" s="1"/>
  <c r="AE287" i="2" s="1"/>
  <c r="AB287" i="2"/>
  <c r="M858" i="2"/>
  <c r="AM287" i="2" l="1"/>
  <c r="AI287" i="2" s="1"/>
  <c r="AC287" i="2" s="1"/>
  <c r="AF287" i="2"/>
  <c r="AH287" i="2"/>
  <c r="M859" i="2"/>
  <c r="Y288" i="2" l="1"/>
  <c r="AA288" i="2"/>
  <c r="AJ287" i="2"/>
  <c r="AD287" i="2" s="1"/>
  <c r="M860" i="2"/>
  <c r="Z288" i="2" l="1"/>
  <c r="AB288" i="2"/>
  <c r="AG288" i="2"/>
  <c r="AK288" i="2"/>
  <c r="AL288" i="2"/>
  <c r="AE288" i="2"/>
  <c r="AI288" i="2"/>
  <c r="AM288" i="2"/>
  <c r="M861" i="2"/>
  <c r="AC288" i="2" l="1"/>
  <c r="AH288" i="2"/>
  <c r="AF288" i="2"/>
  <c r="AJ288" i="2"/>
  <c r="M862" i="2"/>
  <c r="AD288" i="2" l="1"/>
  <c r="Y289" i="2"/>
  <c r="AA289" i="2"/>
  <c r="M863" i="2"/>
  <c r="AB289" i="2" l="1"/>
  <c r="Z289" i="2"/>
  <c r="AL289" i="2" s="1"/>
  <c r="AG289" i="2" s="1"/>
  <c r="M864" i="2"/>
  <c r="AK289" i="2" l="1"/>
  <c r="AE289" i="2" s="1"/>
  <c r="AH289" i="2"/>
  <c r="AF289" i="2"/>
  <c r="AM289" i="2"/>
  <c r="AI289" i="2" s="1"/>
  <c r="M865" i="2"/>
  <c r="AJ289" i="2" l="1"/>
  <c r="AD289" i="2" s="1"/>
  <c r="AC289" i="2"/>
  <c r="M866" i="2"/>
  <c r="Z290" i="2" l="1"/>
  <c r="AB290" i="2"/>
  <c r="AA290" i="2"/>
  <c r="Y290" i="2"/>
  <c r="M867" i="2"/>
  <c r="AM290" i="2" l="1"/>
  <c r="AJ290" i="2" s="1"/>
  <c r="AK290" i="2"/>
  <c r="AE290" i="2" s="1"/>
  <c r="AL290" i="2"/>
  <c r="AH290" i="2" s="1"/>
  <c r="M868" i="2"/>
  <c r="AI290" i="2" l="1"/>
  <c r="AF290" i="2"/>
  <c r="AD290" i="2" s="1"/>
  <c r="AG290" i="2"/>
  <c r="AC290" i="2" s="1"/>
  <c r="M869" i="2"/>
  <c r="AA291" i="2" l="1"/>
  <c r="Y291" i="2"/>
  <c r="AB291" i="2"/>
  <c r="Z291" i="2"/>
  <c r="M870" i="2"/>
  <c r="AK291" i="2" l="1"/>
  <c r="AF291" i="2" s="1"/>
  <c r="AL291" i="2"/>
  <c r="AG291" i="2" s="1"/>
  <c r="AM291" i="2"/>
  <c r="AJ291" i="2" s="1"/>
  <c r="AH291" i="2"/>
  <c r="M871" i="2"/>
  <c r="AD291" i="2" l="1"/>
  <c r="AI291" i="2"/>
  <c r="AE291" i="2"/>
  <c r="AC291" i="2" s="1"/>
  <c r="M872" i="2"/>
  <c r="AA292" i="2" l="1"/>
  <c r="Y292" i="2"/>
  <c r="AB292" i="2"/>
  <c r="Z292" i="2"/>
  <c r="M873" i="2"/>
  <c r="AK292" i="2" l="1"/>
  <c r="AE292" i="2" s="1"/>
  <c r="AL292" i="2"/>
  <c r="AG292" i="2" s="1"/>
  <c r="AM292" i="2"/>
  <c r="AI292" i="2" s="1"/>
  <c r="AJ292" i="2"/>
  <c r="M874" i="2"/>
  <c r="AC292" i="2" l="1"/>
  <c r="AF292" i="2"/>
  <c r="AH292" i="2"/>
  <c r="M875" i="2"/>
  <c r="AD292" i="2" l="1"/>
  <c r="AA293" i="2"/>
  <c r="Y293" i="2"/>
  <c r="M876" i="2"/>
  <c r="AB293" i="2" l="1"/>
  <c r="Z293" i="2"/>
  <c r="AK293" i="2" s="1"/>
  <c r="AE293" i="2" s="1"/>
  <c r="M877" i="2"/>
  <c r="AL293" i="2" l="1"/>
  <c r="AG293" i="2" s="1"/>
  <c r="AC293" i="2" s="1"/>
  <c r="AH293" i="2"/>
  <c r="AF293" i="2"/>
  <c r="AM293" i="2"/>
  <c r="AI293" i="2" s="1"/>
  <c r="M878" i="2"/>
  <c r="AA294" i="2" l="1"/>
  <c r="Y294" i="2"/>
  <c r="AJ293" i="2"/>
  <c r="AD293" i="2" s="1"/>
  <c r="M879" i="2"/>
  <c r="Z294" i="2" l="1"/>
  <c r="AK294" i="2" s="1"/>
  <c r="AE294" i="2" s="1"/>
  <c r="AC294" i="2" s="1"/>
  <c r="AB294" i="2"/>
  <c r="AL294" i="2"/>
  <c r="AG294" i="2" s="1"/>
  <c r="AM294" i="2"/>
  <c r="AI294" i="2" s="1"/>
  <c r="M880" i="2"/>
  <c r="Y295" i="2" l="1"/>
  <c r="AA295" i="2"/>
  <c r="AJ294" i="2"/>
  <c r="AF294" i="2"/>
  <c r="AD294" i="2" s="1"/>
  <c r="AB295" i="2" s="1"/>
  <c r="AH294" i="2"/>
  <c r="M881" i="2"/>
  <c r="Z295" i="2" l="1"/>
  <c r="AL295" i="2" s="1"/>
  <c r="AG295" i="2" s="1"/>
  <c r="M882" i="2"/>
  <c r="AH295" i="2" l="1"/>
  <c r="AM295" i="2"/>
  <c r="AI295" i="2" s="1"/>
  <c r="AK295" i="2"/>
  <c r="AE295" i="2" s="1"/>
  <c r="AC295" i="2" s="1"/>
  <c r="M883" i="2"/>
  <c r="AF295" i="2" l="1"/>
  <c r="Y296" i="2"/>
  <c r="AA296" i="2"/>
  <c r="AJ295" i="2"/>
  <c r="M884" i="2"/>
  <c r="AD295" i="2" l="1"/>
  <c r="M885" i="2"/>
  <c r="AB296" i="2" l="1"/>
  <c r="Z296" i="2"/>
  <c r="M886" i="2"/>
  <c r="AK296" i="2" l="1"/>
  <c r="AE296" i="2" s="1"/>
  <c r="AL296" i="2"/>
  <c r="AG296" i="2" s="1"/>
  <c r="AM296" i="2"/>
  <c r="AI296" i="2" s="1"/>
  <c r="M887" i="2"/>
  <c r="AJ296" i="2" l="1"/>
  <c r="AH296" i="2"/>
  <c r="AC296" i="2"/>
  <c r="AF296" i="2"/>
  <c r="AD296" i="2" s="1"/>
  <c r="M888" i="2"/>
  <c r="Z297" i="2" l="1"/>
  <c r="AB297" i="2"/>
  <c r="AA297" i="2"/>
  <c r="Y297" i="2"/>
  <c r="M889" i="2"/>
  <c r="AL297" i="2" l="1"/>
  <c r="AG297" i="2" s="1"/>
  <c r="AM297" i="2"/>
  <c r="AI297" i="2" s="1"/>
  <c r="AK297" i="2"/>
  <c r="AF297" i="2" s="1"/>
  <c r="AH297" i="2"/>
  <c r="M890" i="2"/>
  <c r="AE297" i="2" l="1"/>
  <c r="AC297" i="2" s="1"/>
  <c r="AJ297" i="2"/>
  <c r="AD297" i="2" s="1"/>
  <c r="M891" i="2"/>
  <c r="AB298" i="2" l="1"/>
  <c r="Z298" i="2"/>
  <c r="Y298" i="2"/>
  <c r="AA298" i="2"/>
  <c r="M892" i="2"/>
  <c r="AK298" i="2" l="1"/>
  <c r="AE298" i="2" s="1"/>
  <c r="AM298" i="2"/>
  <c r="AJ298" i="2" s="1"/>
  <c r="AI298" i="2"/>
  <c r="AL298" i="2"/>
  <c r="AG298" i="2" s="1"/>
  <c r="M893" i="2"/>
  <c r="AC298" i="2" l="1"/>
  <c r="AF298" i="2"/>
  <c r="AD298" i="2" s="1"/>
  <c r="AH298" i="2"/>
  <c r="M894" i="2"/>
  <c r="AB299" i="2" l="1"/>
  <c r="Z299" i="2"/>
  <c r="Y299" i="2"/>
  <c r="AA299" i="2"/>
  <c r="M895" i="2"/>
  <c r="AL299" i="2" l="1"/>
  <c r="AH299" i="2" s="1"/>
  <c r="AK299" i="2"/>
  <c r="AE299" i="2" s="1"/>
  <c r="AM299" i="2"/>
  <c r="AI299" i="2" s="1"/>
  <c r="M896" i="2"/>
  <c r="AJ299" i="2" l="1"/>
  <c r="AF299" i="2"/>
  <c r="AD299" i="2" s="1"/>
  <c r="AG299" i="2"/>
  <c r="AC299" i="2" s="1"/>
  <c r="M897" i="2"/>
  <c r="AA300" i="2" l="1"/>
  <c r="Y300" i="2"/>
  <c r="AB300" i="2"/>
  <c r="Z300" i="2"/>
  <c r="M898" i="2"/>
  <c r="AM300" i="2" l="1"/>
  <c r="AJ300" i="2" s="1"/>
  <c r="AK300" i="2"/>
  <c r="AE300" i="2" s="1"/>
  <c r="AL300" i="2"/>
  <c r="AG300" i="2" s="1"/>
  <c r="AF300" i="2"/>
  <c r="AH300" i="2"/>
  <c r="M899" i="2"/>
  <c r="AD300" i="2" l="1"/>
  <c r="AI300" i="2"/>
  <c r="AC300" i="2" s="1"/>
  <c r="M900" i="2"/>
  <c r="AA301" i="2" l="1"/>
  <c r="Y301" i="2"/>
  <c r="AB301" i="2"/>
  <c r="Z301" i="2"/>
  <c r="M901" i="2"/>
  <c r="AE301" i="2" l="1"/>
  <c r="AK301" i="2"/>
  <c r="AL301" i="2"/>
  <c r="AG301" i="2" s="1"/>
  <c r="AM301" i="2"/>
  <c r="AJ301" i="2" s="1"/>
  <c r="AF301" i="2"/>
  <c r="M902" i="2"/>
  <c r="AH301" i="2" l="1"/>
  <c r="AI301" i="2"/>
  <c r="AC301" i="2" s="1"/>
  <c r="AD301" i="2"/>
  <c r="M903" i="2"/>
  <c r="AA302" i="2" l="1"/>
  <c r="Y302" i="2"/>
  <c r="AB302" i="2"/>
  <c r="Z302" i="2"/>
  <c r="M904" i="2"/>
  <c r="AK302" i="2" l="1"/>
  <c r="AE302" i="2" s="1"/>
  <c r="AL302" i="2"/>
  <c r="AG302" i="2" s="1"/>
  <c r="AM302" i="2"/>
  <c r="AI302" i="2" s="1"/>
  <c r="AF302" i="2"/>
  <c r="M905" i="2"/>
  <c r="AC302" i="2" l="1"/>
  <c r="AJ302" i="2"/>
  <c r="AH302" i="2"/>
  <c r="AD302" i="2" s="1"/>
  <c r="M906" i="2"/>
  <c r="AB303" i="2" l="1"/>
  <c r="Z303" i="2"/>
  <c r="AA303" i="2"/>
  <c r="Y303" i="2"/>
  <c r="M907" i="2"/>
  <c r="AL303" i="2" l="1"/>
  <c r="AM303" i="2"/>
  <c r="AI303" i="2" s="1"/>
  <c r="AG303" i="2"/>
  <c r="AK303" i="2"/>
  <c r="AE303" i="2" s="1"/>
  <c r="AC303" i="2" s="1"/>
  <c r="AH303" i="2"/>
  <c r="AF303" i="2"/>
  <c r="M908" i="2"/>
  <c r="Y304" i="2" l="1"/>
  <c r="AA304" i="2"/>
  <c r="AJ303" i="2"/>
  <c r="AD303" i="2" s="1"/>
  <c r="M909" i="2"/>
  <c r="AB304" i="2" l="1"/>
  <c r="Z304" i="2"/>
  <c r="AM304" i="2"/>
  <c r="AI304" i="2" s="1"/>
  <c r="AL304" i="2"/>
  <c r="AG304" i="2" s="1"/>
  <c r="M910" i="2"/>
  <c r="AJ304" i="2" l="1"/>
  <c r="AH304" i="2"/>
  <c r="AK304" i="2"/>
  <c r="AE304" i="2" s="1"/>
  <c r="AC304" i="2" s="1"/>
  <c r="M911" i="2"/>
  <c r="AA305" i="2" l="1"/>
  <c r="Y305" i="2"/>
  <c r="AF304" i="2"/>
  <c r="AD304" i="2" s="1"/>
  <c r="M912" i="2"/>
  <c r="Z305" i="2" l="1"/>
  <c r="AB305" i="2"/>
  <c r="AK305" i="2"/>
  <c r="AE305" i="2" s="1"/>
  <c r="AC305" i="2" s="1"/>
  <c r="AL305" i="2"/>
  <c r="AG305" i="2" s="1"/>
  <c r="AM305" i="2"/>
  <c r="AI305" i="2" s="1"/>
  <c r="M913" i="2"/>
  <c r="AA306" i="2" l="1"/>
  <c r="Y306" i="2"/>
  <c r="AF305" i="2"/>
  <c r="AD305" i="2" s="1"/>
  <c r="Z306" i="2" s="1"/>
  <c r="AJ305" i="2"/>
  <c r="AH305" i="2"/>
  <c r="M914" i="2"/>
  <c r="AB306" i="2" l="1"/>
  <c r="AK306" i="2"/>
  <c r="AE306" i="2" s="1"/>
  <c r="AL306" i="2"/>
  <c r="AH306" i="2" s="1"/>
  <c r="AM306" i="2"/>
  <c r="AI306" i="2" s="1"/>
  <c r="M915" i="2"/>
  <c r="AJ306" i="2" l="1"/>
  <c r="AF306" i="2"/>
  <c r="AG306" i="2"/>
  <c r="AC306" i="2" s="1"/>
  <c r="M916" i="2"/>
  <c r="AA307" i="2" l="1"/>
  <c r="Y307" i="2"/>
  <c r="AD306" i="2"/>
  <c r="M917" i="2"/>
  <c r="AB307" i="2" l="1"/>
  <c r="Z307" i="2"/>
  <c r="AL307" i="2" s="1"/>
  <c r="AG307" i="2" s="1"/>
  <c r="M918" i="2"/>
  <c r="AK307" i="2" l="1"/>
  <c r="AE307" i="2" s="1"/>
  <c r="AH307" i="2"/>
  <c r="AM307" i="2"/>
  <c r="AI307" i="2" s="1"/>
  <c r="M919" i="2"/>
  <c r="AJ307" i="2" l="1"/>
  <c r="AF307" i="2"/>
  <c r="AD307" i="2" s="1"/>
  <c r="AC307" i="2"/>
  <c r="M920" i="2"/>
  <c r="Y308" i="2" l="1"/>
  <c r="AA308" i="2"/>
  <c r="AB308" i="2"/>
  <c r="Z308" i="2"/>
  <c r="M921" i="2"/>
  <c r="AM308" i="2" l="1"/>
  <c r="AI308" i="2" s="1"/>
  <c r="AK308" i="2"/>
  <c r="AF308" i="2" s="1"/>
  <c r="AL308" i="2"/>
  <c r="AH308" i="2" s="1"/>
  <c r="M922" i="2"/>
  <c r="AJ308" i="2" l="1"/>
  <c r="AD308" i="2" s="1"/>
  <c r="AG308" i="2"/>
  <c r="AE308" i="2"/>
  <c r="M923" i="2"/>
  <c r="AB309" i="2" l="1"/>
  <c r="Z309" i="2"/>
  <c r="AC308" i="2"/>
  <c r="M924" i="2"/>
  <c r="AA309" i="2" l="1"/>
  <c r="Y309" i="2"/>
  <c r="M925" i="2"/>
  <c r="AK309" i="2" l="1"/>
  <c r="AF309" i="2" s="1"/>
  <c r="AL309" i="2"/>
  <c r="AH309" i="2" s="1"/>
  <c r="AM309" i="2"/>
  <c r="AJ309" i="2" s="1"/>
  <c r="AE309" i="2"/>
  <c r="M926" i="2"/>
  <c r="AD309" i="2" l="1"/>
  <c r="AG309" i="2"/>
  <c r="AC309" i="2" s="1"/>
  <c r="AI309" i="2"/>
  <c r="M927" i="2"/>
  <c r="Y310" i="2" l="1"/>
  <c r="AA310" i="2"/>
  <c r="AB310" i="2"/>
  <c r="Z310" i="2"/>
  <c r="M928" i="2"/>
  <c r="AK310" i="2" l="1"/>
  <c r="AE310" i="2" s="1"/>
  <c r="AL310" i="2"/>
  <c r="AH310" i="2" s="1"/>
  <c r="AM310" i="2"/>
  <c r="AJ310" i="2" s="1"/>
  <c r="M929" i="2"/>
  <c r="AF310" i="2" l="1"/>
  <c r="AD310" i="2" s="1"/>
  <c r="AI310" i="2"/>
  <c r="AG310" i="2"/>
  <c r="AC310" i="2" s="1"/>
  <c r="M930" i="2"/>
  <c r="AA311" i="2" l="1"/>
  <c r="Y311" i="2"/>
  <c r="Z311" i="2"/>
  <c r="AB311" i="2"/>
  <c r="M931" i="2"/>
  <c r="AJ311" i="2" l="1"/>
  <c r="AL311" i="2"/>
  <c r="AH311" i="2" s="1"/>
  <c r="AI311" i="2"/>
  <c r="AM311" i="2"/>
  <c r="AK311" i="2"/>
  <c r="AE311" i="2" s="1"/>
  <c r="AC311" i="2" s="1"/>
  <c r="AG311" i="2"/>
  <c r="M932" i="2"/>
  <c r="AA312" i="2" l="1"/>
  <c r="Y312" i="2"/>
  <c r="AF311" i="2"/>
  <c r="AD311" i="2" s="1"/>
  <c r="M933" i="2"/>
  <c r="AB312" i="2" l="1"/>
  <c r="Z312" i="2"/>
  <c r="AK312" i="2" s="1"/>
  <c r="AE312" i="2" s="1"/>
  <c r="M934" i="2"/>
  <c r="AL312" i="2" l="1"/>
  <c r="AG312" i="2" s="1"/>
  <c r="AC312" i="2" s="1"/>
  <c r="AM312" i="2"/>
  <c r="AI312" i="2" s="1"/>
  <c r="AF312" i="2"/>
  <c r="AH312" i="2"/>
  <c r="M935" i="2"/>
  <c r="AA313" i="2" l="1"/>
  <c r="Y313" i="2"/>
  <c r="AJ312" i="2"/>
  <c r="AD312" i="2" s="1"/>
  <c r="M936" i="2"/>
  <c r="AB313" i="2" l="1"/>
  <c r="Z313" i="2"/>
  <c r="AG313" i="2"/>
  <c r="AK313" i="2"/>
  <c r="AL313" i="2"/>
  <c r="AM313" i="2"/>
  <c r="AI313" i="2" s="1"/>
  <c r="AE313" i="2"/>
  <c r="M937" i="2"/>
  <c r="AC313" i="2" l="1"/>
  <c r="AF313" i="2"/>
  <c r="AJ313" i="2"/>
  <c r="AH313" i="2"/>
  <c r="M938" i="2"/>
  <c r="AD313" i="2" l="1"/>
  <c r="AA314" i="2"/>
  <c r="Y314" i="2"/>
  <c r="M939" i="2"/>
  <c r="AL314" i="2" l="1"/>
  <c r="AG314" i="2" s="1"/>
  <c r="AM314" i="2"/>
  <c r="AI314" i="2" s="1"/>
  <c r="AB314" i="2"/>
  <c r="Z314" i="2"/>
  <c r="AK314" i="2" s="1"/>
  <c r="AE314" i="2" s="1"/>
  <c r="M940" i="2"/>
  <c r="AC314" i="2" l="1"/>
  <c r="AH314" i="2"/>
  <c r="AF314" i="2"/>
  <c r="AD314" i="2" s="1"/>
  <c r="Z315" i="2" s="1"/>
  <c r="AJ314" i="2"/>
  <c r="M941" i="2"/>
  <c r="AB315" i="2" l="1"/>
  <c r="AA315" i="2"/>
  <c r="Y315" i="2"/>
  <c r="M942" i="2"/>
  <c r="AL315" i="2" l="1"/>
  <c r="AH315" i="2" s="1"/>
  <c r="AM315" i="2"/>
  <c r="AJ315" i="2" s="1"/>
  <c r="AG315" i="2"/>
  <c r="AK315" i="2"/>
  <c r="AF315" i="2" s="1"/>
  <c r="M943" i="2"/>
  <c r="AD315" i="2" l="1"/>
  <c r="AI315" i="2"/>
  <c r="AE315" i="2"/>
  <c r="AC315" i="2" s="1"/>
  <c r="M944" i="2"/>
  <c r="Y316" i="2" l="1"/>
  <c r="AA316" i="2"/>
  <c r="Z316" i="2"/>
  <c r="AB316" i="2"/>
  <c r="M945" i="2"/>
  <c r="AJ316" i="2" l="1"/>
  <c r="AI316" i="2"/>
  <c r="AM316" i="2"/>
  <c r="AG316" i="2"/>
  <c r="AK316" i="2"/>
  <c r="AF316" i="2" s="1"/>
  <c r="AL316" i="2"/>
  <c r="AH316" i="2" s="1"/>
  <c r="M946" i="2"/>
  <c r="AD316" i="2" l="1"/>
  <c r="AE316" i="2"/>
  <c r="AC316" i="2" s="1"/>
  <c r="M947" i="2"/>
  <c r="AA317" i="2" l="1"/>
  <c r="Y317" i="2"/>
  <c r="AB317" i="2"/>
  <c r="Z317" i="2"/>
  <c r="M948" i="2"/>
  <c r="AH317" i="2" l="1"/>
  <c r="AG317" i="2"/>
  <c r="AK317" i="2"/>
  <c r="AF317" i="2" s="1"/>
  <c r="AD317" i="2" s="1"/>
  <c r="AL317" i="2"/>
  <c r="AM317" i="2"/>
  <c r="AJ317" i="2" s="1"/>
  <c r="M949" i="2"/>
  <c r="AB318" i="2" l="1"/>
  <c r="Z318" i="2"/>
  <c r="AI317" i="2"/>
  <c r="AE317" i="2"/>
  <c r="AC317" i="2" s="1"/>
  <c r="M950" i="2"/>
  <c r="AA318" i="2" l="1"/>
  <c r="Y318" i="2"/>
  <c r="M951" i="2"/>
  <c r="AK318" i="2" l="1"/>
  <c r="AF318" i="2" s="1"/>
  <c r="AL318" i="2"/>
  <c r="AH318" i="2" s="1"/>
  <c r="AE318" i="2"/>
  <c r="AM318" i="2"/>
  <c r="AJ318" i="2" s="1"/>
  <c r="M952" i="2"/>
  <c r="AD318" i="2" l="1"/>
  <c r="AI318" i="2"/>
  <c r="AG318" i="2"/>
  <c r="AC318" i="2" s="1"/>
  <c r="M953" i="2"/>
  <c r="Y319" i="2" l="1"/>
  <c r="AA319" i="2"/>
  <c r="Z319" i="2"/>
  <c r="AB319" i="2"/>
  <c r="M954" i="2"/>
  <c r="AJ319" i="2" l="1"/>
  <c r="AL319" i="2"/>
  <c r="AH319" i="2" s="1"/>
  <c r="AE319" i="2"/>
  <c r="AM319" i="2"/>
  <c r="AI319" i="2" s="1"/>
  <c r="AG319" i="2"/>
  <c r="AK319" i="2"/>
  <c r="AF319" i="2" s="1"/>
  <c r="AD319" i="2" s="1"/>
  <c r="M955" i="2"/>
  <c r="AB320" i="2" l="1"/>
  <c r="Z320" i="2"/>
  <c r="AC319" i="2"/>
  <c r="M956" i="2"/>
  <c r="AA320" i="2" l="1"/>
  <c r="Y320" i="2"/>
  <c r="M957" i="2"/>
  <c r="AM320" i="2" l="1"/>
  <c r="AJ320" i="2" s="1"/>
  <c r="AK320" i="2"/>
  <c r="AF320" i="2" s="1"/>
  <c r="AD320" i="2" s="1"/>
  <c r="AL320" i="2"/>
  <c r="AH320" i="2" s="1"/>
  <c r="M958" i="2"/>
  <c r="AI320" i="2" l="1"/>
  <c r="Z321" i="2"/>
  <c r="AB321" i="2"/>
  <c r="AG320" i="2"/>
  <c r="AE320" i="2"/>
  <c r="M959" i="2"/>
  <c r="AC320" i="2" l="1"/>
  <c r="M960" i="2"/>
  <c r="Y321" i="2" l="1"/>
  <c r="AA321" i="2"/>
  <c r="M961" i="2"/>
  <c r="AK321" i="2" l="1"/>
  <c r="AF321" i="2" s="1"/>
  <c r="AL321" i="2"/>
  <c r="AH321" i="2" s="1"/>
  <c r="AM321" i="2"/>
  <c r="AJ321" i="2" s="1"/>
  <c r="M962" i="2"/>
  <c r="AD321" i="2" l="1"/>
  <c r="AI321" i="2"/>
  <c r="AG321" i="2"/>
  <c r="AE321" i="2"/>
  <c r="AC321" i="2" s="1"/>
  <c r="M963" i="2"/>
  <c r="AA322" i="2" l="1"/>
  <c r="Y322" i="2"/>
  <c r="AB322" i="2"/>
  <c r="Z322" i="2"/>
  <c r="M964" i="2"/>
  <c r="AK322" i="2" l="1"/>
  <c r="AE322" i="2" s="1"/>
  <c r="AL322" i="2"/>
  <c r="AG322" i="2" s="1"/>
  <c r="AM322" i="2"/>
  <c r="AI322" i="2" s="1"/>
  <c r="AJ322" i="2"/>
  <c r="M965" i="2"/>
  <c r="AC322" i="2" l="1"/>
  <c r="AF322" i="2"/>
  <c r="AH322" i="2"/>
  <c r="M966" i="2"/>
  <c r="AD322" i="2" l="1"/>
  <c r="AA323" i="2"/>
  <c r="Y323" i="2"/>
  <c r="M967" i="2"/>
  <c r="AM323" i="2" l="1"/>
  <c r="AI323" i="2" s="1"/>
  <c r="AK323" i="2"/>
  <c r="AE323" i="2" s="1"/>
  <c r="AB323" i="2"/>
  <c r="Z323" i="2"/>
  <c r="M968" i="2"/>
  <c r="AF323" i="2" l="1"/>
  <c r="AJ323" i="2"/>
  <c r="AL323" i="2"/>
  <c r="AG323" i="2" s="1"/>
  <c r="AC323" i="2" s="1"/>
  <c r="M969" i="2"/>
  <c r="Y324" i="2" l="1"/>
  <c r="AA324" i="2"/>
  <c r="AH323" i="2"/>
  <c r="AD323" i="2" s="1"/>
  <c r="M970" i="2"/>
  <c r="AB324" i="2" l="1"/>
  <c r="Z324" i="2"/>
  <c r="AI324" i="2"/>
  <c r="AM324" i="2"/>
  <c r="AG324" i="2"/>
  <c r="AK324" i="2"/>
  <c r="AE324" i="2" s="1"/>
  <c r="AC324" i="2" s="1"/>
  <c r="AL324" i="2"/>
  <c r="M971" i="2"/>
  <c r="AA325" i="2" l="1"/>
  <c r="Y325" i="2"/>
  <c r="AF324" i="2"/>
  <c r="AJ324" i="2"/>
  <c r="AH324" i="2"/>
  <c r="M972" i="2"/>
  <c r="AD324" i="2" l="1"/>
  <c r="M973" i="2"/>
  <c r="Z325" i="2" l="1"/>
  <c r="AB325" i="2"/>
  <c r="M974" i="2"/>
  <c r="AL325" i="2" l="1"/>
  <c r="AG325" i="2" s="1"/>
  <c r="AM325" i="2"/>
  <c r="AI325" i="2" s="1"/>
  <c r="AK325" i="2"/>
  <c r="AE325" i="2" s="1"/>
  <c r="AC325" i="2" s="1"/>
  <c r="M975" i="2"/>
  <c r="AJ325" i="2" l="1"/>
  <c r="AA326" i="2"/>
  <c r="Y326" i="2"/>
  <c r="AF325" i="2"/>
  <c r="AD325" i="2" s="1"/>
  <c r="AH325" i="2"/>
  <c r="M976" i="2"/>
  <c r="AB326" i="2" l="1"/>
  <c r="Z326" i="2"/>
  <c r="AK326" i="2" s="1"/>
  <c r="AE326" i="2" s="1"/>
  <c r="M977" i="2"/>
  <c r="AL326" i="2" l="1"/>
  <c r="AG326" i="2" s="1"/>
  <c r="AC326" i="2" s="1"/>
  <c r="AM326" i="2"/>
  <c r="AI326" i="2" s="1"/>
  <c r="AF326" i="2"/>
  <c r="M978" i="2"/>
  <c r="AA327" i="2" l="1"/>
  <c r="Y327" i="2"/>
  <c r="AJ326" i="2"/>
  <c r="AD326" i="2" s="1"/>
  <c r="AH326" i="2"/>
  <c r="M979" i="2"/>
  <c r="Z327" i="2" l="1"/>
  <c r="AB327" i="2"/>
  <c r="AL327" i="2"/>
  <c r="AG327" i="2" s="1"/>
  <c r="AM327" i="2"/>
  <c r="AI327" i="2" s="1"/>
  <c r="AK327" i="2"/>
  <c r="AE327" i="2" s="1"/>
  <c r="M980" i="2"/>
  <c r="AC327" i="2" l="1"/>
  <c r="AH327" i="2"/>
  <c r="AF327" i="2"/>
  <c r="AD327" i="2" s="1"/>
  <c r="AB328" i="2" s="1"/>
  <c r="AJ327" i="2"/>
  <c r="M981" i="2"/>
  <c r="Z328" i="2" l="1"/>
  <c r="AA328" i="2"/>
  <c r="Y328" i="2"/>
  <c r="M982" i="2"/>
  <c r="AM328" i="2" l="1"/>
  <c r="AI328" i="2" s="1"/>
  <c r="AK328" i="2"/>
  <c r="AE328" i="2" s="1"/>
  <c r="AL328" i="2"/>
  <c r="AG328" i="2" s="1"/>
  <c r="AH328" i="2"/>
  <c r="M983" i="2"/>
  <c r="AC328" i="2" l="1"/>
  <c r="AJ328" i="2"/>
  <c r="AF328" i="2"/>
  <c r="AD328" i="2" s="1"/>
  <c r="M984" i="2"/>
  <c r="AB329" i="2" l="1"/>
  <c r="Z329" i="2"/>
  <c r="Y329" i="2"/>
  <c r="AA329" i="2"/>
  <c r="M985" i="2"/>
  <c r="AG329" i="2" l="1"/>
  <c r="AK329" i="2"/>
  <c r="AF329" i="2" s="1"/>
  <c r="AL329" i="2"/>
  <c r="AH329" i="2" s="1"/>
  <c r="AM329" i="2"/>
  <c r="AJ329" i="2" s="1"/>
  <c r="AI329" i="2"/>
  <c r="M986" i="2"/>
  <c r="AD329" i="2" l="1"/>
  <c r="AE329" i="2"/>
  <c r="AC329" i="2" s="1"/>
  <c r="M987" i="2"/>
  <c r="AA330" i="2" l="1"/>
  <c r="Y330" i="2"/>
  <c r="AB330" i="2"/>
  <c r="Z330" i="2"/>
  <c r="M988" i="2"/>
  <c r="AF330" i="2" l="1"/>
  <c r="AK330" i="2"/>
  <c r="AE330" i="2" s="1"/>
  <c r="AL330" i="2"/>
  <c r="AG330" i="2" s="1"/>
  <c r="AM330" i="2"/>
  <c r="AJ330" i="2" s="1"/>
  <c r="M989" i="2"/>
  <c r="AH330" i="2" l="1"/>
  <c r="AD330" i="2" s="1"/>
  <c r="AI330" i="2"/>
  <c r="AC330" i="2" s="1"/>
  <c r="M990" i="2"/>
  <c r="AB331" i="2" l="1"/>
  <c r="Z331" i="2"/>
  <c r="AA331" i="2"/>
  <c r="Y331" i="2"/>
  <c r="M991" i="2"/>
  <c r="AJ331" i="2" l="1"/>
  <c r="AL331" i="2"/>
  <c r="AH331" i="2" s="1"/>
  <c r="AI331" i="2"/>
  <c r="AM331" i="2"/>
  <c r="AG331" i="2"/>
  <c r="AK331" i="2"/>
  <c r="AF331" i="2" s="1"/>
  <c r="AD331" i="2" s="1"/>
  <c r="M992" i="2"/>
  <c r="Z332" i="2" l="1"/>
  <c r="AB332" i="2"/>
  <c r="AE331" i="2"/>
  <c r="AC331" i="2" s="1"/>
  <c r="M993" i="2"/>
  <c r="AA332" i="2" l="1"/>
  <c r="Y332" i="2"/>
  <c r="M994" i="2"/>
  <c r="AM332" i="2" l="1"/>
  <c r="AJ332" i="2" s="1"/>
  <c r="AK332" i="2"/>
  <c r="AF332" i="2" s="1"/>
  <c r="AL332" i="2"/>
  <c r="AH332" i="2" s="1"/>
  <c r="M995" i="2"/>
  <c r="AI332" i="2" l="1"/>
  <c r="AD332" i="2"/>
  <c r="AG332" i="2"/>
  <c r="AE332" i="2"/>
  <c r="AC332" i="2" s="1"/>
  <c r="M996" i="2"/>
  <c r="Y333" i="2" l="1"/>
  <c r="AA333" i="2"/>
  <c r="AB333" i="2"/>
  <c r="Z333" i="2"/>
  <c r="M997" i="2"/>
  <c r="AH333" i="2" l="1"/>
  <c r="AG333" i="2"/>
  <c r="AK333" i="2"/>
  <c r="AF333" i="2" s="1"/>
  <c r="AL333" i="2"/>
  <c r="AE333" i="2"/>
  <c r="AI333" i="2"/>
  <c r="AM333" i="2"/>
  <c r="AJ333" i="2" s="1"/>
  <c r="M998" i="2"/>
  <c r="AD333" i="2" l="1"/>
  <c r="AC333" i="2"/>
  <c r="M999" i="2"/>
  <c r="AA334" i="2" l="1"/>
  <c r="Y334" i="2"/>
  <c r="AB334" i="2"/>
  <c r="Z334" i="2"/>
  <c r="M1000" i="2"/>
  <c r="AK334" i="2" l="1"/>
  <c r="AE334" i="2" s="1"/>
  <c r="AL334" i="2"/>
  <c r="AH334" i="2" s="1"/>
  <c r="AM334" i="2"/>
  <c r="AI334" i="2" s="1"/>
  <c r="M1001" i="2"/>
  <c r="AJ334" i="2" l="1"/>
  <c r="AF334" i="2"/>
  <c r="AD334" i="2" s="1"/>
  <c r="AG334" i="2"/>
  <c r="AC334" i="2" s="1"/>
  <c r="M1002" i="2"/>
  <c r="AA335" i="2" l="1"/>
  <c r="Y335" i="2"/>
  <c r="Z335" i="2"/>
  <c r="AB335" i="2"/>
  <c r="M1003" i="2"/>
  <c r="AJ335" i="2" l="1"/>
  <c r="AL335" i="2"/>
  <c r="AH335" i="2" s="1"/>
  <c r="AI335" i="2"/>
  <c r="AM335" i="2"/>
  <c r="AG335" i="2"/>
  <c r="AK335" i="2"/>
  <c r="AF335" i="2" s="1"/>
  <c r="AD335" i="2" s="1"/>
  <c r="M1004" i="2"/>
  <c r="AB336" i="2" l="1"/>
  <c r="Z336" i="2"/>
  <c r="AE335" i="2"/>
  <c r="AC335" i="2" s="1"/>
  <c r="AA336" i="2" l="1"/>
  <c r="Y336" i="2"/>
  <c r="AM336" i="2" l="1"/>
  <c r="AJ336" i="2" s="1"/>
  <c r="AK336" i="2"/>
  <c r="AF336" i="2" s="1"/>
  <c r="AL336" i="2"/>
  <c r="AH336" i="2" s="1"/>
  <c r="AG336" i="2"/>
  <c r="AI336" i="2" l="1"/>
  <c r="AD336" i="2"/>
  <c r="AE336" i="2"/>
  <c r="AC336" i="2" s="1"/>
  <c r="Z337" i="2" l="1"/>
  <c r="AB337" i="2"/>
  <c r="AA337" i="2"/>
  <c r="Y337" i="2"/>
  <c r="AK337" i="2" l="1"/>
  <c r="AE337" i="2" s="1"/>
  <c r="AI337" i="2"/>
  <c r="AL337" i="2"/>
  <c r="AG337" i="2" s="1"/>
  <c r="AM337" i="2"/>
  <c r="AJ337" i="2"/>
  <c r="AH337" i="2"/>
  <c r="AC337" i="2" l="1"/>
  <c r="AF337" i="2"/>
  <c r="AD337" i="2" s="1"/>
  <c r="AB338" i="2" l="1"/>
  <c r="Z338" i="2"/>
  <c r="Y338" i="2"/>
  <c r="AA338" i="2"/>
  <c r="AK338" i="2" l="1"/>
  <c r="AE338" i="2" s="1"/>
  <c r="AL338" i="2"/>
  <c r="AH338" i="2" s="1"/>
  <c r="AM338" i="2"/>
  <c r="AI338" i="2"/>
  <c r="AJ338" i="2"/>
  <c r="AF338" i="2"/>
  <c r="AD338" i="2" l="1"/>
  <c r="AG338" i="2"/>
  <c r="AC338" i="2" s="1"/>
  <c r="AA339" i="2" l="1"/>
  <c r="Y339" i="2"/>
  <c r="Z339" i="2"/>
  <c r="AB339" i="2"/>
  <c r="AL339" i="2" l="1"/>
  <c r="AH339" i="2" s="1"/>
  <c r="AM339" i="2"/>
  <c r="AI339" i="2" s="1"/>
  <c r="AK339" i="2"/>
  <c r="AF339" i="2" s="1"/>
  <c r="AJ339" i="2" l="1"/>
  <c r="AD339" i="2" s="1"/>
  <c r="AG339" i="2"/>
  <c r="AE339" i="2"/>
  <c r="Z340" i="2" l="1"/>
  <c r="AB340" i="2"/>
  <c r="AC339" i="2"/>
  <c r="AA340" i="2" l="1"/>
  <c r="Y340" i="2"/>
  <c r="AM340" i="2" l="1"/>
  <c r="AJ340" i="2" s="1"/>
  <c r="AL340" i="2"/>
  <c r="AH340" i="2" s="1"/>
  <c r="AG340" i="2"/>
  <c r="AK340" i="2"/>
  <c r="AF340" i="2" s="1"/>
  <c r="AD340" i="2" s="1"/>
  <c r="Z341" i="2" l="1"/>
  <c r="AB341" i="2"/>
  <c r="AI340" i="2"/>
  <c r="AE340" i="2"/>
  <c r="AC340" i="2" s="1"/>
  <c r="AA341" i="2" l="1"/>
  <c r="Y341" i="2"/>
  <c r="AK341" i="2" l="1"/>
  <c r="AF341" i="2" s="1"/>
  <c r="AE341" i="2"/>
  <c r="AM341" i="2"/>
  <c r="AJ341" i="2" s="1"/>
  <c r="AL341" i="2"/>
  <c r="AH341" i="2" s="1"/>
  <c r="AD341" i="2" l="1"/>
  <c r="AI341" i="2"/>
  <c r="AG341" i="2"/>
  <c r="AC341" i="2" s="1"/>
  <c r="Y342" i="2" l="1"/>
  <c r="AA342" i="2"/>
  <c r="Z342" i="2"/>
  <c r="AB342" i="2"/>
  <c r="AL342" i="2" l="1"/>
  <c r="AH342" i="2" s="1"/>
  <c r="AE342" i="2"/>
  <c r="AK342" i="2"/>
  <c r="AF342" i="2" s="1"/>
  <c r="AM342" i="2"/>
  <c r="AI342" i="2" s="1"/>
  <c r="AJ342" i="2" l="1"/>
  <c r="AD342" i="2" s="1"/>
  <c r="AG342" i="2"/>
  <c r="AC342" i="2" s="1"/>
  <c r="Y343" i="2" l="1"/>
  <c r="AA343" i="2"/>
  <c r="AB343" i="2"/>
  <c r="Z343" i="2"/>
  <c r="AJ343" i="2" l="1"/>
  <c r="AE343" i="2"/>
  <c r="AI343" i="2"/>
  <c r="AM343" i="2"/>
  <c r="AK343" i="2"/>
  <c r="AF343" i="2" s="1"/>
  <c r="AL343" i="2"/>
  <c r="AH343" i="2" s="1"/>
  <c r="AD343" i="2" l="1"/>
  <c r="AG343" i="2"/>
  <c r="AC343" i="2" s="1"/>
  <c r="Y344" i="2" l="1"/>
  <c r="AA344" i="2"/>
  <c r="AB344" i="2"/>
  <c r="Z344" i="2"/>
  <c r="AG344" i="2" l="1"/>
  <c r="AL344" i="2"/>
  <c r="AH344" i="2" s="1"/>
  <c r="AM344" i="2"/>
  <c r="AJ344" i="2" s="1"/>
  <c r="AE344" i="2"/>
  <c r="AK344" i="2"/>
  <c r="AF344" i="2" s="1"/>
  <c r="AD344" i="2" l="1"/>
  <c r="AI344" i="2"/>
  <c r="AC344" i="2"/>
  <c r="AA345" i="2" l="1"/>
  <c r="Y345" i="2"/>
  <c r="AB345" i="2"/>
  <c r="Z345" i="2"/>
  <c r="AK345" i="2" l="1"/>
  <c r="AE345" i="2" s="1"/>
  <c r="AC345" i="2" s="1"/>
  <c r="AM345" i="2"/>
  <c r="AI345" i="2"/>
  <c r="AL345" i="2"/>
  <c r="AG345" i="2" s="1"/>
  <c r="AJ345" i="2"/>
  <c r="Y346" i="2" l="1"/>
  <c r="AA346" i="2"/>
  <c r="AF345" i="2"/>
  <c r="AH345" i="2"/>
  <c r="AD345" i="2" l="1"/>
  <c r="Z346" i="2" l="1"/>
  <c r="AB346" i="2"/>
  <c r="AM346" i="2" l="1"/>
  <c r="AI346" i="2" s="1"/>
  <c r="AL346" i="2"/>
  <c r="AG346" i="2" s="1"/>
  <c r="AK346" i="2"/>
  <c r="AE346" i="2" s="1"/>
  <c r="AC346" i="2" s="1"/>
  <c r="Y347" i="2" l="1"/>
  <c r="AA347" i="2"/>
  <c r="AJ346" i="2"/>
  <c r="AF346" i="2"/>
  <c r="AD346" i="2" s="1"/>
  <c r="AH346" i="2"/>
  <c r="AB347" i="2" l="1"/>
  <c r="Z347" i="2"/>
  <c r="AK347" i="2" s="1"/>
  <c r="AE347" i="2" s="1"/>
  <c r="AM347" i="2" l="1"/>
  <c r="AI347" i="2" s="1"/>
  <c r="AJ347" i="2"/>
  <c r="AF347" i="2"/>
  <c r="AL347" i="2"/>
  <c r="AG347" i="2" s="1"/>
  <c r="AC347" i="2" s="1"/>
  <c r="AA348" i="2" l="1"/>
  <c r="Y348" i="2"/>
  <c r="AH347" i="2"/>
  <c r="AD347" i="2" s="1"/>
  <c r="Z348" i="2" l="1"/>
  <c r="AB348" i="2"/>
  <c r="AE348" i="2"/>
  <c r="AK348" i="2"/>
  <c r="AL348" i="2"/>
  <c r="AG348" i="2" s="1"/>
  <c r="AM348" i="2"/>
  <c r="AI348" i="2" s="1"/>
  <c r="AC348" i="2" l="1"/>
  <c r="AF348" i="2"/>
  <c r="AJ348" i="2"/>
  <c r="AH348" i="2"/>
  <c r="AD348" i="2" l="1"/>
  <c r="AA349" i="2"/>
  <c r="Y349" i="2"/>
  <c r="AK349" i="2" l="1"/>
  <c r="AL349" i="2"/>
  <c r="AG349" i="2" s="1"/>
  <c r="AE349" i="2"/>
  <c r="AB349" i="2"/>
  <c r="Z349" i="2"/>
  <c r="AF349" i="2" l="1"/>
  <c r="AH349" i="2"/>
  <c r="AM349" i="2"/>
  <c r="AI349" i="2" s="1"/>
  <c r="AC349" i="2" s="1"/>
  <c r="AA350" i="2" l="1"/>
  <c r="Y350" i="2"/>
  <c r="AJ349" i="2"/>
  <c r="AD349" i="2" s="1"/>
  <c r="Z350" i="2" l="1"/>
  <c r="AB350" i="2"/>
  <c r="AL350" i="2"/>
  <c r="AG350" i="2"/>
  <c r="AM350" i="2"/>
  <c r="AI350" i="2" s="1"/>
  <c r="AE350" i="2"/>
  <c r="AK350" i="2"/>
  <c r="AC350" i="2" l="1"/>
  <c r="AH350" i="2"/>
  <c r="AJ350" i="2"/>
  <c r="AF350" i="2"/>
  <c r="AD350" i="2" l="1"/>
  <c r="AA351" i="2"/>
  <c r="Y351" i="2"/>
  <c r="AM351" i="2" l="1"/>
  <c r="AI351" i="2" s="1"/>
  <c r="AL351" i="2"/>
  <c r="AG351" i="2" s="1"/>
  <c r="Z351" i="2"/>
  <c r="AB351" i="2"/>
  <c r="AH351" i="2" l="1"/>
  <c r="AJ351" i="2"/>
  <c r="AK351" i="2"/>
  <c r="AE351" i="2" s="1"/>
  <c r="AC351" i="2" s="1"/>
  <c r="Y352" i="2" l="1"/>
  <c r="AA352" i="2"/>
  <c r="AF351" i="2"/>
  <c r="AD351" i="2" s="1"/>
  <c r="AB352" i="2" l="1"/>
  <c r="Z352" i="2"/>
  <c r="AK352" i="2"/>
  <c r="AE352" i="2" s="1"/>
  <c r="AF352" i="2" l="1"/>
  <c r="AJ352" i="2"/>
  <c r="AM352" i="2"/>
  <c r="AI352" i="2" s="1"/>
  <c r="AL352" i="2"/>
  <c r="AG352" i="2" s="1"/>
  <c r="AC352" i="2" s="1"/>
  <c r="AA353" i="2" l="1"/>
  <c r="Y353" i="2"/>
  <c r="AH352" i="2"/>
  <c r="AD352" i="2" s="1"/>
  <c r="Z353" i="2" l="1"/>
  <c r="AB353" i="2"/>
  <c r="AK353" i="2"/>
  <c r="AE353" i="2" s="1"/>
  <c r="AL353" i="2"/>
  <c r="AG353" i="2" s="1"/>
  <c r="AM353" i="2"/>
  <c r="AI353" i="2" s="1"/>
  <c r="AC353" i="2" l="1"/>
  <c r="AJ353" i="2"/>
  <c r="AF353" i="2"/>
  <c r="AD353" i="2" s="1"/>
  <c r="AB354" i="2" s="1"/>
  <c r="AH353" i="2"/>
  <c r="Z354" i="2" l="1"/>
  <c r="Y354" i="2"/>
  <c r="AA354" i="2"/>
  <c r="AL354" i="2" l="1"/>
  <c r="AK354" i="2"/>
  <c r="AG354" i="2"/>
  <c r="AM354" i="2"/>
  <c r="AI354" i="2"/>
  <c r="AE354" i="2"/>
  <c r="AC354" i="2" s="1"/>
  <c r="AA355" i="2" s="1"/>
  <c r="AH354" i="2"/>
  <c r="AF354" i="2"/>
  <c r="AJ354" i="2"/>
  <c r="Y355" i="2" l="1"/>
  <c r="AD354" i="2"/>
  <c r="AB355" i="2" l="1"/>
  <c r="Z355" i="2"/>
  <c r="AL355" i="2" s="1"/>
  <c r="AG355" i="2" s="1"/>
  <c r="AH355" i="2" l="1"/>
  <c r="AK355" i="2"/>
  <c r="AE355" i="2" s="1"/>
  <c r="AC355" i="2" s="1"/>
  <c r="AM355" i="2"/>
  <c r="AI355" i="2" s="1"/>
  <c r="AA356" i="2" l="1"/>
  <c r="Y356" i="2"/>
  <c r="AF355" i="2"/>
  <c r="AD355" i="2" s="1"/>
  <c r="AJ355" i="2"/>
  <c r="Z356" i="2" l="1"/>
  <c r="AK356" i="2" s="1"/>
  <c r="AE356" i="2" s="1"/>
  <c r="AB356" i="2"/>
  <c r="AL356" i="2"/>
  <c r="AG356" i="2" s="1"/>
  <c r="AM356" i="2" l="1"/>
  <c r="AI356" i="2" s="1"/>
  <c r="AC356" i="2" s="1"/>
  <c r="AF356" i="2"/>
  <c r="AH356" i="2"/>
  <c r="AA357" i="2" l="1"/>
  <c r="Y357" i="2"/>
  <c r="AJ356" i="2"/>
  <c r="AD356" i="2" s="1"/>
  <c r="AB357" i="2" l="1"/>
  <c r="Z357" i="2"/>
  <c r="AK357" i="2"/>
  <c r="AE357" i="2" s="1"/>
  <c r="AL357" i="2"/>
  <c r="AG357" i="2" s="1"/>
  <c r="AJ357" i="2" l="1"/>
  <c r="AF357" i="2"/>
  <c r="AD357" i="2" s="1"/>
  <c r="AB358" i="2" s="1"/>
  <c r="AH357" i="2"/>
  <c r="AM357" i="2"/>
  <c r="AI357" i="2" s="1"/>
  <c r="AC357" i="2" s="1"/>
  <c r="Y358" i="2" l="1"/>
  <c r="AA358" i="2"/>
  <c r="Z358" i="2"/>
  <c r="AL358" i="2" l="1"/>
  <c r="AG358" i="2" s="1"/>
  <c r="AK358" i="2"/>
  <c r="AF358" i="2" s="1"/>
  <c r="AM358" i="2"/>
  <c r="AI358" i="2" s="1"/>
  <c r="AJ358" i="2" l="1"/>
  <c r="AE358" i="2"/>
  <c r="AC358" i="2" s="1"/>
  <c r="AH358" i="2"/>
  <c r="AD358" i="2" s="1"/>
  <c r="AB359" i="2" l="1"/>
  <c r="Z359" i="2"/>
  <c r="AA359" i="2"/>
  <c r="Y359" i="2"/>
  <c r="AM359" i="2" l="1"/>
  <c r="AI359" i="2" s="1"/>
  <c r="AK359" i="2"/>
  <c r="AF359" i="2" s="1"/>
  <c r="AL359" i="2"/>
  <c r="AG359" i="2" s="1"/>
  <c r="AD359" i="2" l="1"/>
  <c r="AJ359" i="2"/>
  <c r="AH359" i="2"/>
  <c r="AE359" i="2"/>
  <c r="AC359" i="2" s="1"/>
  <c r="Z360" i="2" l="1"/>
  <c r="AB360" i="2"/>
  <c r="AA360" i="2"/>
  <c r="Y360" i="2"/>
  <c r="AL360" i="2" l="1"/>
  <c r="AG360" i="2" s="1"/>
  <c r="AM360" i="2"/>
  <c r="AI360" i="2" s="1"/>
  <c r="AK360" i="2"/>
  <c r="AF360" i="2" s="1"/>
  <c r="AH360" i="2"/>
  <c r="AJ360" i="2" l="1"/>
  <c r="AD360" i="2" s="1"/>
  <c r="AE360" i="2"/>
  <c r="AC360" i="2" s="1"/>
  <c r="AB361" i="2" l="1"/>
  <c r="Z361" i="2"/>
  <c r="Y361" i="2"/>
  <c r="AA361" i="2"/>
  <c r="AK361" i="2" l="1"/>
  <c r="AE361" i="2" s="1"/>
  <c r="AM361" i="2"/>
  <c r="AJ361" i="2" s="1"/>
  <c r="AI361" i="2"/>
  <c r="AL361" i="2"/>
  <c r="AG361" i="2" s="1"/>
  <c r="AF361" i="2"/>
  <c r="AC361" i="2" l="1"/>
  <c r="AH361" i="2"/>
  <c r="AD361" i="2" s="1"/>
  <c r="AB362" i="2" l="1"/>
  <c r="Z362" i="2"/>
  <c r="Y362" i="2"/>
  <c r="AA362" i="2"/>
  <c r="AL362" i="2" l="1"/>
  <c r="AG362" i="2" s="1"/>
  <c r="AE362" i="2"/>
  <c r="AK362" i="2"/>
  <c r="AM362" i="2"/>
  <c r="AI362" i="2" s="1"/>
  <c r="AH362" i="2"/>
  <c r="AF362" i="2"/>
  <c r="AC362" i="2" l="1"/>
  <c r="AJ362" i="2"/>
  <c r="AD362" i="2" s="1"/>
  <c r="Z363" i="2" l="1"/>
  <c r="AB363" i="2"/>
  <c r="Y363" i="2"/>
  <c r="AA363" i="2"/>
  <c r="AM363" i="2" l="1"/>
  <c r="AI363" i="2" s="1"/>
  <c r="AK363" i="2"/>
  <c r="AE363" i="2" s="1"/>
  <c r="AL363" i="2"/>
  <c r="AG363" i="2" s="1"/>
  <c r="AC363" i="2" l="1"/>
  <c r="AJ363" i="2"/>
  <c r="AF363" i="2"/>
  <c r="AD363" i="2" s="1"/>
  <c r="AH363" i="2"/>
  <c r="AB364" i="2" l="1"/>
  <c r="Z364" i="2"/>
  <c r="AA364" i="2"/>
  <c r="Y364" i="2"/>
  <c r="AK364" i="2" l="1"/>
  <c r="AF364" i="2" s="1"/>
  <c r="AD364" i="2" s="1"/>
  <c r="AG364" i="2"/>
  <c r="AL364" i="2"/>
  <c r="AM364" i="2"/>
  <c r="AI364" i="2"/>
  <c r="AJ364" i="2"/>
  <c r="AH364" i="2"/>
  <c r="AB365" i="2" l="1"/>
  <c r="Z365" i="2"/>
  <c r="AE364" i="2"/>
  <c r="AC364" i="2" s="1"/>
  <c r="Y365" i="2" l="1"/>
  <c r="AA365" i="2"/>
  <c r="AK365" i="2" l="1"/>
  <c r="AF365" i="2" s="1"/>
  <c r="AL365" i="2"/>
  <c r="AH365" i="2" s="1"/>
  <c r="AM365" i="2"/>
  <c r="AJ365" i="2" s="1"/>
  <c r="AE365" i="2" l="1"/>
  <c r="AD365" i="2"/>
  <c r="AI365" i="2"/>
  <c r="AG365" i="2"/>
  <c r="Z366" i="2" l="1"/>
  <c r="AB366" i="2"/>
  <c r="AC365" i="2"/>
  <c r="AA366" i="2" l="1"/>
  <c r="Y366" i="2"/>
  <c r="AM366" i="2" l="1"/>
  <c r="AJ366" i="2" s="1"/>
  <c r="AK366" i="2"/>
  <c r="AF366" i="2" s="1"/>
  <c r="AD366" i="2" s="1"/>
  <c r="AL366" i="2"/>
  <c r="AH366" i="2" s="1"/>
  <c r="AI366" i="2" l="1"/>
  <c r="AB367" i="2"/>
  <c r="Z367" i="2"/>
  <c r="AG366" i="2"/>
  <c r="AE366" i="2"/>
  <c r="AC366" i="2" l="1"/>
  <c r="Y367" i="2" l="1"/>
  <c r="AA367" i="2"/>
  <c r="AK367" i="2" l="1"/>
  <c r="AF367" i="2" s="1"/>
  <c r="AD367" i="2" s="1"/>
  <c r="AL367" i="2"/>
  <c r="AH367" i="2" s="1"/>
  <c r="AM367" i="2"/>
  <c r="AJ367" i="2" s="1"/>
  <c r="AB368" i="2" l="1"/>
  <c r="Z368" i="2"/>
  <c r="AI367" i="2"/>
  <c r="AG367" i="2"/>
  <c r="AE367" i="2"/>
  <c r="AC367" i="2" l="1"/>
  <c r="AA368" i="2" l="1"/>
  <c r="Y368" i="2"/>
  <c r="AK368" i="2" l="1"/>
  <c r="AF368" i="2" s="1"/>
  <c r="AL368" i="2"/>
  <c r="AH368" i="2" s="1"/>
  <c r="AE368" i="2"/>
  <c r="AM368" i="2"/>
  <c r="AJ368" i="2" s="1"/>
  <c r="AD368" i="2" l="1"/>
  <c r="AI368" i="2"/>
  <c r="AG368" i="2"/>
  <c r="AC368" i="2" s="1"/>
  <c r="Y369" i="2" l="1"/>
  <c r="AA369" i="2"/>
  <c r="Z369" i="2"/>
  <c r="AB369" i="2"/>
  <c r="AL369" i="2" l="1"/>
  <c r="AH369" i="2" s="1"/>
  <c r="AE369" i="2"/>
  <c r="AM369" i="2"/>
  <c r="AI369" i="2" s="1"/>
  <c r="AK369" i="2"/>
  <c r="AF369" i="2" s="1"/>
  <c r="AG369" i="2" l="1"/>
  <c r="AJ369" i="2"/>
  <c r="AD369" i="2" s="1"/>
  <c r="AC369" i="2"/>
  <c r="AB370" i="2" l="1"/>
  <c r="Z370" i="2"/>
  <c r="AA370" i="2"/>
  <c r="Y370" i="2"/>
  <c r="AM370" i="2" l="1"/>
  <c r="AJ370" i="2" s="1"/>
  <c r="AK370" i="2"/>
  <c r="AE370" i="2" s="1"/>
  <c r="AL370" i="2"/>
  <c r="AG370" i="2" s="1"/>
  <c r="AF370" i="2"/>
  <c r="AH370" i="2" l="1"/>
  <c r="AI370" i="2"/>
  <c r="AC370" i="2" s="1"/>
  <c r="AD370" i="2"/>
  <c r="Y371" i="2" l="1"/>
  <c r="AA371" i="2"/>
  <c r="AB371" i="2"/>
  <c r="Z371" i="2"/>
  <c r="AH371" i="2" l="1"/>
  <c r="AG371" i="2"/>
  <c r="AK371" i="2"/>
  <c r="AF371" i="2" s="1"/>
  <c r="AD371" i="2" s="1"/>
  <c r="AL371" i="2"/>
  <c r="AM371" i="2"/>
  <c r="AJ371" i="2" s="1"/>
  <c r="AE371" i="2"/>
  <c r="AB372" i="2" l="1"/>
  <c r="Z372" i="2"/>
  <c r="AI371" i="2"/>
  <c r="AC371" i="2" s="1"/>
  <c r="AA372" i="2" l="1"/>
  <c r="Y372" i="2"/>
  <c r="AK372" i="2" l="1"/>
  <c r="AF372" i="2" s="1"/>
  <c r="AL372" i="2"/>
  <c r="AH372" i="2" s="1"/>
  <c r="AE372" i="2"/>
  <c r="AM372" i="2"/>
  <c r="AJ372" i="2" s="1"/>
  <c r="AD372" i="2" l="1"/>
  <c r="AI372" i="2"/>
  <c r="AG372" i="2"/>
  <c r="AC372" i="2" s="1"/>
  <c r="Y373" i="2" l="1"/>
  <c r="AA373" i="2"/>
  <c r="AB373" i="2"/>
  <c r="Z373" i="2"/>
  <c r="AJ373" i="2" l="1"/>
  <c r="AL373" i="2"/>
  <c r="AG373" i="2" s="1"/>
  <c r="AM373" i="2"/>
  <c r="AI373" i="2" s="1"/>
  <c r="AK373" i="2"/>
  <c r="AF373" i="2" s="1"/>
  <c r="AE373" i="2" l="1"/>
  <c r="AC373" i="2" s="1"/>
  <c r="AH373" i="2"/>
  <c r="AD373" i="2" s="1"/>
  <c r="Z374" i="2" l="1"/>
  <c r="AB374" i="2"/>
  <c r="AA374" i="2"/>
  <c r="Y374" i="2"/>
  <c r="AM374" i="2" l="1"/>
  <c r="AI374" i="2" s="1"/>
  <c r="AK374" i="2"/>
  <c r="AE374" i="2" s="1"/>
  <c r="AL374" i="2"/>
  <c r="AH374" i="2" s="1"/>
  <c r="AF374" i="2" l="1"/>
  <c r="AJ374" i="2"/>
  <c r="AG374" i="2"/>
  <c r="AC374" i="2" s="1"/>
  <c r="Y375" i="2" l="1"/>
  <c r="AA375" i="2"/>
  <c r="AD374" i="2"/>
  <c r="AB375" i="2" l="1"/>
  <c r="Z375" i="2"/>
  <c r="AK375" i="2" s="1"/>
  <c r="AE375" i="2" s="1"/>
  <c r="AL375" i="2"/>
  <c r="AG375" i="2" s="1"/>
  <c r="AM375" i="2"/>
  <c r="AI375" i="2" s="1"/>
  <c r="AC375" i="2" l="1"/>
  <c r="AF375" i="2"/>
  <c r="AJ375" i="2"/>
  <c r="AH375" i="2"/>
  <c r="AD375" i="2" l="1"/>
  <c r="AA376" i="2"/>
  <c r="Y376" i="2"/>
  <c r="AL376" i="2" l="1"/>
  <c r="AG376" i="2" s="1"/>
  <c r="AM376" i="2"/>
  <c r="AI376" i="2" s="1"/>
  <c r="AB376" i="2"/>
  <c r="Z376" i="2"/>
  <c r="AH376" i="2" l="1"/>
  <c r="AF376" i="2"/>
  <c r="AJ376" i="2"/>
  <c r="AK376" i="2"/>
  <c r="AE376" i="2" s="1"/>
  <c r="AC376" i="2" s="1"/>
  <c r="AD376" i="2" l="1"/>
  <c r="AA377" i="2"/>
  <c r="Y377" i="2"/>
  <c r="AM377" i="2" l="1"/>
  <c r="AI377" i="2" s="1"/>
  <c r="AK377" i="2"/>
  <c r="AE377" i="2" s="1"/>
  <c r="Z377" i="2"/>
  <c r="AB377" i="2"/>
  <c r="AF377" i="2" l="1"/>
  <c r="AJ377" i="2"/>
  <c r="AL377" i="2"/>
  <c r="AG377" i="2" s="1"/>
  <c r="AC377" i="2" s="1"/>
  <c r="Y378" i="2" l="1"/>
  <c r="AA378" i="2"/>
  <c r="AH377" i="2"/>
  <c r="AD377" i="2" s="1"/>
  <c r="AB378" i="2" l="1"/>
  <c r="Z378" i="2"/>
  <c r="AM378" i="2"/>
  <c r="AI378" i="2" s="1"/>
  <c r="AL378" i="2"/>
  <c r="AG378" i="2" s="1"/>
  <c r="AJ378" i="2" l="1"/>
  <c r="AH378" i="2"/>
  <c r="AK378" i="2"/>
  <c r="AE378" i="2" s="1"/>
  <c r="AC378" i="2" s="1"/>
  <c r="AA379" i="2" l="1"/>
  <c r="Y379" i="2"/>
  <c r="AF378" i="2"/>
  <c r="AD378" i="2" s="1"/>
  <c r="Z379" i="2" l="1"/>
  <c r="AB379" i="2"/>
  <c r="AK379" i="2"/>
  <c r="AL379" i="2"/>
  <c r="AG379" i="2" s="1"/>
  <c r="AE379" i="2"/>
  <c r="AI379" i="2"/>
  <c r="AM379" i="2"/>
  <c r="AC379" i="2" l="1"/>
  <c r="AF379" i="2"/>
  <c r="AJ379" i="2"/>
  <c r="AH379" i="2"/>
  <c r="AD379" i="2" l="1"/>
  <c r="AA380" i="2"/>
  <c r="Y380" i="2"/>
  <c r="Z380" i="2" l="1"/>
  <c r="AB380" i="2"/>
  <c r="AK380" i="2"/>
  <c r="AE380" i="2" s="1"/>
  <c r="AL380" i="2"/>
  <c r="AG380" i="2" s="1"/>
  <c r="AM380" i="2"/>
  <c r="AI380" i="2" s="1"/>
  <c r="AC380" i="2" l="1"/>
  <c r="AH380" i="2"/>
  <c r="AF380" i="2"/>
  <c r="AJ380" i="2"/>
  <c r="AD380" i="2" l="1"/>
  <c r="Y381" i="2"/>
  <c r="AA381" i="2"/>
  <c r="AM381" i="2" l="1"/>
  <c r="AI381" i="2" s="1"/>
  <c r="AK381" i="2"/>
  <c r="AE381" i="2" s="1"/>
  <c r="Z381" i="2"/>
  <c r="AB381" i="2"/>
  <c r="AF381" i="2" l="1"/>
  <c r="AJ381" i="2"/>
  <c r="AL381" i="2"/>
  <c r="AG381" i="2" s="1"/>
  <c r="AC381" i="2" s="1"/>
  <c r="Y382" i="2" l="1"/>
  <c r="AA382" i="2"/>
  <c r="AH381" i="2"/>
  <c r="AD381" i="2" s="1"/>
  <c r="AB382" i="2" l="1"/>
  <c r="Z382" i="2"/>
  <c r="AE382" i="2"/>
  <c r="AM382" i="2"/>
  <c r="AI382" i="2" s="1"/>
  <c r="AG382" i="2"/>
  <c r="AK382" i="2"/>
  <c r="AL382" i="2"/>
  <c r="AC382" i="2" l="1"/>
  <c r="AF382" i="2"/>
  <c r="AJ382" i="2"/>
  <c r="AH382" i="2"/>
  <c r="AD382" i="2" l="1"/>
  <c r="AA383" i="2"/>
  <c r="Y383" i="2"/>
  <c r="AK383" i="2" l="1"/>
  <c r="AE383" i="2" s="1"/>
  <c r="AM383" i="2"/>
  <c r="AI383" i="2" s="1"/>
  <c r="AB383" i="2"/>
  <c r="Z383" i="2"/>
  <c r="AF383" i="2" l="1"/>
  <c r="AJ383" i="2"/>
  <c r="AL383" i="2"/>
  <c r="AG383" i="2" s="1"/>
  <c r="AC383" i="2" s="1"/>
  <c r="AA384" i="2" l="1"/>
  <c r="Y384" i="2"/>
  <c r="AH383" i="2"/>
  <c r="AD383" i="2" s="1"/>
  <c r="AB384" i="2" l="1"/>
  <c r="Z384" i="2"/>
  <c r="AK384" i="2"/>
  <c r="AE384" i="2" s="1"/>
  <c r="AM384" i="2"/>
  <c r="AI384" i="2" s="1"/>
  <c r="AF384" i="2" l="1"/>
  <c r="AJ384" i="2"/>
  <c r="AL384" i="2"/>
  <c r="AG384" i="2" s="1"/>
  <c r="AC384" i="2" s="1"/>
  <c r="Y385" i="2" l="1"/>
  <c r="AA385" i="2"/>
  <c r="AH384" i="2"/>
  <c r="AD384" i="2" s="1"/>
  <c r="Z385" i="2" l="1"/>
  <c r="AB385" i="2"/>
  <c r="AL385" i="2"/>
  <c r="AG385" i="2" s="1"/>
  <c r="AM385" i="2"/>
  <c r="AI385" i="2" s="1"/>
  <c r="AK385" i="2"/>
  <c r="AE385" i="2" s="1"/>
  <c r="AC385" i="2" l="1"/>
  <c r="AH385" i="2"/>
  <c r="AF385" i="2"/>
  <c r="AD385" i="2" s="1"/>
  <c r="AB386" i="2" s="1"/>
  <c r="AJ385" i="2"/>
  <c r="Z386" i="2" l="1"/>
  <c r="AA386" i="2"/>
  <c r="Y386" i="2"/>
  <c r="AM386" i="2" l="1"/>
  <c r="AI386" i="2" s="1"/>
  <c r="AK386" i="2"/>
  <c r="AF386" i="2" s="1"/>
  <c r="AL386" i="2"/>
  <c r="AG386" i="2" s="1"/>
  <c r="AH386" i="2" l="1"/>
  <c r="AD386" i="2" s="1"/>
  <c r="AJ386" i="2"/>
  <c r="AE386" i="2"/>
  <c r="AC386" i="2" s="1"/>
  <c r="AB387" i="2" l="1"/>
  <c r="Z387" i="2"/>
  <c r="AA387" i="2"/>
  <c r="Y387" i="2"/>
  <c r="AK387" i="2" l="1"/>
  <c r="AL387" i="2"/>
  <c r="AH387" i="2" s="1"/>
  <c r="AM387" i="2"/>
  <c r="AI387" i="2" s="1"/>
  <c r="AE387" i="2"/>
  <c r="AF387" i="2"/>
  <c r="AG387" i="2" l="1"/>
  <c r="AC387" i="2" s="1"/>
  <c r="AJ387" i="2"/>
  <c r="AD387" i="2" s="1"/>
  <c r="AB388" i="2" l="1"/>
  <c r="Z388" i="2"/>
  <c r="Y388" i="2"/>
  <c r="AA388" i="2"/>
  <c r="AJ388" i="2" l="1"/>
  <c r="AK388" i="2"/>
  <c r="AF388" i="2" s="1"/>
  <c r="AL388" i="2"/>
  <c r="AG388" i="2" s="1"/>
  <c r="AM388" i="2"/>
  <c r="AI388" i="2" s="1"/>
  <c r="AH388" i="2" l="1"/>
  <c r="AD388" i="2" s="1"/>
  <c r="AE388" i="2"/>
  <c r="AC388" i="2" s="1"/>
  <c r="AB389" i="2" l="1"/>
  <c r="Z389" i="2"/>
  <c r="AA389" i="2"/>
  <c r="Y389" i="2"/>
  <c r="AL389" i="2" l="1"/>
  <c r="AH389" i="2" s="1"/>
  <c r="AM389" i="2"/>
  <c r="AJ389" i="2" s="1"/>
  <c r="AK389" i="2"/>
  <c r="AF389" i="2" s="1"/>
  <c r="AD389" i="2" s="1"/>
  <c r="AG389" i="2"/>
  <c r="AB390" i="2" l="1"/>
  <c r="Z390" i="2"/>
  <c r="AI389" i="2"/>
  <c r="AE389" i="2"/>
  <c r="AC389" i="2" l="1"/>
  <c r="Y390" i="2" l="1"/>
  <c r="AA390" i="2"/>
  <c r="AM390" i="2" l="1"/>
  <c r="AJ390" i="2" s="1"/>
  <c r="AK390" i="2"/>
  <c r="AF390" i="2" s="1"/>
  <c r="AL390" i="2"/>
  <c r="AH390" i="2" s="1"/>
  <c r="AG390" i="2" l="1"/>
  <c r="AD390" i="2"/>
  <c r="AI390" i="2"/>
  <c r="AE390" i="2"/>
  <c r="AC390" i="2" s="1"/>
  <c r="AA391" i="2" l="1"/>
  <c r="Y391" i="2"/>
  <c r="AB391" i="2"/>
  <c r="Z391" i="2"/>
  <c r="AK391" i="2" l="1"/>
  <c r="AE391" i="2" s="1"/>
  <c r="AL391" i="2"/>
  <c r="AG391" i="2" s="1"/>
  <c r="AM391" i="2"/>
  <c r="AI391" i="2" s="1"/>
  <c r="AF391" i="2"/>
  <c r="AJ391" i="2"/>
  <c r="AC391" i="2" l="1"/>
  <c r="AH391" i="2"/>
  <c r="AD391" i="2" s="1"/>
  <c r="Z392" i="2" l="1"/>
  <c r="AB392" i="2"/>
  <c r="Y392" i="2"/>
  <c r="AA392" i="2"/>
  <c r="AG392" i="2" l="1"/>
  <c r="AK392" i="2"/>
  <c r="AE392" i="2" s="1"/>
  <c r="AL392" i="2"/>
  <c r="AM392" i="2"/>
  <c r="AJ392" i="2" s="1"/>
  <c r="AH392" i="2"/>
  <c r="AF392" i="2"/>
  <c r="AD392" i="2" l="1"/>
  <c r="AI392" i="2"/>
  <c r="AC392" i="2" s="1"/>
  <c r="Y393" i="2" l="1"/>
  <c r="AA393" i="2"/>
  <c r="AB393" i="2"/>
  <c r="Z393" i="2"/>
  <c r="AJ393" i="2" l="1"/>
  <c r="AL393" i="2"/>
  <c r="AH393" i="2" s="1"/>
  <c r="AE393" i="2"/>
  <c r="AM393" i="2"/>
  <c r="AI393" i="2" s="1"/>
  <c r="AG393" i="2"/>
  <c r="AK393" i="2"/>
  <c r="AF393" i="2" s="1"/>
  <c r="AD393" i="2" s="1"/>
  <c r="AB394" i="2" l="1"/>
  <c r="Z394" i="2"/>
  <c r="AC393" i="2"/>
  <c r="Y394" i="2" l="1"/>
  <c r="AA394" i="2"/>
  <c r="AM394" i="2" l="1"/>
  <c r="AJ394" i="2" s="1"/>
  <c r="AK394" i="2"/>
  <c r="AF394" i="2" s="1"/>
  <c r="AL394" i="2"/>
  <c r="AH394" i="2" s="1"/>
  <c r="AG394" i="2" l="1"/>
  <c r="AD394" i="2"/>
  <c r="AI394" i="2"/>
  <c r="AE394" i="2"/>
  <c r="AC394" i="2" s="1"/>
  <c r="AA395" i="2" l="1"/>
  <c r="Y395" i="2"/>
  <c r="Z395" i="2"/>
  <c r="AB395" i="2"/>
  <c r="AK395" i="2" l="1"/>
  <c r="AF395" i="2" s="1"/>
  <c r="AL395" i="2"/>
  <c r="AG395" i="2" s="1"/>
  <c r="AM395" i="2"/>
  <c r="AJ395" i="2" s="1"/>
  <c r="AH395" i="2" l="1"/>
  <c r="AD395" i="2" s="1"/>
  <c r="AI395" i="2"/>
  <c r="AE395" i="2"/>
  <c r="AC395" i="2" s="1"/>
  <c r="Z396" i="2" l="1"/>
  <c r="AB396" i="2"/>
  <c r="Y396" i="2"/>
  <c r="AA396" i="2"/>
  <c r="AG396" i="2" l="1"/>
  <c r="AK396" i="2"/>
  <c r="AF396" i="2" s="1"/>
  <c r="AL396" i="2"/>
  <c r="AM396" i="2"/>
  <c r="AJ396" i="2" s="1"/>
  <c r="AH396" i="2"/>
  <c r="AD396" i="2" l="1"/>
  <c r="AI396" i="2"/>
  <c r="AE396" i="2"/>
  <c r="AC396" i="2" s="1"/>
  <c r="AA397" i="2" l="1"/>
  <c r="Y397" i="2"/>
  <c r="AB397" i="2"/>
  <c r="Z397" i="2"/>
  <c r="AL397" i="2" l="1"/>
  <c r="AM397" i="2"/>
  <c r="AI397" i="2" s="1"/>
  <c r="AG397" i="2"/>
  <c r="AK397" i="2"/>
  <c r="AF397" i="2" s="1"/>
  <c r="AH397" i="2"/>
  <c r="AJ397" i="2" l="1"/>
  <c r="AD397" i="2" s="1"/>
  <c r="AE397" i="2"/>
  <c r="AC397" i="2" s="1"/>
  <c r="Z398" i="2" l="1"/>
  <c r="AB398" i="2"/>
  <c r="Y398" i="2"/>
  <c r="AA398" i="2"/>
  <c r="AM398" i="2" l="1"/>
  <c r="AI398" i="2" s="1"/>
  <c r="AK398" i="2"/>
  <c r="AE398" i="2" s="1"/>
  <c r="AL398" i="2"/>
  <c r="AH398" i="2" s="1"/>
  <c r="AJ398" i="2" l="1"/>
  <c r="AF398" i="2"/>
  <c r="AD398" i="2" s="1"/>
  <c r="AG398" i="2"/>
  <c r="AC398" i="2" s="1"/>
  <c r="AA399" i="2" l="1"/>
  <c r="Y399" i="2"/>
  <c r="AB399" i="2"/>
  <c r="Z399" i="2"/>
  <c r="AK399" i="2" l="1"/>
  <c r="AF399" i="2" s="1"/>
  <c r="AL399" i="2"/>
  <c r="AG399" i="2" s="1"/>
  <c r="AM399" i="2"/>
  <c r="AJ399" i="2" s="1"/>
  <c r="AH399" i="2"/>
  <c r="AD399" i="2" l="1"/>
  <c r="AI399" i="2"/>
  <c r="AE399" i="2"/>
  <c r="AC399" i="2" s="1"/>
  <c r="AA400" i="2" l="1"/>
  <c r="Y400" i="2"/>
  <c r="AB400" i="2"/>
  <c r="Z400" i="2"/>
  <c r="AF400" i="2" l="1"/>
  <c r="AK400" i="2"/>
  <c r="AE400" i="2" s="1"/>
  <c r="AL400" i="2"/>
  <c r="AG400" i="2" s="1"/>
  <c r="AM400" i="2"/>
  <c r="AJ400" i="2" s="1"/>
  <c r="AH400" i="2" l="1"/>
  <c r="AD400" i="2" s="1"/>
  <c r="AI400" i="2"/>
  <c r="AC400" i="2" s="1"/>
  <c r="AA401" i="2" l="1"/>
  <c r="Y401" i="2"/>
  <c r="AB401" i="2"/>
  <c r="Z401" i="2"/>
  <c r="AL401" i="2" l="1"/>
  <c r="AH401" i="2" s="1"/>
  <c r="AM401" i="2"/>
  <c r="AJ401" i="2" s="1"/>
  <c r="AK401" i="2"/>
  <c r="AF401" i="2" s="1"/>
  <c r="AD401" i="2" l="1"/>
  <c r="AI401" i="2"/>
  <c r="AG401" i="2"/>
  <c r="AE401" i="2"/>
  <c r="AC401" i="2" s="1"/>
  <c r="Y402" i="2" l="1"/>
  <c r="AA402" i="2"/>
  <c r="AB402" i="2"/>
  <c r="Z402" i="2"/>
  <c r="AJ402" i="2" l="1"/>
  <c r="AH402" i="2"/>
  <c r="AI402" i="2"/>
  <c r="AM402" i="2"/>
  <c r="AG402" i="2"/>
  <c r="AK402" i="2"/>
  <c r="AF402" i="2" s="1"/>
  <c r="AD402" i="2" s="1"/>
  <c r="AL402" i="2"/>
  <c r="AB403" i="2" l="1"/>
  <c r="Z403" i="2"/>
  <c r="AE402" i="2"/>
  <c r="AC402" i="2" s="1"/>
  <c r="AA403" i="2" l="1"/>
  <c r="Y403" i="2"/>
  <c r="AK403" i="2" l="1"/>
  <c r="AF403" i="2" s="1"/>
  <c r="AL403" i="2"/>
  <c r="AH403" i="2" s="1"/>
  <c r="AM403" i="2"/>
  <c r="AJ403" i="2" s="1"/>
  <c r="AE403" i="2"/>
  <c r="AD403" i="2" l="1"/>
  <c r="AG403" i="2"/>
  <c r="AC403" i="2" s="1"/>
  <c r="AI403" i="2"/>
  <c r="Y404" i="2" l="1"/>
  <c r="AA404" i="2"/>
  <c r="Z404" i="2"/>
  <c r="AB404" i="2"/>
  <c r="AH404" i="2" l="1"/>
  <c r="AG404" i="2"/>
  <c r="AK404" i="2"/>
  <c r="AF404" i="2" s="1"/>
  <c r="AL404" i="2"/>
  <c r="AM404" i="2"/>
  <c r="AI404" i="2" s="1"/>
  <c r="AJ404" i="2" l="1"/>
  <c r="AD404" i="2" s="1"/>
  <c r="AE404" i="2"/>
  <c r="AC404" i="2" s="1"/>
  <c r="AB405" i="2" l="1"/>
  <c r="Z405" i="2"/>
  <c r="Y405" i="2"/>
  <c r="AA405" i="2"/>
  <c r="AJ405" i="2" l="1"/>
  <c r="AL405" i="2"/>
  <c r="AH405" i="2" s="1"/>
  <c r="AI405" i="2"/>
  <c r="AM405" i="2"/>
  <c r="AK405" i="2"/>
  <c r="AF405" i="2" s="1"/>
  <c r="AD405" i="2" s="1"/>
  <c r="AG405" i="2"/>
  <c r="Z406" i="2" l="1"/>
  <c r="AB406" i="2"/>
  <c r="AE405" i="2"/>
  <c r="AC405" i="2" s="1"/>
  <c r="AA406" i="2" l="1"/>
  <c r="Y406" i="2"/>
  <c r="AM406" i="2" l="1"/>
  <c r="AJ406" i="2" s="1"/>
  <c r="AK406" i="2"/>
  <c r="AF406" i="2" s="1"/>
  <c r="AL406" i="2"/>
  <c r="AH406" i="2" s="1"/>
  <c r="AD406" i="2" l="1"/>
  <c r="AI406" i="2"/>
  <c r="AG406" i="2"/>
  <c r="AE406" i="2"/>
  <c r="AC406" i="2" s="1"/>
  <c r="Y407" i="2" l="1"/>
  <c r="AA407" i="2"/>
  <c r="AB407" i="2"/>
  <c r="Z407" i="2"/>
  <c r="AH407" i="2" l="1"/>
  <c r="AG407" i="2"/>
  <c r="AK407" i="2"/>
  <c r="AF407" i="2" s="1"/>
  <c r="AL407" i="2"/>
  <c r="AM407" i="2"/>
  <c r="AI407" i="2" s="1"/>
  <c r="AE407" i="2"/>
  <c r="AJ407" i="2" l="1"/>
  <c r="AD407" i="2" s="1"/>
  <c r="AC407" i="2"/>
  <c r="AB408" i="2" l="1"/>
  <c r="Z408" i="2"/>
  <c r="AA408" i="2"/>
  <c r="Y408" i="2"/>
  <c r="AK408" i="2" l="1"/>
  <c r="AL408" i="2"/>
  <c r="AG408" i="2" s="1"/>
  <c r="AE408" i="2"/>
  <c r="AM408" i="2"/>
  <c r="AI408" i="2" s="1"/>
  <c r="AF408" i="2"/>
  <c r="AJ408" i="2"/>
  <c r="AC408" i="2" l="1"/>
  <c r="AH408" i="2"/>
  <c r="AD408" i="2" s="1"/>
  <c r="AB409" i="2" l="1"/>
  <c r="Z409" i="2"/>
  <c r="AA409" i="2"/>
  <c r="Y409" i="2"/>
  <c r="AL409" i="2" l="1"/>
  <c r="AM409" i="2"/>
  <c r="AJ409" i="2" s="1"/>
  <c r="AG409" i="2"/>
  <c r="AK409" i="2"/>
  <c r="AF409" i="2" s="1"/>
  <c r="AD409" i="2" s="1"/>
  <c r="AH409" i="2"/>
  <c r="AB410" i="2" l="1"/>
  <c r="Z410" i="2"/>
  <c r="AI409" i="2"/>
  <c r="AE409" i="2"/>
  <c r="AC409" i="2" s="1"/>
  <c r="Y410" i="2" l="1"/>
  <c r="AA410" i="2"/>
  <c r="AM410" i="2" l="1"/>
  <c r="AJ410" i="2" s="1"/>
  <c r="AK410" i="2"/>
  <c r="AF410" i="2" s="1"/>
  <c r="AL410" i="2"/>
  <c r="AH410" i="2" s="1"/>
  <c r="AD410" i="2" l="1"/>
  <c r="AE410" i="2"/>
  <c r="AI410" i="2"/>
  <c r="AG410" i="2"/>
  <c r="AC410" i="2" l="1"/>
  <c r="AB411" i="2"/>
  <c r="Z411" i="2"/>
  <c r="AA411" i="2" l="1"/>
  <c r="Y411" i="2"/>
  <c r="AK411" i="2" l="1"/>
  <c r="AF411" i="2" s="1"/>
  <c r="AL411" i="2"/>
  <c r="AH411" i="2" s="1"/>
  <c r="AM411" i="2"/>
  <c r="AJ411" i="2" s="1"/>
  <c r="AD411" i="2" l="1"/>
  <c r="AI411" i="2"/>
  <c r="AG411" i="2"/>
  <c r="AE411" i="2"/>
  <c r="AC411" i="2" s="1"/>
  <c r="Y412" i="2" l="1"/>
  <c r="AA412" i="2"/>
  <c r="AB412" i="2"/>
  <c r="Z412" i="2"/>
  <c r="AK412" i="2" l="1"/>
  <c r="AE412" i="2" s="1"/>
  <c r="AL412" i="2"/>
  <c r="AH412" i="2" s="1"/>
  <c r="AM412" i="2"/>
  <c r="AI412" i="2" s="1"/>
  <c r="AJ412" i="2" l="1"/>
  <c r="AG412" i="2"/>
  <c r="AC412" i="2" s="1"/>
  <c r="AF412" i="2"/>
  <c r="AD412" i="2" s="1"/>
  <c r="Y413" i="2" l="1"/>
  <c r="AA413" i="2"/>
  <c r="Z413" i="2"/>
  <c r="AB413" i="2"/>
  <c r="AF413" i="2" l="1"/>
  <c r="AL413" i="2"/>
  <c r="AH413" i="2" s="1"/>
  <c r="AE413" i="2"/>
  <c r="AM413" i="2"/>
  <c r="AJ413" i="2" s="1"/>
  <c r="AG413" i="2"/>
  <c r="AK413" i="2"/>
  <c r="AD413" i="2" l="1"/>
  <c r="AI413" i="2"/>
  <c r="AC413" i="2" s="1"/>
  <c r="AA414" i="2" l="1"/>
  <c r="Y414" i="2"/>
  <c r="AB414" i="2"/>
  <c r="Z414" i="2"/>
  <c r="AH414" i="2" l="1"/>
  <c r="AM414" i="2"/>
  <c r="AJ414" i="2" s="1"/>
  <c r="AK414" i="2"/>
  <c r="AF414" i="2" s="1"/>
  <c r="AD414" i="2" s="1"/>
  <c r="AL414" i="2"/>
  <c r="AG414" i="2" s="1"/>
  <c r="AB415" i="2" l="1"/>
  <c r="Z415" i="2"/>
  <c r="AI414" i="2"/>
  <c r="AE414" i="2"/>
  <c r="AC414" i="2" s="1"/>
  <c r="AA415" i="2" l="1"/>
  <c r="Y415" i="2"/>
  <c r="AK415" i="2" l="1"/>
  <c r="AF415" i="2" s="1"/>
  <c r="AD415" i="2" s="1"/>
  <c r="AL415" i="2"/>
  <c r="AH415" i="2" s="1"/>
  <c r="AM415" i="2"/>
  <c r="AJ415" i="2" s="1"/>
  <c r="AG415" i="2" l="1"/>
  <c r="Z416" i="2"/>
  <c r="AB416" i="2"/>
  <c r="AI415" i="2"/>
  <c r="AE415" i="2"/>
  <c r="AC415" i="2" l="1"/>
  <c r="Y416" i="2" l="1"/>
  <c r="AA416" i="2"/>
  <c r="AK416" i="2" l="1"/>
  <c r="AF416" i="2" s="1"/>
  <c r="AL416" i="2"/>
  <c r="AH416" i="2" s="1"/>
  <c r="AM416" i="2"/>
  <c r="AJ416" i="2" s="1"/>
  <c r="AD416" i="2" l="1"/>
  <c r="AI416" i="2"/>
  <c r="AG416" i="2"/>
  <c r="AE416" i="2"/>
  <c r="AC416" i="2" l="1"/>
  <c r="AB417" i="2"/>
  <c r="Z417" i="2"/>
  <c r="AA417" i="2" l="1"/>
  <c r="Y417" i="2"/>
  <c r="AL417" i="2" l="1"/>
  <c r="AH417" i="2" s="1"/>
  <c r="AM417" i="2"/>
  <c r="AJ417" i="2" s="1"/>
  <c r="AK417" i="2"/>
  <c r="AF417" i="2" s="1"/>
  <c r="AD417" i="2" l="1"/>
  <c r="AI417" i="2"/>
  <c r="AG417" i="2"/>
  <c r="AE417" i="2"/>
  <c r="AC417" i="2" s="1"/>
  <c r="Y418" i="2" l="1"/>
  <c r="AA418" i="2"/>
  <c r="AB418" i="2"/>
  <c r="Z418" i="2"/>
  <c r="AM418" i="2" l="1"/>
  <c r="AI418" i="2" s="1"/>
  <c r="AK418" i="2"/>
  <c r="AF418" i="2" s="1"/>
  <c r="AL418" i="2"/>
  <c r="AH418" i="2" s="1"/>
  <c r="AJ418" i="2" l="1"/>
  <c r="AD418" i="2" s="1"/>
  <c r="AG418" i="2"/>
  <c r="AE418" i="2"/>
  <c r="AC418" i="2" s="1"/>
  <c r="AB419" i="2" l="1"/>
  <c r="Z419" i="2"/>
  <c r="AA419" i="2"/>
  <c r="Y419" i="2"/>
  <c r="AK419" i="2" l="1"/>
  <c r="AE419" i="2" s="1"/>
  <c r="AL419" i="2"/>
  <c r="AG419" i="2" s="1"/>
  <c r="AM419" i="2"/>
  <c r="AI419" i="2" s="1"/>
  <c r="AF419" i="2"/>
  <c r="AC419" i="2" l="1"/>
  <c r="AH419" i="2"/>
  <c r="AD419" i="2" s="1"/>
  <c r="AJ419" i="2"/>
  <c r="AB420" i="2" l="1"/>
  <c r="Z420" i="2"/>
  <c r="Y420" i="2"/>
  <c r="AA420" i="2"/>
  <c r="AK420" i="2" l="1"/>
  <c r="AE420" i="2" s="1"/>
  <c r="AL420" i="2"/>
  <c r="AG420" i="2" s="1"/>
  <c r="AM420" i="2"/>
  <c r="AI420" i="2" s="1"/>
  <c r="AF420" i="2"/>
  <c r="AC420" i="2" l="1"/>
  <c r="AH420" i="2"/>
  <c r="AJ420" i="2"/>
  <c r="AD420" i="2" s="1"/>
  <c r="Z421" i="2" l="1"/>
  <c r="AB421" i="2"/>
  <c r="AA421" i="2"/>
  <c r="Y421" i="2"/>
  <c r="AL421" i="2" l="1"/>
  <c r="AG421" i="2" s="1"/>
  <c r="AM421" i="2"/>
  <c r="AI421" i="2" s="1"/>
  <c r="AK421" i="2"/>
  <c r="AF421" i="2" s="1"/>
  <c r="AJ421" i="2" l="1"/>
  <c r="AE421" i="2"/>
  <c r="AC421" i="2" s="1"/>
  <c r="AH421" i="2"/>
  <c r="AD421" i="2" s="1"/>
  <c r="Z422" i="2" l="1"/>
  <c r="AB422" i="2"/>
  <c r="AA422" i="2"/>
  <c r="Y422" i="2"/>
  <c r="AM422" i="2" l="1"/>
  <c r="AI422" i="2" s="1"/>
  <c r="AK422" i="2"/>
  <c r="AE422" i="2" s="1"/>
  <c r="AC422" i="2" s="1"/>
  <c r="AL422" i="2"/>
  <c r="AG422" i="2" s="1"/>
  <c r="AJ422" i="2"/>
  <c r="Y423" i="2" l="1"/>
  <c r="AA423" i="2"/>
  <c r="AF422" i="2"/>
  <c r="AH422" i="2"/>
  <c r="AD422" i="2" l="1"/>
  <c r="AB423" i="2" l="1"/>
  <c r="Z423" i="2"/>
  <c r="AH423" i="2" l="1"/>
  <c r="AK423" i="2"/>
  <c r="AE423" i="2" s="1"/>
  <c r="AL423" i="2"/>
  <c r="AG423" i="2" s="1"/>
  <c r="AM423" i="2"/>
  <c r="AI423" i="2" s="1"/>
  <c r="AJ423" i="2" l="1"/>
  <c r="AC423" i="2"/>
  <c r="AF423" i="2"/>
  <c r="AD423" i="2" s="1"/>
  <c r="AA424" i="2" l="1"/>
  <c r="Y424" i="2"/>
  <c r="Z424" i="2"/>
  <c r="AB424" i="2"/>
  <c r="AJ424" i="2" l="1"/>
  <c r="AK424" i="2"/>
  <c r="AE424" i="2" s="1"/>
  <c r="AL424" i="2"/>
  <c r="AH424" i="2" s="1"/>
  <c r="AM424" i="2"/>
  <c r="AI424" i="2" s="1"/>
  <c r="AF424" i="2" l="1"/>
  <c r="AD424" i="2" s="1"/>
  <c r="AG424" i="2"/>
  <c r="AC424" i="2" s="1"/>
  <c r="AA425" i="2" l="1"/>
  <c r="Y425" i="2"/>
  <c r="Z425" i="2"/>
  <c r="AB425" i="2"/>
  <c r="AL425" i="2" l="1"/>
  <c r="AH425" i="2" s="1"/>
  <c r="AM425" i="2"/>
  <c r="AJ425" i="2" s="1"/>
  <c r="AK425" i="2"/>
  <c r="AF425" i="2" s="1"/>
  <c r="AD425" i="2" l="1"/>
  <c r="AI425" i="2"/>
  <c r="AG425" i="2"/>
  <c r="AE425" i="2"/>
  <c r="AC425" i="2" s="1"/>
  <c r="Y426" i="2" l="1"/>
  <c r="AA426" i="2"/>
  <c r="Z426" i="2"/>
  <c r="AB426" i="2"/>
  <c r="AJ426" i="2" l="1"/>
  <c r="AM426" i="2"/>
  <c r="AI426" i="2" s="1"/>
  <c r="AK426" i="2"/>
  <c r="AF426" i="2" s="1"/>
  <c r="AL426" i="2"/>
  <c r="AG426" i="2" s="1"/>
  <c r="AD426" i="2" l="1"/>
  <c r="AH426" i="2"/>
  <c r="AE426" i="2"/>
  <c r="AC426" i="2" s="1"/>
  <c r="AB427" i="2" l="1"/>
  <c r="Z427" i="2"/>
  <c r="AA427" i="2"/>
  <c r="Y427" i="2"/>
  <c r="AG427" i="2" l="1"/>
  <c r="AK427" i="2"/>
  <c r="AF427" i="2" s="1"/>
  <c r="AL427" i="2"/>
  <c r="AH427" i="2" s="1"/>
  <c r="AM427" i="2"/>
  <c r="AI427" i="2" s="1"/>
  <c r="AJ427" i="2" l="1"/>
  <c r="AD427" i="2" s="1"/>
  <c r="AE427" i="2"/>
  <c r="AC427" i="2" s="1"/>
  <c r="AB428" i="2" l="1"/>
  <c r="Z428" i="2"/>
  <c r="AA428" i="2"/>
  <c r="Y428" i="2"/>
  <c r="AF428" i="2" l="1"/>
  <c r="AJ428" i="2"/>
  <c r="AK428" i="2"/>
  <c r="AL428" i="2"/>
  <c r="AG428" i="2" s="1"/>
  <c r="AE428" i="2"/>
  <c r="AM428" i="2"/>
  <c r="AI428" i="2" s="1"/>
  <c r="AC428" i="2" l="1"/>
  <c r="AH428" i="2"/>
  <c r="AD428" i="2" s="1"/>
  <c r="Z429" i="2" l="1"/>
  <c r="AB429" i="2"/>
  <c r="Y429" i="2"/>
  <c r="AA429" i="2"/>
  <c r="AL429" i="2" l="1"/>
  <c r="AH429" i="2" s="1"/>
  <c r="AE429" i="2"/>
  <c r="AM429" i="2"/>
  <c r="AI429" i="2" s="1"/>
  <c r="AG429" i="2"/>
  <c r="AK429" i="2"/>
  <c r="AF429" i="2"/>
  <c r="AJ429" i="2"/>
  <c r="AD429" i="2" l="1"/>
  <c r="AC429" i="2"/>
  <c r="AA430" i="2" l="1"/>
  <c r="Y430" i="2"/>
  <c r="Z430" i="2"/>
  <c r="AB430" i="2"/>
  <c r="AM430" i="2" l="1"/>
  <c r="AJ430" i="2" s="1"/>
  <c r="AK430" i="2"/>
  <c r="AF430" i="2" s="1"/>
  <c r="AL430" i="2"/>
  <c r="AG430" i="2" s="1"/>
  <c r="AH430" i="2" l="1"/>
  <c r="AD430" i="2" s="1"/>
  <c r="AI430" i="2"/>
  <c r="AE430" i="2"/>
  <c r="AC430" i="2" s="1"/>
  <c r="AB431" i="2" l="1"/>
  <c r="Z431" i="2"/>
  <c r="Y431" i="2"/>
  <c r="AA431" i="2"/>
  <c r="AK431" i="2" l="1"/>
  <c r="AE431" i="2" s="1"/>
  <c r="AL431" i="2"/>
  <c r="AH431" i="2" s="1"/>
  <c r="AM431" i="2"/>
  <c r="AJ431" i="2" s="1"/>
  <c r="AF431" i="2"/>
  <c r="AD431" i="2" l="1"/>
  <c r="AI431" i="2"/>
  <c r="AG431" i="2"/>
  <c r="AC431" i="2" s="1"/>
  <c r="Y432" i="2" l="1"/>
  <c r="AA432" i="2"/>
  <c r="AB432" i="2"/>
  <c r="Z432" i="2"/>
  <c r="AK432" i="2" l="1"/>
  <c r="AE432" i="2" s="1"/>
  <c r="AL432" i="2"/>
  <c r="AH432" i="2" s="1"/>
  <c r="AM432" i="2"/>
  <c r="AJ432" i="2" s="1"/>
  <c r="AF432" i="2" l="1"/>
  <c r="AD432" i="2" s="1"/>
  <c r="AI432" i="2"/>
  <c r="AG432" i="2"/>
  <c r="AC432" i="2" s="1"/>
  <c r="AA433" i="2" l="1"/>
  <c r="Y433" i="2"/>
  <c r="AB433" i="2"/>
  <c r="Z433" i="2"/>
  <c r="AL433" i="2" l="1"/>
  <c r="AG433" i="2" s="1"/>
  <c r="AI433" i="2"/>
  <c r="AM433" i="2"/>
  <c r="AK433" i="2"/>
  <c r="AF433" i="2" s="1"/>
  <c r="AD433" i="2" s="1"/>
  <c r="AH433" i="2"/>
  <c r="AJ433" i="2"/>
  <c r="AB434" i="2" l="1"/>
  <c r="Z434" i="2"/>
  <c r="AE433" i="2"/>
  <c r="AC433" i="2" s="1"/>
  <c r="AA434" i="2" l="1"/>
  <c r="Y434" i="2"/>
  <c r="AM434" i="2" l="1"/>
  <c r="AJ434" i="2" s="1"/>
  <c r="AK434" i="2"/>
  <c r="AF434" i="2" s="1"/>
  <c r="AL434" i="2"/>
  <c r="AH434" i="2" s="1"/>
  <c r="AI434" i="2" l="1"/>
  <c r="AD434" i="2"/>
  <c r="AG434" i="2"/>
  <c r="AE434" i="2"/>
  <c r="AC434" i="2" s="1"/>
  <c r="Z435" i="2" l="1"/>
  <c r="AB435" i="2"/>
  <c r="AA435" i="2"/>
  <c r="Y435" i="2"/>
  <c r="AG435" i="2" l="1"/>
  <c r="AK435" i="2"/>
  <c r="AL435" i="2"/>
  <c r="AM435" i="2"/>
  <c r="AI435" i="2" s="1"/>
  <c r="AE435" i="2"/>
  <c r="AF435" i="2"/>
  <c r="AH435" i="2"/>
  <c r="AJ435" i="2" l="1"/>
  <c r="AD435" i="2" s="1"/>
  <c r="AC435" i="2"/>
  <c r="Z436" i="2" l="1"/>
  <c r="AB436" i="2"/>
  <c r="AA436" i="2"/>
  <c r="Y436" i="2"/>
  <c r="AK436" i="2" l="1"/>
  <c r="AF436" i="2" s="1"/>
  <c r="AL436" i="2"/>
  <c r="AG436" i="2" s="1"/>
  <c r="AM436" i="2"/>
  <c r="AJ436" i="2" s="1"/>
  <c r="AH436" i="2" l="1"/>
  <c r="AD436" i="2" s="1"/>
  <c r="AI436" i="2"/>
  <c r="AE436" i="2"/>
  <c r="AC436" i="2" s="1"/>
  <c r="AB437" i="2" l="1"/>
  <c r="Z437" i="2"/>
  <c r="AA437" i="2"/>
  <c r="Y437" i="2"/>
  <c r="AL437" i="2" l="1"/>
  <c r="AM437" i="2"/>
  <c r="AJ437" i="2" s="1"/>
  <c r="AK437" i="2"/>
  <c r="AE437" i="2" s="1"/>
  <c r="AG437" i="2"/>
  <c r="AH437" i="2"/>
  <c r="AF437" i="2"/>
  <c r="AI437" i="2" l="1"/>
  <c r="AC437" i="2" s="1"/>
  <c r="AD437" i="2"/>
  <c r="Y438" i="2" l="1"/>
  <c r="AA438" i="2"/>
  <c r="AB438" i="2"/>
  <c r="Z438" i="2"/>
  <c r="AH438" i="2" l="1"/>
  <c r="AI438" i="2"/>
  <c r="AM438" i="2"/>
  <c r="AJ438" i="2" s="1"/>
  <c r="AG438" i="2"/>
  <c r="AK438" i="2"/>
  <c r="AF438" i="2" s="1"/>
  <c r="AL438" i="2"/>
  <c r="AD438" i="2" l="1"/>
  <c r="AE438" i="2"/>
  <c r="AC438" i="2" s="1"/>
  <c r="AA439" i="2" l="1"/>
  <c r="Y439" i="2"/>
  <c r="AB439" i="2"/>
  <c r="Z439" i="2"/>
  <c r="AK439" i="2" l="1"/>
  <c r="AE439" i="2" s="1"/>
  <c r="AL439" i="2"/>
  <c r="AG439" i="2" s="1"/>
  <c r="AM439" i="2"/>
  <c r="AI439" i="2" s="1"/>
  <c r="AF439" i="2"/>
  <c r="AJ439" i="2"/>
  <c r="AH439" i="2"/>
  <c r="AC439" i="2" l="1"/>
  <c r="AD439" i="2"/>
  <c r="AB440" i="2" l="1"/>
  <c r="Z440" i="2"/>
  <c r="AA440" i="2"/>
  <c r="Y440" i="2"/>
  <c r="AK440" i="2" l="1"/>
  <c r="AE440" i="2" s="1"/>
  <c r="AL440" i="2"/>
  <c r="AG440" i="2" s="1"/>
  <c r="AM440" i="2"/>
  <c r="AJ440" i="2" s="1"/>
  <c r="AF440" i="2" l="1"/>
  <c r="AH440" i="2"/>
  <c r="AI440" i="2"/>
  <c r="AC440" i="2" s="1"/>
  <c r="AA441" i="2" l="1"/>
  <c r="Y441" i="2"/>
  <c r="AD440" i="2"/>
  <c r="AB441" i="2" l="1"/>
  <c r="Z441" i="2"/>
  <c r="AK441" i="2" s="1"/>
  <c r="AE441" i="2" s="1"/>
  <c r="AM441" i="2" l="1"/>
  <c r="AI441" i="2" s="1"/>
  <c r="AF441" i="2"/>
  <c r="AL441" i="2"/>
  <c r="AG441" i="2" s="1"/>
  <c r="AC441" i="2" s="1"/>
  <c r="Y442" i="2" l="1"/>
  <c r="AA442" i="2"/>
  <c r="AJ441" i="2"/>
  <c r="AH441" i="2"/>
  <c r="AD441" i="2" s="1"/>
  <c r="Z442" i="2" l="1"/>
  <c r="AB442" i="2"/>
  <c r="AE442" i="2"/>
  <c r="AM442" i="2"/>
  <c r="AI442" i="2" s="1"/>
  <c r="AG442" i="2"/>
  <c r="AK442" i="2"/>
  <c r="AL442" i="2"/>
  <c r="AC442" i="2" l="1"/>
  <c r="AF442" i="2"/>
  <c r="AJ442" i="2"/>
  <c r="AH442" i="2"/>
  <c r="AD442" i="2" l="1"/>
  <c r="Y443" i="2"/>
  <c r="AA443" i="2"/>
  <c r="AK443" i="2" l="1"/>
  <c r="AE443" i="2" s="1"/>
  <c r="AC443" i="2" s="1"/>
  <c r="AL443" i="2"/>
  <c r="AG443" i="2" s="1"/>
  <c r="AM443" i="2"/>
  <c r="AI443" i="2" s="1"/>
  <c r="Z443" i="2"/>
  <c r="AB443" i="2"/>
  <c r="Y444" i="2" l="1"/>
  <c r="AA444" i="2"/>
  <c r="AF443" i="2"/>
  <c r="AD443" i="2" s="1"/>
  <c r="Z444" i="2" s="1"/>
  <c r="AJ443" i="2"/>
  <c r="AH443" i="2"/>
  <c r="AB444" i="2" l="1"/>
  <c r="AK444" i="2"/>
  <c r="AE444" i="2" s="1"/>
  <c r="AL444" i="2"/>
  <c r="AH444" i="2" s="1"/>
  <c r="AM444" i="2"/>
  <c r="AI444" i="2" s="1"/>
  <c r="AJ444" i="2" l="1"/>
  <c r="AG444" i="2"/>
  <c r="AC444" i="2" s="1"/>
  <c r="AF444" i="2"/>
  <c r="AD444" i="2" s="1"/>
  <c r="AB445" i="2" s="1"/>
  <c r="Y445" i="2" l="1"/>
  <c r="AA445" i="2"/>
  <c r="Z445" i="2"/>
  <c r="AL445" i="2" l="1"/>
  <c r="AH445" i="2" s="1"/>
  <c r="AM445" i="2"/>
  <c r="AJ445" i="2" s="1"/>
  <c r="AK445" i="2"/>
  <c r="AF445" i="2" s="1"/>
  <c r="AD445" i="2" s="1"/>
  <c r="AB446" i="2" l="1"/>
  <c r="Z446" i="2"/>
  <c r="AI445" i="2"/>
  <c r="AG445" i="2"/>
  <c r="AE445" i="2"/>
  <c r="AC445" i="2" l="1"/>
  <c r="Y446" i="2" l="1"/>
  <c r="AA446" i="2"/>
  <c r="AM446" i="2" l="1"/>
  <c r="AJ446" i="2" s="1"/>
  <c r="AK446" i="2"/>
  <c r="AF446" i="2" s="1"/>
  <c r="AL446" i="2"/>
  <c r="AH446" i="2" s="1"/>
  <c r="AD446" i="2" l="1"/>
  <c r="AE446" i="2"/>
  <c r="AI446" i="2"/>
  <c r="AG446" i="2"/>
  <c r="AC446" i="2" l="1"/>
  <c r="AB447" i="2"/>
  <c r="Z447" i="2"/>
  <c r="AA447" i="2" l="1"/>
  <c r="Y447" i="2"/>
  <c r="AK447" i="2" l="1"/>
  <c r="AF447" i="2" s="1"/>
  <c r="AD447" i="2" s="1"/>
  <c r="AL447" i="2"/>
  <c r="AH447" i="2" s="1"/>
  <c r="AM447" i="2"/>
  <c r="AJ447" i="2" s="1"/>
  <c r="AB448" i="2" l="1"/>
  <c r="Z448" i="2"/>
  <c r="AI447" i="2"/>
  <c r="AG447" i="2"/>
  <c r="AE447" i="2"/>
  <c r="AC447" i="2" l="1"/>
  <c r="AA448" i="2" l="1"/>
  <c r="Y448" i="2"/>
  <c r="AK448" i="2" l="1"/>
  <c r="AF448" i="2" s="1"/>
  <c r="AL448" i="2"/>
  <c r="AH448" i="2" s="1"/>
  <c r="AE448" i="2"/>
  <c r="AM448" i="2"/>
  <c r="AJ448" i="2" s="1"/>
  <c r="AD448" i="2" l="1"/>
  <c r="AI448" i="2"/>
  <c r="AG448" i="2"/>
  <c r="AC448" i="2" s="1"/>
  <c r="Y449" i="2" l="1"/>
  <c r="AA449" i="2"/>
  <c r="Z449" i="2"/>
  <c r="AB449" i="2"/>
  <c r="AF449" i="2" l="1"/>
  <c r="AL449" i="2"/>
  <c r="AH449" i="2" s="1"/>
  <c r="AE449" i="2"/>
  <c r="AM449" i="2"/>
  <c r="AJ449" i="2" s="1"/>
  <c r="AG449" i="2"/>
  <c r="AK449" i="2"/>
  <c r="AD449" i="2" l="1"/>
  <c r="AI449" i="2"/>
  <c r="AC449" i="2" s="1"/>
  <c r="AA450" i="2" l="1"/>
  <c r="Y450" i="2"/>
  <c r="AB450" i="2"/>
  <c r="Z450" i="2"/>
  <c r="AM450" i="2" l="1"/>
  <c r="AJ450" i="2" s="1"/>
  <c r="AK450" i="2"/>
  <c r="AF450" i="2" s="1"/>
  <c r="AL450" i="2"/>
  <c r="AG450" i="2" s="1"/>
  <c r="AI450" i="2" l="1"/>
  <c r="AH450" i="2"/>
  <c r="AD450" i="2" s="1"/>
  <c r="AE450" i="2"/>
  <c r="AC450" i="2" s="1"/>
  <c r="Z451" i="2" l="1"/>
  <c r="AB451" i="2"/>
  <c r="AA451" i="2"/>
  <c r="Y451" i="2"/>
  <c r="AK451" i="2" l="1"/>
  <c r="AF451" i="2" s="1"/>
  <c r="AL451" i="2"/>
  <c r="AH451" i="2" s="1"/>
  <c r="AM451" i="2"/>
  <c r="AI451" i="2" s="1"/>
  <c r="AE451" i="2"/>
  <c r="AJ451" i="2"/>
  <c r="AD451" i="2" l="1"/>
  <c r="AG451" i="2"/>
  <c r="AC451" i="2" s="1"/>
  <c r="Y452" i="2" l="1"/>
  <c r="AA452" i="2"/>
  <c r="AB452" i="2"/>
  <c r="Z452" i="2"/>
  <c r="AG452" i="2" l="1"/>
  <c r="AK452" i="2"/>
  <c r="AF452" i="2" s="1"/>
  <c r="AL452" i="2"/>
  <c r="AH452" i="2" s="1"/>
  <c r="AM452" i="2"/>
  <c r="AI452" i="2" s="1"/>
  <c r="AD452" i="2" l="1"/>
  <c r="AJ452" i="2"/>
  <c r="AE452" i="2"/>
  <c r="AC452" i="2" s="1"/>
  <c r="AA453" i="2" l="1"/>
  <c r="Y453" i="2"/>
  <c r="Z453" i="2"/>
  <c r="AB453" i="2"/>
  <c r="AL453" i="2" l="1"/>
  <c r="AH453" i="2" s="1"/>
  <c r="AI453" i="2"/>
  <c r="AM453" i="2"/>
  <c r="AK453" i="2"/>
  <c r="AF453" i="2" s="1"/>
  <c r="AG453" i="2"/>
  <c r="AJ453" i="2"/>
  <c r="AD453" i="2" l="1"/>
  <c r="AE453" i="2"/>
  <c r="AC453" i="2" s="1"/>
  <c r="AA454" i="2" l="1"/>
  <c r="Y454" i="2"/>
  <c r="AB454" i="2"/>
  <c r="Z454" i="2"/>
  <c r="AM454" i="2" l="1"/>
  <c r="AJ454" i="2" s="1"/>
  <c r="AK454" i="2"/>
  <c r="AF454" i="2" s="1"/>
  <c r="AL454" i="2"/>
  <c r="AG454" i="2" s="1"/>
  <c r="AH454" i="2" l="1"/>
  <c r="AD454" i="2" s="1"/>
  <c r="AI454" i="2"/>
  <c r="AE454" i="2"/>
  <c r="AC454" i="2" s="1"/>
  <c r="AB455" i="2" l="1"/>
  <c r="Z455" i="2"/>
  <c r="Y455" i="2"/>
  <c r="AA455" i="2"/>
  <c r="AG455" i="2" l="1"/>
  <c r="AK455" i="2"/>
  <c r="AF455" i="2" s="1"/>
  <c r="AL455" i="2"/>
  <c r="AH455" i="2" s="1"/>
  <c r="AM455" i="2"/>
  <c r="AJ455" i="2" s="1"/>
  <c r="AI455" i="2"/>
  <c r="AD455" i="2" l="1"/>
  <c r="AE455" i="2"/>
  <c r="AC455" i="2" s="1"/>
  <c r="AA456" i="2" l="1"/>
  <c r="Y456" i="2"/>
  <c r="AB456" i="2"/>
  <c r="Z456" i="2"/>
  <c r="AK456" i="2" l="1"/>
  <c r="AE456" i="2" s="1"/>
  <c r="AL456" i="2"/>
  <c r="AH456" i="2" s="1"/>
  <c r="AM456" i="2"/>
  <c r="AI456" i="2" s="1"/>
  <c r="AJ456" i="2" l="1"/>
  <c r="AF456" i="2"/>
  <c r="AD456" i="2" s="1"/>
  <c r="AG456" i="2"/>
  <c r="AC456" i="2" s="1"/>
  <c r="AA457" i="2" l="1"/>
  <c r="Y457" i="2"/>
  <c r="Z457" i="2"/>
  <c r="AB457" i="2"/>
  <c r="AL457" i="2" l="1"/>
  <c r="AH457" i="2" s="1"/>
  <c r="AM457" i="2"/>
  <c r="AJ457" i="2" s="1"/>
  <c r="AG457" i="2"/>
  <c r="AK457" i="2"/>
  <c r="AF457" i="2" s="1"/>
  <c r="AD457" i="2" s="1"/>
  <c r="Z458" i="2" l="1"/>
  <c r="AB458" i="2"/>
  <c r="AI457" i="2"/>
  <c r="AE457" i="2"/>
  <c r="AC457" i="2" s="1"/>
  <c r="Y458" i="2" l="1"/>
  <c r="AA458" i="2"/>
  <c r="AM458" i="2" l="1"/>
  <c r="AJ458" i="2" s="1"/>
  <c r="AK458" i="2"/>
  <c r="AF458" i="2" s="1"/>
  <c r="AL458" i="2"/>
  <c r="AH458" i="2" s="1"/>
  <c r="AI458" i="2" l="1"/>
  <c r="AD458" i="2"/>
  <c r="AG458" i="2"/>
  <c r="AE458" i="2"/>
  <c r="AC458" i="2" s="1"/>
  <c r="AA459" i="2" l="1"/>
  <c r="Y459" i="2"/>
  <c r="AB459" i="2"/>
  <c r="Z459" i="2"/>
  <c r="AK459" i="2" l="1"/>
  <c r="AF459" i="2" s="1"/>
  <c r="AL459" i="2"/>
  <c r="AG459" i="2" s="1"/>
  <c r="AM459" i="2"/>
  <c r="AJ459" i="2" s="1"/>
  <c r="AH459" i="2" l="1"/>
  <c r="AD459" i="2" s="1"/>
  <c r="AI459" i="2"/>
  <c r="AE459" i="2"/>
  <c r="AC459" i="2" s="1"/>
  <c r="AB460" i="2" l="1"/>
  <c r="Z460" i="2"/>
  <c r="AA460" i="2"/>
  <c r="Y460" i="2"/>
  <c r="AF460" i="2" l="1"/>
  <c r="AK460" i="2"/>
  <c r="AE460" i="2" s="1"/>
  <c r="AL460" i="2"/>
  <c r="AH460" i="2" s="1"/>
  <c r="AM460" i="2"/>
  <c r="AJ460" i="2" s="1"/>
  <c r="AD460" i="2" l="1"/>
  <c r="AI460" i="2"/>
  <c r="AG460" i="2"/>
  <c r="AC460" i="2" s="1"/>
  <c r="AA461" i="2" l="1"/>
  <c r="Y461" i="2"/>
  <c r="AB461" i="2"/>
  <c r="Z461" i="2"/>
  <c r="AL461" i="2" l="1"/>
  <c r="AH461" i="2" s="1"/>
  <c r="AM461" i="2"/>
  <c r="AJ461" i="2" s="1"/>
  <c r="AK461" i="2"/>
  <c r="AF461" i="2" s="1"/>
  <c r="AD461" i="2" s="1"/>
  <c r="Z462" i="2" l="1"/>
  <c r="AB462" i="2"/>
  <c r="AI461" i="2"/>
  <c r="AG461" i="2"/>
  <c r="AE461" i="2"/>
  <c r="AC461" i="2" l="1"/>
  <c r="Y462" i="2" l="1"/>
  <c r="AA462" i="2"/>
  <c r="AM462" i="2" l="1"/>
  <c r="AJ462" i="2" s="1"/>
  <c r="AK462" i="2"/>
  <c r="AF462" i="2" s="1"/>
  <c r="AL462" i="2"/>
  <c r="AH462" i="2" s="1"/>
  <c r="AI462" i="2" l="1"/>
  <c r="AE462" i="2"/>
  <c r="AC462" i="2" s="1"/>
  <c r="AD462" i="2"/>
  <c r="AG462" i="2"/>
  <c r="AB463" i="2" l="1"/>
  <c r="Z463" i="2"/>
  <c r="AA463" i="2"/>
  <c r="Y463" i="2"/>
  <c r="AK463" i="2" l="1"/>
  <c r="AE463" i="2" s="1"/>
  <c r="AL463" i="2"/>
  <c r="AG463" i="2" s="1"/>
  <c r="AM463" i="2"/>
  <c r="AJ463" i="2" s="1"/>
  <c r="AF463" i="2"/>
  <c r="AH463" i="2" l="1"/>
  <c r="AD463" i="2" s="1"/>
  <c r="AI463" i="2"/>
  <c r="AC463" i="2" s="1"/>
  <c r="Y464" i="2" l="1"/>
  <c r="AA464" i="2"/>
  <c r="AB464" i="2"/>
  <c r="Z464" i="2"/>
  <c r="AK464" i="2" l="1"/>
  <c r="AE464" i="2" s="1"/>
  <c r="AL464" i="2"/>
  <c r="AH464" i="2" s="1"/>
  <c r="AM464" i="2"/>
  <c r="AJ464" i="2" s="1"/>
  <c r="AF464" i="2" l="1"/>
  <c r="AD464" i="2" s="1"/>
  <c r="AI464" i="2"/>
  <c r="AG464" i="2"/>
  <c r="AC464" i="2" s="1"/>
  <c r="AA465" i="2" l="1"/>
  <c r="Y465" i="2"/>
  <c r="AB465" i="2"/>
  <c r="Z465" i="2"/>
  <c r="AL465" i="2" l="1"/>
  <c r="AH465" i="2" s="1"/>
  <c r="AI465" i="2"/>
  <c r="AM465" i="2"/>
  <c r="AJ465" i="2" s="1"/>
  <c r="AK465" i="2"/>
  <c r="AF465" i="2" s="1"/>
  <c r="AD465" i="2" s="1"/>
  <c r="AB466" i="2" l="1"/>
  <c r="Z466" i="2"/>
  <c r="AG465" i="2"/>
  <c r="AE465" i="2"/>
  <c r="AC465" i="2" s="1"/>
  <c r="AA466" i="2" l="1"/>
  <c r="Y466" i="2"/>
  <c r="AM466" i="2" l="1"/>
  <c r="AJ466" i="2" s="1"/>
  <c r="AK466" i="2"/>
  <c r="AF466" i="2" s="1"/>
  <c r="AL466" i="2"/>
  <c r="AH466" i="2" s="1"/>
  <c r="AI466" i="2" l="1"/>
  <c r="AD466" i="2"/>
  <c r="AG466" i="2"/>
  <c r="AE466" i="2"/>
  <c r="AC466" i="2" s="1"/>
  <c r="AA467" i="2" l="1"/>
  <c r="Y467" i="2"/>
  <c r="Z467" i="2"/>
  <c r="AB467" i="2"/>
  <c r="AG467" i="2" l="1"/>
  <c r="AK467" i="2"/>
  <c r="AE467" i="2" s="1"/>
  <c r="AL467" i="2"/>
  <c r="AH467" i="2" s="1"/>
  <c r="AM467" i="2"/>
  <c r="AI467" i="2" s="1"/>
  <c r="AC467" i="2" l="1"/>
  <c r="AJ467" i="2"/>
  <c r="AF467" i="2"/>
  <c r="AD467" i="2" s="1"/>
  <c r="AB468" i="2" l="1"/>
  <c r="Z468" i="2"/>
  <c r="AA468" i="2"/>
  <c r="Y468" i="2"/>
  <c r="AG468" i="2" l="1"/>
  <c r="AK468" i="2"/>
  <c r="AL468" i="2"/>
  <c r="AE468" i="2"/>
  <c r="AI468" i="2"/>
  <c r="AM468" i="2"/>
  <c r="AH468" i="2"/>
  <c r="AJ468" i="2"/>
  <c r="AF468" i="2"/>
  <c r="AD468" i="2" l="1"/>
  <c r="AC468" i="2"/>
  <c r="AA469" i="2" l="1"/>
  <c r="Y469" i="2"/>
  <c r="Z469" i="2"/>
  <c r="AB469" i="2"/>
  <c r="AL469" i="2" l="1"/>
  <c r="AH469" i="2" s="1"/>
  <c r="AI469" i="2"/>
  <c r="AM469" i="2"/>
  <c r="AJ469" i="2" s="1"/>
  <c r="AK469" i="2"/>
  <c r="AF469" i="2" s="1"/>
  <c r="AD469" i="2" s="1"/>
  <c r="AG469" i="2"/>
  <c r="AB470" i="2" l="1"/>
  <c r="Z470" i="2"/>
  <c r="AE469" i="2"/>
  <c r="AC469" i="2" s="1"/>
  <c r="AA470" i="2" l="1"/>
  <c r="Y470" i="2"/>
  <c r="AM470" i="2" l="1"/>
  <c r="AJ470" i="2" s="1"/>
  <c r="AK470" i="2"/>
  <c r="AF470" i="2" s="1"/>
  <c r="AL470" i="2"/>
  <c r="AH470" i="2" s="1"/>
  <c r="AI470" i="2" l="1"/>
  <c r="AD470" i="2"/>
  <c r="AG470" i="2"/>
  <c r="AE470" i="2"/>
  <c r="AC470" i="2" s="1"/>
  <c r="Y471" i="2" l="1"/>
  <c r="AA471" i="2"/>
  <c r="Z471" i="2"/>
  <c r="AB471" i="2"/>
  <c r="AK471" i="2" l="1"/>
  <c r="AF471" i="2" s="1"/>
  <c r="AL471" i="2"/>
  <c r="AH471" i="2" s="1"/>
  <c r="AM471" i="2"/>
  <c r="AJ471" i="2" s="1"/>
  <c r="AI471" i="2"/>
  <c r="AD471" i="2" l="1"/>
  <c r="AE471" i="2"/>
  <c r="AC471" i="2" s="1"/>
  <c r="AG471" i="2"/>
  <c r="AA472" i="2" l="1"/>
  <c r="Y472" i="2"/>
  <c r="AB472" i="2"/>
  <c r="Z472" i="2"/>
  <c r="AK472" i="2" l="1"/>
  <c r="AE472" i="2" s="1"/>
  <c r="AL472" i="2"/>
  <c r="AG472" i="2" s="1"/>
  <c r="AM472" i="2"/>
  <c r="AJ472" i="2" s="1"/>
  <c r="AF472" i="2" l="1"/>
  <c r="AH472" i="2"/>
  <c r="AI472" i="2"/>
  <c r="AC472" i="2" s="1"/>
  <c r="AA473" i="2" l="1"/>
  <c r="Y473" i="2"/>
  <c r="AD472" i="2"/>
  <c r="AB473" i="2" l="1"/>
  <c r="Z473" i="2"/>
  <c r="AL473" i="2" s="1"/>
  <c r="AG473" i="2" s="1"/>
  <c r="AM473" i="2"/>
  <c r="AI473" i="2" s="1"/>
  <c r="AK473" i="2"/>
  <c r="AE473" i="2" s="1"/>
  <c r="AC473" i="2" s="1"/>
  <c r="AA474" i="2" l="1"/>
  <c r="Y474" i="2"/>
  <c r="AH473" i="2"/>
  <c r="AF473" i="2"/>
  <c r="AD473" i="2" s="1"/>
  <c r="Z474" i="2" s="1"/>
  <c r="AJ473" i="2"/>
  <c r="AB474" i="2" l="1"/>
  <c r="AM474" i="2"/>
  <c r="AJ474" i="2" s="1"/>
  <c r="AK474" i="2"/>
  <c r="AF474" i="2" s="1"/>
  <c r="AL474" i="2"/>
  <c r="AG474" i="2" s="1"/>
  <c r="AH474" i="2" l="1"/>
  <c r="AD474" i="2" s="1"/>
  <c r="AI474" i="2"/>
  <c r="AE474" i="2"/>
  <c r="Z475" i="2" l="1"/>
  <c r="AB475" i="2"/>
  <c r="AC474" i="2"/>
  <c r="Y475" i="2" l="1"/>
  <c r="AA475" i="2"/>
  <c r="AG475" i="2" l="1"/>
  <c r="AK475" i="2"/>
  <c r="AF475" i="2" s="1"/>
  <c r="AL475" i="2"/>
  <c r="AH475" i="2" s="1"/>
  <c r="AM475" i="2"/>
  <c r="AJ475" i="2" s="1"/>
  <c r="AD475" i="2" l="1"/>
  <c r="AI475" i="2"/>
  <c r="AE475" i="2"/>
  <c r="AC475" i="2" l="1"/>
  <c r="AB476" i="2"/>
  <c r="Z476" i="2"/>
  <c r="AA476" i="2" l="1"/>
  <c r="Y476" i="2"/>
  <c r="AK476" i="2" l="1"/>
  <c r="AF476" i="2" s="1"/>
  <c r="AD476" i="2" s="1"/>
  <c r="AL476" i="2"/>
  <c r="AH476" i="2" s="1"/>
  <c r="AE476" i="2"/>
  <c r="AM476" i="2"/>
  <c r="AJ476" i="2" s="1"/>
  <c r="Z477" i="2" l="1"/>
  <c r="AB477" i="2"/>
  <c r="AI476" i="2"/>
  <c r="AC476" i="2" s="1"/>
  <c r="AG476" i="2"/>
  <c r="Y477" i="2" l="1"/>
  <c r="AA477" i="2"/>
  <c r="AL477" i="2" l="1"/>
  <c r="AH477" i="2" s="1"/>
  <c r="AM477" i="2"/>
  <c r="AJ477" i="2" s="1"/>
  <c r="AK477" i="2"/>
  <c r="AF477" i="2" s="1"/>
  <c r="AD477" i="2" s="1"/>
  <c r="AB478" i="2" l="1"/>
  <c r="Z478" i="2"/>
  <c r="AI477" i="2"/>
  <c r="AG477" i="2"/>
  <c r="AE477" i="2"/>
  <c r="AC477" i="2" l="1"/>
  <c r="AA478" i="2" l="1"/>
  <c r="Y478" i="2"/>
  <c r="AM478" i="2" l="1"/>
  <c r="AJ478" i="2" s="1"/>
  <c r="AK478" i="2"/>
  <c r="AF478" i="2" s="1"/>
  <c r="AD478" i="2" s="1"/>
  <c r="AL478" i="2"/>
  <c r="AH478" i="2" s="1"/>
  <c r="AB479" i="2" l="1"/>
  <c r="Z479" i="2"/>
  <c r="AI478" i="2"/>
  <c r="AG478" i="2"/>
  <c r="AE478" i="2"/>
  <c r="AC478" i="2" l="1"/>
  <c r="AA479" i="2" l="1"/>
  <c r="Y479" i="2"/>
  <c r="AK479" i="2" l="1"/>
  <c r="AF479" i="2" s="1"/>
  <c r="AL479" i="2"/>
  <c r="AH479" i="2" s="1"/>
  <c r="AM479" i="2"/>
  <c r="AJ479" i="2" s="1"/>
  <c r="AD479" i="2" l="1"/>
  <c r="AI479" i="2"/>
  <c r="AG479" i="2"/>
  <c r="AE479" i="2"/>
  <c r="AC479" i="2" s="1"/>
  <c r="Y480" i="2" l="1"/>
  <c r="AA480" i="2"/>
  <c r="AB480" i="2"/>
  <c r="Z480" i="2"/>
  <c r="AH480" i="2" l="1"/>
  <c r="AG480" i="2"/>
  <c r="AK480" i="2"/>
  <c r="AF480" i="2" s="1"/>
  <c r="AD480" i="2" s="1"/>
  <c r="AL480" i="2"/>
  <c r="AM480" i="2"/>
  <c r="AJ480" i="2" s="1"/>
  <c r="AB481" i="2" l="1"/>
  <c r="Z481" i="2"/>
  <c r="AI480" i="2"/>
  <c r="AE480" i="2"/>
  <c r="AC480" i="2" s="1"/>
  <c r="Y481" i="2" l="1"/>
  <c r="AA481" i="2"/>
  <c r="AL481" i="2" l="1"/>
  <c r="AH481" i="2" s="1"/>
  <c r="AI481" i="2"/>
  <c r="AM481" i="2"/>
  <c r="AJ481" i="2" s="1"/>
  <c r="AK481" i="2"/>
  <c r="AF481" i="2" s="1"/>
  <c r="AD481" i="2" l="1"/>
  <c r="AG481" i="2"/>
  <c r="AE481" i="2"/>
  <c r="AC481" i="2" s="1"/>
  <c r="AA482" i="2" l="1"/>
  <c r="Y482" i="2"/>
  <c r="AB482" i="2"/>
  <c r="Z482" i="2"/>
  <c r="AM482" i="2" l="1"/>
  <c r="AJ482" i="2" s="1"/>
  <c r="AK482" i="2"/>
  <c r="AF482" i="2" s="1"/>
  <c r="AD482" i="2" s="1"/>
  <c r="AL482" i="2"/>
  <c r="AH482" i="2" s="1"/>
  <c r="AB483" i="2" l="1"/>
  <c r="Z483" i="2"/>
  <c r="AE482" i="2"/>
  <c r="AI482" i="2"/>
  <c r="AG482" i="2"/>
  <c r="AC482" i="2" l="1"/>
  <c r="Y483" i="2" l="1"/>
  <c r="AA483" i="2"/>
  <c r="AK483" i="2" l="1"/>
  <c r="AF483" i="2" s="1"/>
  <c r="AD483" i="2" s="1"/>
  <c r="AL483" i="2"/>
  <c r="AH483" i="2" s="1"/>
  <c r="AM483" i="2"/>
  <c r="AJ483" i="2" s="1"/>
  <c r="AE483" i="2"/>
  <c r="Z484" i="2" l="1"/>
  <c r="AB484" i="2"/>
  <c r="AG483" i="2"/>
  <c r="AC483" i="2" s="1"/>
  <c r="AI483" i="2"/>
  <c r="AA484" i="2" l="1"/>
  <c r="Y484" i="2"/>
  <c r="AK484" i="2" l="1"/>
  <c r="AF484" i="2" s="1"/>
  <c r="AL484" i="2"/>
  <c r="AH484" i="2" s="1"/>
  <c r="AE484" i="2"/>
  <c r="AM484" i="2"/>
  <c r="AJ484" i="2" s="1"/>
  <c r="AD484" i="2" l="1"/>
  <c r="AI484" i="2"/>
  <c r="AG484" i="2"/>
  <c r="AC484" i="2" s="1"/>
  <c r="Y485" i="2" l="1"/>
  <c r="AA485" i="2"/>
  <c r="AB485" i="2"/>
  <c r="Z485" i="2"/>
  <c r="AL485" i="2" l="1"/>
  <c r="AH485" i="2" s="1"/>
  <c r="AM485" i="2"/>
  <c r="AI485" i="2" s="1"/>
  <c r="AK485" i="2"/>
  <c r="AF485" i="2" s="1"/>
  <c r="AJ485" i="2" l="1"/>
  <c r="AD485" i="2" s="1"/>
  <c r="AE485" i="2"/>
  <c r="AG485" i="2"/>
  <c r="AB486" i="2" l="1"/>
  <c r="Z486" i="2"/>
  <c r="AC485" i="2"/>
  <c r="AA486" i="2" l="1"/>
  <c r="Y486" i="2"/>
  <c r="AM486" i="2" l="1"/>
  <c r="AJ486" i="2" s="1"/>
  <c r="AK486" i="2"/>
  <c r="AF486" i="2" s="1"/>
  <c r="AD486" i="2" s="1"/>
  <c r="AL486" i="2"/>
  <c r="AH486" i="2" s="1"/>
  <c r="AI486" i="2" l="1"/>
  <c r="Z487" i="2"/>
  <c r="AB487" i="2"/>
  <c r="AG486" i="2"/>
  <c r="AE486" i="2"/>
  <c r="AC486" i="2" l="1"/>
  <c r="Y487" i="2" l="1"/>
  <c r="AA487" i="2"/>
  <c r="AG487" i="2" l="1"/>
  <c r="AK487" i="2"/>
  <c r="AF487" i="2" s="1"/>
  <c r="AD487" i="2" s="1"/>
  <c r="AL487" i="2"/>
  <c r="AH487" i="2" s="1"/>
  <c r="AM487" i="2"/>
  <c r="AJ487" i="2" s="1"/>
  <c r="AI487" i="2"/>
  <c r="AB488" i="2" l="1"/>
  <c r="Z488" i="2"/>
  <c r="AE487" i="2"/>
  <c r="AC487" i="2" s="1"/>
  <c r="AA488" i="2" l="1"/>
  <c r="Y488" i="2"/>
  <c r="AK488" i="2" l="1"/>
  <c r="AF488" i="2" s="1"/>
  <c r="AL488" i="2"/>
  <c r="AH488" i="2" s="1"/>
  <c r="AE488" i="2"/>
  <c r="AM488" i="2"/>
  <c r="AJ488" i="2" s="1"/>
  <c r="AD488" i="2" l="1"/>
  <c r="AI488" i="2"/>
  <c r="AG488" i="2"/>
  <c r="AC488" i="2" s="1"/>
  <c r="Y489" i="2" l="1"/>
  <c r="AA489" i="2"/>
  <c r="Z489" i="2"/>
  <c r="AB489" i="2"/>
  <c r="AL489" i="2" l="1"/>
  <c r="AH489" i="2" s="1"/>
  <c r="AE489" i="2"/>
  <c r="AM489" i="2"/>
  <c r="AI489" i="2" s="1"/>
  <c r="AK489" i="2"/>
  <c r="AF489" i="2" s="1"/>
  <c r="AJ489" i="2" l="1"/>
  <c r="AD489" i="2" s="1"/>
  <c r="AG489" i="2"/>
  <c r="AC489" i="2"/>
  <c r="AB490" i="2" l="1"/>
  <c r="Z490" i="2"/>
  <c r="AA490" i="2"/>
  <c r="Y490" i="2"/>
  <c r="AM490" i="2" l="1"/>
  <c r="AI490" i="2" s="1"/>
  <c r="AK490" i="2"/>
  <c r="AE490" i="2" s="1"/>
  <c r="AC490" i="2" s="1"/>
  <c r="AL490" i="2"/>
  <c r="AG490" i="2" s="1"/>
  <c r="AH490" i="2"/>
  <c r="AA491" i="2" l="1"/>
  <c r="Y491" i="2"/>
  <c r="AJ490" i="2"/>
  <c r="AF490" i="2"/>
  <c r="AD490" i="2" s="1"/>
  <c r="AL491" i="2" l="1"/>
  <c r="AG491" i="2" s="1"/>
  <c r="AM491" i="2"/>
  <c r="AI491" i="2" s="1"/>
  <c r="AB491" i="2"/>
  <c r="Z491" i="2"/>
  <c r="AK491" i="2" s="1"/>
  <c r="AE491" i="2" s="1"/>
  <c r="AC491" i="2" l="1"/>
  <c r="AF491" i="2"/>
  <c r="AJ491" i="2"/>
  <c r="AH491" i="2"/>
  <c r="AD491" i="2" l="1"/>
  <c r="Y492" i="2"/>
  <c r="AA492" i="2"/>
  <c r="AL492" i="2" l="1"/>
  <c r="AG492" i="2" s="1"/>
  <c r="Z492" i="2"/>
  <c r="AK492" i="2" s="1"/>
  <c r="AE492" i="2" s="1"/>
  <c r="AB492" i="2"/>
  <c r="AM492" i="2" l="1"/>
  <c r="AI492" i="2" s="1"/>
  <c r="AC492" i="2" s="1"/>
  <c r="AH492" i="2"/>
  <c r="AF492" i="2"/>
  <c r="AA493" i="2" l="1"/>
  <c r="Y493" i="2"/>
  <c r="AJ492" i="2"/>
  <c r="AD492" i="2" s="1"/>
  <c r="AB493" i="2" l="1"/>
  <c r="Z493" i="2"/>
  <c r="AJ493" i="2" l="1"/>
  <c r="AL493" i="2"/>
  <c r="AG493" i="2" s="1"/>
  <c r="AM493" i="2"/>
  <c r="AI493" i="2" s="1"/>
  <c r="AK493" i="2"/>
  <c r="AE493" i="2" s="1"/>
  <c r="AC493" i="2" s="1"/>
  <c r="AF493" i="2" l="1"/>
  <c r="AA494" i="2"/>
  <c r="Y494" i="2"/>
  <c r="AH493" i="2"/>
  <c r="AD493" i="2" l="1"/>
  <c r="AB494" i="2" l="1"/>
  <c r="Z494" i="2"/>
  <c r="AH494" i="2" l="1"/>
  <c r="AK494" i="2"/>
  <c r="AE494" i="2" s="1"/>
  <c r="AM494" i="2"/>
  <c r="AI494" i="2" s="1"/>
  <c r="AL494" i="2"/>
  <c r="AG494" i="2" s="1"/>
  <c r="AJ494" i="2" l="1"/>
  <c r="AC494" i="2"/>
  <c r="AF494" i="2"/>
  <c r="AD494" i="2" s="1"/>
  <c r="AB495" i="2" l="1"/>
  <c r="Z495" i="2"/>
  <c r="AA495" i="2"/>
  <c r="Y495" i="2"/>
  <c r="AK495" i="2" l="1"/>
  <c r="AE495" i="2" s="1"/>
  <c r="AL495" i="2"/>
  <c r="AG495" i="2" s="1"/>
  <c r="AM495" i="2"/>
  <c r="AI495" i="2" s="1"/>
  <c r="AC495" i="2" l="1"/>
  <c r="AH495" i="2"/>
  <c r="AJ495" i="2"/>
  <c r="AF495" i="2"/>
  <c r="AD495" i="2" s="1"/>
  <c r="AB496" i="2" l="1"/>
  <c r="Z496" i="2"/>
  <c r="Y496" i="2"/>
  <c r="AA496" i="2"/>
  <c r="AK496" i="2" l="1"/>
  <c r="AE496" i="2" s="1"/>
  <c r="AL496" i="2"/>
  <c r="AH496" i="2" s="1"/>
  <c r="AM496" i="2"/>
  <c r="AI496" i="2" s="1"/>
  <c r="AJ496" i="2"/>
  <c r="AF496" i="2" l="1"/>
  <c r="AD496" i="2" s="1"/>
  <c r="AG496" i="2"/>
  <c r="AC496" i="2" s="1"/>
  <c r="AA497" i="2" l="1"/>
  <c r="Y497" i="2"/>
  <c r="Z497" i="2"/>
  <c r="AB497" i="2"/>
  <c r="AJ497" i="2" l="1"/>
  <c r="AL497" i="2"/>
  <c r="AH497" i="2" s="1"/>
  <c r="AI497" i="2"/>
  <c r="AM497" i="2"/>
  <c r="AG497" i="2"/>
  <c r="AK497" i="2"/>
  <c r="AE497" i="2" s="1"/>
  <c r="AC497" i="2" s="1"/>
  <c r="AA498" i="2" l="1"/>
  <c r="Y498" i="2"/>
  <c r="AF497" i="2"/>
  <c r="AD497" i="2" s="1"/>
  <c r="AB498" i="2" l="1"/>
  <c r="Z498" i="2"/>
  <c r="AK498" i="2" s="1"/>
  <c r="AE498" i="2" s="1"/>
  <c r="AF498" i="2" l="1"/>
  <c r="AL498" i="2"/>
  <c r="AG498" i="2" s="1"/>
  <c r="AC498" i="2" s="1"/>
  <c r="AM498" i="2"/>
  <c r="AI498" i="2" s="1"/>
  <c r="Y499" i="2" l="1"/>
  <c r="AA499" i="2"/>
  <c r="AJ498" i="2"/>
  <c r="AD498" i="2"/>
  <c r="AH498" i="2"/>
  <c r="Z499" i="2" l="1"/>
  <c r="AB499" i="2"/>
  <c r="AK499" i="2"/>
  <c r="AL499" i="2"/>
  <c r="AG499" i="2" s="1"/>
  <c r="AI499" i="2"/>
  <c r="AM499" i="2"/>
  <c r="AE499" i="2"/>
  <c r="AC499" i="2" l="1"/>
  <c r="AF499" i="2"/>
  <c r="AJ499" i="2"/>
  <c r="AH499" i="2"/>
  <c r="AD499" i="2" l="1"/>
  <c r="Y500" i="2"/>
  <c r="AA500" i="2"/>
  <c r="Z500" i="2" l="1"/>
  <c r="AK500" i="2" s="1"/>
  <c r="AE500" i="2" s="1"/>
  <c r="AB500" i="2"/>
  <c r="AL500" i="2" l="1"/>
  <c r="AG500" i="2" s="1"/>
  <c r="AC500" i="2" s="1"/>
  <c r="AM500" i="2"/>
  <c r="AI500" i="2" s="1"/>
  <c r="AF500" i="2"/>
  <c r="AA501" i="2" l="1"/>
  <c r="Y501" i="2"/>
  <c r="AJ500" i="2"/>
  <c r="AH500" i="2"/>
  <c r="AD500" i="2" s="1"/>
  <c r="Z501" i="2" l="1"/>
  <c r="AL501" i="2" s="1"/>
  <c r="AG501" i="2" s="1"/>
  <c r="AB501" i="2"/>
  <c r="AM501" i="2"/>
  <c r="AI501" i="2" s="1"/>
  <c r="AK501" i="2"/>
  <c r="AE501" i="2" s="1"/>
  <c r="AC501" i="2" l="1"/>
  <c r="AH501" i="2"/>
  <c r="AF501" i="2"/>
  <c r="AD501" i="2" s="1"/>
  <c r="AB502" i="2" s="1"/>
  <c r="AJ501" i="2"/>
  <c r="Z502" i="2" l="1"/>
  <c r="AA502" i="2"/>
  <c r="Y502" i="2"/>
  <c r="AM502" i="2" l="1"/>
  <c r="AJ502" i="2" s="1"/>
  <c r="AK502" i="2"/>
  <c r="AF502" i="2" s="1"/>
  <c r="AL502" i="2"/>
  <c r="AG502" i="2" s="1"/>
  <c r="AH502" i="2"/>
  <c r="AD502" i="2" l="1"/>
  <c r="AI502" i="2"/>
  <c r="AE502" i="2"/>
  <c r="AC502" i="2" s="1"/>
  <c r="AA503" i="2" l="1"/>
  <c r="Y503" i="2"/>
  <c r="AB503" i="2"/>
  <c r="Z503" i="2"/>
  <c r="AG503" i="2" l="1"/>
  <c r="AK503" i="2"/>
  <c r="AE503" i="2" s="1"/>
  <c r="AC503" i="2" s="1"/>
  <c r="AL503" i="2"/>
  <c r="AH503" i="2" s="1"/>
  <c r="AM503" i="2"/>
  <c r="AJ503" i="2" s="1"/>
  <c r="AI503" i="2"/>
  <c r="AA504" i="2" l="1"/>
  <c r="Y504" i="2"/>
  <c r="AF503" i="2"/>
  <c r="AD503" i="2" s="1"/>
  <c r="AB504" i="2" l="1"/>
  <c r="Z504" i="2"/>
  <c r="AK504" i="2"/>
  <c r="AE504" i="2" s="1"/>
  <c r="AM504" i="2"/>
  <c r="AI504" i="2" s="1"/>
  <c r="AH504" i="2" l="1"/>
  <c r="AF504" i="2"/>
  <c r="AJ504" i="2"/>
  <c r="AL504" i="2"/>
  <c r="AG504" i="2" s="1"/>
  <c r="AC504" i="2" s="1"/>
  <c r="Y505" i="2" l="1"/>
  <c r="AA505" i="2"/>
  <c r="AD504" i="2"/>
  <c r="AB505" i="2" l="1"/>
  <c r="Z505" i="2"/>
  <c r="AL505" i="2"/>
  <c r="AG505" i="2" s="1"/>
  <c r="AM505" i="2"/>
  <c r="AI505" i="2" s="1"/>
  <c r="AK505" i="2"/>
  <c r="AE505" i="2" s="1"/>
  <c r="AC505" i="2" l="1"/>
  <c r="AH505" i="2"/>
  <c r="AF505" i="2"/>
  <c r="AD505" i="2" s="1"/>
  <c r="Z506" i="2" s="1"/>
  <c r="AJ505" i="2"/>
  <c r="AB506" i="2" l="1"/>
  <c r="AA506" i="2"/>
  <c r="Y506" i="2"/>
  <c r="AM506" i="2" l="1"/>
  <c r="AJ506" i="2" s="1"/>
  <c r="AK506" i="2"/>
  <c r="AF506" i="2" s="1"/>
  <c r="AL506" i="2"/>
  <c r="AH506" i="2" s="1"/>
  <c r="AI506" i="2" l="1"/>
  <c r="AE506" i="2"/>
  <c r="AC506" i="2" s="1"/>
  <c r="AD506" i="2"/>
  <c r="AG506" i="2"/>
  <c r="AA507" i="2" l="1"/>
  <c r="Y507" i="2"/>
  <c r="Z507" i="2"/>
  <c r="AB507" i="2"/>
  <c r="AH507" i="2" l="1"/>
  <c r="AK507" i="2"/>
  <c r="AF507" i="2" s="1"/>
  <c r="AD507" i="2" s="1"/>
  <c r="AG507" i="2"/>
  <c r="AL507" i="2"/>
  <c r="AM507" i="2"/>
  <c r="AJ507" i="2" s="1"/>
  <c r="AI507" i="2"/>
  <c r="Z508" i="2" l="1"/>
  <c r="AB508" i="2"/>
  <c r="AE507" i="2"/>
  <c r="AC507" i="2" s="1"/>
  <c r="Y508" i="2" l="1"/>
  <c r="AA508" i="2"/>
  <c r="AK508" i="2" l="1"/>
  <c r="AF508" i="2" s="1"/>
  <c r="AL508" i="2"/>
  <c r="AH508" i="2" s="1"/>
  <c r="AM508" i="2"/>
  <c r="AJ508" i="2" s="1"/>
  <c r="AD508" i="2" l="1"/>
  <c r="AE508" i="2"/>
  <c r="AI508" i="2"/>
  <c r="AG508" i="2"/>
  <c r="AC508" i="2" l="1"/>
  <c r="AB509" i="2"/>
  <c r="Z509" i="2"/>
  <c r="Y509" i="2" l="1"/>
  <c r="AA509" i="2"/>
  <c r="AL509" i="2" l="1"/>
  <c r="AH509" i="2" s="1"/>
  <c r="AM509" i="2"/>
  <c r="AJ509" i="2" s="1"/>
  <c r="AK509" i="2"/>
  <c r="AF509" i="2" s="1"/>
  <c r="AD509" i="2" s="1"/>
  <c r="AB510" i="2" l="1"/>
  <c r="Z510" i="2"/>
  <c r="AE509" i="2"/>
  <c r="AG509" i="2"/>
  <c r="AI509" i="2"/>
  <c r="AC509" i="2" l="1"/>
  <c r="AA510" i="2" l="1"/>
  <c r="Y510" i="2"/>
  <c r="AM510" i="2" l="1"/>
  <c r="AJ510" i="2" s="1"/>
  <c r="AK510" i="2"/>
  <c r="AF510" i="2" s="1"/>
  <c r="AL510" i="2"/>
  <c r="AH510" i="2" s="1"/>
  <c r="AG510" i="2" l="1"/>
  <c r="AI510" i="2"/>
  <c r="AD510" i="2"/>
  <c r="AE510" i="2"/>
  <c r="AC510" i="2" s="1"/>
  <c r="Y511" i="2" l="1"/>
  <c r="AA511" i="2"/>
  <c r="AB511" i="2"/>
  <c r="Z511" i="2"/>
  <c r="AF511" i="2" l="1"/>
  <c r="AL511" i="2"/>
  <c r="AH511" i="2" s="1"/>
  <c r="AE511" i="2"/>
  <c r="AM511" i="2"/>
  <c r="AJ511" i="2" s="1"/>
  <c r="AG511" i="2"/>
  <c r="AK511" i="2"/>
  <c r="AD511" i="2" l="1"/>
  <c r="AI511" i="2"/>
  <c r="AC511" i="2" s="1"/>
  <c r="AA512" i="2" l="1"/>
  <c r="Y512" i="2"/>
  <c r="AB512" i="2"/>
  <c r="Z512" i="2"/>
  <c r="AM512" i="2" l="1"/>
  <c r="AJ512" i="2" s="1"/>
  <c r="AK512" i="2"/>
  <c r="AF512" i="2" s="1"/>
  <c r="AL512" i="2"/>
  <c r="AG512" i="2" s="1"/>
  <c r="AH512" i="2" l="1"/>
  <c r="AD512" i="2" s="1"/>
  <c r="AI512" i="2"/>
  <c r="AE512" i="2"/>
  <c r="AC512" i="2" s="1"/>
  <c r="AB513" i="2" l="1"/>
  <c r="Z513" i="2"/>
  <c r="Y513" i="2"/>
  <c r="AA513" i="2"/>
  <c r="AG513" i="2" l="1"/>
  <c r="AK513" i="2"/>
  <c r="AF513" i="2" s="1"/>
  <c r="AL513" i="2"/>
  <c r="AM513" i="2"/>
  <c r="AJ513" i="2" s="1"/>
  <c r="AH513" i="2"/>
  <c r="AD513" i="2" l="1"/>
  <c r="AI513" i="2"/>
  <c r="AE513" i="2"/>
  <c r="AC513" i="2" s="1"/>
  <c r="AA514" i="2" l="1"/>
  <c r="Y514" i="2"/>
  <c r="AB514" i="2"/>
  <c r="Z514" i="2"/>
  <c r="AK514" i="2" l="1"/>
  <c r="AE514" i="2" s="1"/>
  <c r="AL514" i="2"/>
  <c r="AH514" i="2" s="1"/>
  <c r="AM514" i="2"/>
  <c r="AI514" i="2" s="1"/>
  <c r="AJ514" i="2" l="1"/>
  <c r="AF514" i="2"/>
  <c r="AD514" i="2" s="1"/>
  <c r="AG514" i="2"/>
  <c r="AC514" i="2" s="1"/>
  <c r="AA515" i="2" l="1"/>
  <c r="Y515" i="2"/>
  <c r="Z515" i="2"/>
  <c r="AB515" i="2"/>
  <c r="AL515" i="2" l="1"/>
  <c r="AH515" i="2" s="1"/>
  <c r="AM515" i="2"/>
  <c r="AJ515" i="2" s="1"/>
  <c r="AG515" i="2"/>
  <c r="AK515" i="2"/>
  <c r="AF515" i="2" s="1"/>
  <c r="AD515" i="2" s="1"/>
  <c r="AB516" i="2" l="1"/>
  <c r="Z516" i="2"/>
  <c r="AI515" i="2"/>
  <c r="AE515" i="2"/>
  <c r="AC515" i="2" s="1"/>
  <c r="Y516" i="2" l="1"/>
  <c r="AA516" i="2"/>
  <c r="AM516" i="2" l="1"/>
  <c r="AJ516" i="2" s="1"/>
  <c r="AK516" i="2"/>
  <c r="AF516" i="2" s="1"/>
  <c r="AL516" i="2"/>
  <c r="AH516" i="2" s="1"/>
  <c r="AI516" i="2" l="1"/>
  <c r="AE516" i="2"/>
  <c r="AD516" i="2"/>
  <c r="AG516" i="2"/>
  <c r="AC516" i="2" l="1"/>
  <c r="AB517" i="2"/>
  <c r="Z517" i="2"/>
  <c r="AA517" i="2" l="1"/>
  <c r="Y517" i="2"/>
  <c r="AK517" i="2" l="1"/>
  <c r="AF517" i="2" s="1"/>
  <c r="AL517" i="2"/>
  <c r="AH517" i="2" s="1"/>
  <c r="AM517" i="2"/>
  <c r="AJ517" i="2" s="1"/>
  <c r="AD517" i="2" l="1"/>
  <c r="AG517" i="2"/>
  <c r="AE517" i="2"/>
  <c r="AI517" i="2"/>
  <c r="AC517" i="2" l="1"/>
  <c r="AB518" i="2"/>
  <c r="Z518" i="2"/>
  <c r="AA518" i="2" l="1"/>
  <c r="Y518" i="2"/>
  <c r="AK518" i="2" l="1"/>
  <c r="AF518" i="2" s="1"/>
  <c r="AL518" i="2"/>
  <c r="AH518" i="2" s="1"/>
  <c r="AE518" i="2"/>
  <c r="AM518" i="2"/>
  <c r="AJ518" i="2" s="1"/>
  <c r="AD518" i="2" l="1"/>
  <c r="AI518" i="2"/>
  <c r="AG518" i="2"/>
  <c r="AC518" i="2" s="1"/>
  <c r="Y519" i="2" l="1"/>
  <c r="AA519" i="2"/>
  <c r="AB519" i="2"/>
  <c r="Z519" i="2"/>
  <c r="AL519" i="2" l="1"/>
  <c r="AH519" i="2" s="1"/>
  <c r="AM519" i="2"/>
  <c r="AI519" i="2" s="1"/>
  <c r="AK519" i="2"/>
  <c r="AF519" i="2" s="1"/>
  <c r="AE519" i="2" l="1"/>
  <c r="AJ519" i="2"/>
  <c r="AD519" i="2" s="1"/>
  <c r="AG519" i="2"/>
  <c r="AB520" i="2" l="1"/>
  <c r="Z520" i="2"/>
  <c r="AC519" i="2"/>
  <c r="AA520" i="2" l="1"/>
  <c r="Y520" i="2"/>
  <c r="AM520" i="2" l="1"/>
  <c r="AJ520" i="2" s="1"/>
  <c r="AK520" i="2"/>
  <c r="AF520" i="2" s="1"/>
  <c r="AL520" i="2"/>
  <c r="AH520" i="2" s="1"/>
  <c r="AD520" i="2" l="1"/>
  <c r="AI520" i="2"/>
  <c r="AG520" i="2"/>
  <c r="AE520" i="2"/>
  <c r="AC520" i="2" l="1"/>
  <c r="AB521" i="2"/>
  <c r="Z521" i="2"/>
  <c r="AA521" i="2" l="1"/>
  <c r="Y521" i="2"/>
  <c r="AK521" i="2" l="1"/>
  <c r="AF521" i="2" s="1"/>
  <c r="AL521" i="2"/>
  <c r="AH521" i="2" s="1"/>
  <c r="AM521" i="2"/>
  <c r="AJ521" i="2" s="1"/>
  <c r="AE521" i="2"/>
  <c r="AI521" i="2"/>
  <c r="AD521" i="2" l="1"/>
  <c r="AG521" i="2"/>
  <c r="AC521" i="2" s="1"/>
  <c r="Y522" i="2" l="1"/>
  <c r="AA522" i="2"/>
  <c r="AB522" i="2"/>
  <c r="Z522" i="2"/>
  <c r="AG522" i="2" l="1"/>
  <c r="AK522" i="2"/>
  <c r="AE522" i="2" s="1"/>
  <c r="AL522" i="2"/>
  <c r="AH522" i="2" s="1"/>
  <c r="AM522" i="2"/>
  <c r="AJ522" i="2" s="1"/>
  <c r="AI522" i="2" l="1"/>
  <c r="AC522" i="2" s="1"/>
  <c r="AF522" i="2"/>
  <c r="AD522" i="2" s="1"/>
  <c r="Y523" i="2" l="1"/>
  <c r="AA523" i="2"/>
  <c r="Z523" i="2"/>
  <c r="AB523" i="2"/>
  <c r="AL523" i="2" l="1"/>
  <c r="AH523" i="2" s="1"/>
  <c r="AM523" i="2"/>
  <c r="AI523" i="2" s="1"/>
  <c r="AG523" i="2"/>
  <c r="AK523" i="2"/>
  <c r="AF523" i="2" s="1"/>
  <c r="AE523" i="2" l="1"/>
  <c r="AC523" i="2" s="1"/>
  <c r="AJ523" i="2"/>
  <c r="AD523" i="2" s="1"/>
  <c r="AB524" i="2" l="1"/>
  <c r="Z524" i="2"/>
  <c r="AA524" i="2"/>
  <c r="Y524" i="2"/>
  <c r="AM524" i="2" l="1"/>
  <c r="AJ524" i="2" s="1"/>
  <c r="AK524" i="2"/>
  <c r="AE524" i="2" s="1"/>
  <c r="AL524" i="2"/>
  <c r="AG524" i="2" s="1"/>
  <c r="AH524" i="2"/>
  <c r="AC524" i="2" l="1"/>
  <c r="AI524" i="2"/>
  <c r="AF524" i="2"/>
  <c r="AD524" i="2" s="1"/>
  <c r="AB525" i="2" l="1"/>
  <c r="Z525" i="2"/>
  <c r="AA525" i="2"/>
  <c r="Y525" i="2"/>
  <c r="AG525" i="2" l="1"/>
  <c r="AK525" i="2"/>
  <c r="AF525" i="2" s="1"/>
  <c r="AL525" i="2"/>
  <c r="AH525" i="2" s="1"/>
  <c r="AM525" i="2"/>
  <c r="AJ525" i="2" s="1"/>
  <c r="AD525" i="2" l="1"/>
  <c r="AE525" i="2"/>
  <c r="AI525" i="2"/>
  <c r="AC525" i="2" l="1"/>
  <c r="AB526" i="2"/>
  <c r="Z526" i="2"/>
  <c r="AA526" i="2" l="1"/>
  <c r="Y526" i="2"/>
  <c r="AK526" i="2" l="1"/>
  <c r="AF526" i="2" s="1"/>
  <c r="AD526" i="2" s="1"/>
  <c r="AL526" i="2"/>
  <c r="AH526" i="2" s="1"/>
  <c r="AM526" i="2"/>
  <c r="AJ526" i="2" s="1"/>
  <c r="AE526" i="2" l="1"/>
  <c r="AB527" i="2"/>
  <c r="Z527" i="2"/>
  <c r="AI526" i="2"/>
  <c r="AG526" i="2"/>
  <c r="AC526" i="2" l="1"/>
  <c r="AA527" i="2" l="1"/>
  <c r="Y527" i="2"/>
  <c r="AL527" i="2" l="1"/>
  <c r="AH527" i="2" s="1"/>
  <c r="AM527" i="2"/>
  <c r="AJ527" i="2" s="1"/>
  <c r="AG527" i="2"/>
  <c r="AK527" i="2"/>
  <c r="AF527" i="2" s="1"/>
  <c r="AE527" i="2" l="1"/>
  <c r="AC527" i="2" s="1"/>
  <c r="AD527" i="2"/>
  <c r="AI527" i="2"/>
  <c r="AB528" i="2" l="1"/>
  <c r="Z528" i="2"/>
  <c r="Y528" i="2"/>
  <c r="AA528" i="2"/>
  <c r="AM528" i="2" l="1"/>
  <c r="AJ528" i="2" s="1"/>
  <c r="AK528" i="2"/>
  <c r="AF528" i="2" s="1"/>
  <c r="AL528" i="2"/>
  <c r="AG528" i="2" s="1"/>
  <c r="AH528" i="2" l="1"/>
  <c r="AD528" i="2" s="1"/>
  <c r="AI528" i="2"/>
  <c r="AE528" i="2"/>
  <c r="AC528" i="2" s="1"/>
  <c r="AB529" i="2" l="1"/>
  <c r="Z529" i="2"/>
  <c r="AA529" i="2"/>
  <c r="Y529" i="2"/>
  <c r="AK529" i="2" l="1"/>
  <c r="AF529" i="2" s="1"/>
  <c r="AL529" i="2"/>
  <c r="AH529" i="2" s="1"/>
  <c r="AM529" i="2"/>
  <c r="AJ529" i="2" s="1"/>
  <c r="AD529" i="2" l="1"/>
  <c r="AI529" i="2"/>
  <c r="AG529" i="2"/>
  <c r="AE529" i="2"/>
  <c r="AC529" i="2" s="1"/>
  <c r="AA530" i="2" l="1"/>
  <c r="Y530" i="2"/>
  <c r="AB530" i="2"/>
  <c r="Z530" i="2"/>
  <c r="AK530" i="2" l="1"/>
  <c r="AE530" i="2" s="1"/>
  <c r="AL530" i="2"/>
  <c r="AG530" i="2" s="1"/>
  <c r="AM530" i="2"/>
  <c r="AI530" i="2" s="1"/>
  <c r="AC530" i="2" l="1"/>
  <c r="AJ530" i="2"/>
  <c r="AH530" i="2"/>
  <c r="AF530" i="2"/>
  <c r="AD530" i="2" s="1"/>
  <c r="Z531" i="2" l="1"/>
  <c r="AB531" i="2"/>
  <c r="AA531" i="2"/>
  <c r="Y531" i="2"/>
  <c r="AL531" i="2" l="1"/>
  <c r="AI531" i="2"/>
  <c r="AM531" i="2"/>
  <c r="AG531" i="2"/>
  <c r="AK531" i="2"/>
  <c r="AF531" i="2" s="1"/>
  <c r="AD531" i="2" s="1"/>
  <c r="AH531" i="2"/>
  <c r="AJ531" i="2"/>
  <c r="AB532" i="2" l="1"/>
  <c r="Z532" i="2"/>
  <c r="AE531" i="2"/>
  <c r="AC531" i="2" s="1"/>
  <c r="AA532" i="2" l="1"/>
  <c r="Y532" i="2"/>
  <c r="AM532" i="2" l="1"/>
  <c r="AJ532" i="2" s="1"/>
  <c r="AK532" i="2"/>
  <c r="AF532" i="2" s="1"/>
  <c r="AL532" i="2"/>
  <c r="AH532" i="2" s="1"/>
  <c r="AD532" i="2" l="1"/>
  <c r="AI532" i="2"/>
  <c r="AG532" i="2"/>
  <c r="AE532" i="2"/>
  <c r="AC532" i="2" s="1"/>
  <c r="Y533" i="2" l="1"/>
  <c r="AA533" i="2"/>
  <c r="Z533" i="2"/>
  <c r="AB533" i="2"/>
  <c r="AH533" i="2" l="1"/>
  <c r="AG533" i="2"/>
  <c r="AK533" i="2"/>
  <c r="AF533" i="2" s="1"/>
  <c r="AD533" i="2" s="1"/>
  <c r="AL533" i="2"/>
  <c r="AM533" i="2"/>
  <c r="AJ533" i="2" s="1"/>
  <c r="AE533" i="2"/>
  <c r="AB534" i="2" l="1"/>
  <c r="Z534" i="2"/>
  <c r="AI533" i="2"/>
  <c r="AC533" i="2"/>
  <c r="AA534" i="2" l="1"/>
  <c r="Y534" i="2"/>
  <c r="AK534" i="2" l="1"/>
  <c r="AF534" i="2" s="1"/>
  <c r="AD534" i="2" s="1"/>
  <c r="AL534" i="2"/>
  <c r="AH534" i="2" s="1"/>
  <c r="AM534" i="2"/>
  <c r="AJ534" i="2" s="1"/>
  <c r="AE534" i="2" l="1"/>
  <c r="Z535" i="2"/>
  <c r="AB535" i="2"/>
  <c r="AI534" i="2"/>
  <c r="AG534" i="2"/>
  <c r="AC534" i="2" l="1"/>
  <c r="AA535" i="2" l="1"/>
  <c r="Y535" i="2"/>
  <c r="AL535" i="2" l="1"/>
  <c r="AH535" i="2" s="1"/>
  <c r="AM535" i="2"/>
  <c r="AJ535" i="2" s="1"/>
  <c r="AK535" i="2"/>
  <c r="AF535" i="2" s="1"/>
  <c r="AG535" i="2"/>
  <c r="AI535" i="2" l="1"/>
  <c r="AD535" i="2"/>
  <c r="AE535" i="2"/>
  <c r="AC535" i="2" s="1"/>
  <c r="Y536" i="2" l="1"/>
  <c r="AA536" i="2"/>
  <c r="AB536" i="2"/>
  <c r="Z536" i="2"/>
  <c r="AM536" i="2" l="1"/>
  <c r="AJ536" i="2" s="1"/>
  <c r="AK536" i="2"/>
  <c r="AF536" i="2" s="1"/>
  <c r="AL536" i="2"/>
  <c r="AG536" i="2" s="1"/>
  <c r="AI536" i="2" l="1"/>
  <c r="AH536" i="2"/>
  <c r="AD536" i="2" s="1"/>
  <c r="AE536" i="2"/>
  <c r="AC536" i="2" s="1"/>
  <c r="AB537" i="2" l="1"/>
  <c r="Z537" i="2"/>
  <c r="AA537" i="2"/>
  <c r="Y537" i="2"/>
  <c r="AK537" i="2" l="1"/>
  <c r="AF537" i="2" s="1"/>
  <c r="AL537" i="2"/>
  <c r="AG537" i="2" s="1"/>
  <c r="AM537" i="2"/>
  <c r="AJ537" i="2" s="1"/>
  <c r="AI537" i="2"/>
  <c r="AH537" i="2"/>
  <c r="AD537" i="2" l="1"/>
  <c r="AE537" i="2"/>
  <c r="AC537" i="2" s="1"/>
  <c r="Y538" i="2" l="1"/>
  <c r="AA538" i="2"/>
  <c r="AB538" i="2"/>
  <c r="Z538" i="2"/>
  <c r="AG538" i="2" l="1"/>
  <c r="AK538" i="2"/>
  <c r="AE538" i="2" s="1"/>
  <c r="AL538" i="2"/>
  <c r="AH538" i="2" s="1"/>
  <c r="AM538" i="2"/>
  <c r="AJ538" i="2" s="1"/>
  <c r="AF538" i="2" l="1"/>
  <c r="AD538" i="2" s="1"/>
  <c r="AI538" i="2"/>
  <c r="AC538" i="2" s="1"/>
  <c r="Y539" i="2" l="1"/>
  <c r="AA539" i="2"/>
  <c r="Z539" i="2"/>
  <c r="AB539" i="2"/>
  <c r="AL539" i="2" l="1"/>
  <c r="AH539" i="2" s="1"/>
  <c r="AE539" i="2"/>
  <c r="AM539" i="2"/>
  <c r="AI539" i="2" s="1"/>
  <c r="AG539" i="2"/>
  <c r="AK539" i="2"/>
  <c r="AF539" i="2" s="1"/>
  <c r="AC539" i="2" l="1"/>
  <c r="AJ539" i="2"/>
  <c r="AD539" i="2" s="1"/>
  <c r="AB540" i="2" l="1"/>
  <c r="Z540" i="2"/>
  <c r="AA540" i="2"/>
  <c r="Y540" i="2"/>
  <c r="AH540" i="2" l="1"/>
  <c r="AM540" i="2"/>
  <c r="AJ540" i="2" s="1"/>
  <c r="AK540" i="2"/>
  <c r="AF540" i="2" s="1"/>
  <c r="AL540" i="2"/>
  <c r="AG540" i="2" s="1"/>
  <c r="AD540" i="2" l="1"/>
  <c r="AI540" i="2"/>
  <c r="AE540" i="2"/>
  <c r="AC540" i="2" s="1"/>
  <c r="AA541" i="2" l="1"/>
  <c r="Y541" i="2"/>
  <c r="Z541" i="2"/>
  <c r="AB541" i="2"/>
  <c r="AK541" i="2" l="1"/>
  <c r="AE541" i="2" s="1"/>
  <c r="AL541" i="2"/>
  <c r="AH541" i="2" s="1"/>
  <c r="AM541" i="2"/>
  <c r="AJ541" i="2" s="1"/>
  <c r="AI541" i="2" l="1"/>
  <c r="AG541" i="2"/>
  <c r="AC541" i="2" s="1"/>
  <c r="AF541" i="2"/>
  <c r="AD541" i="2" s="1"/>
  <c r="AA542" i="2" l="1"/>
  <c r="Y542" i="2"/>
  <c r="AB542" i="2"/>
  <c r="Z542" i="2"/>
  <c r="AK542" i="2" l="1"/>
  <c r="AL542" i="2"/>
  <c r="AG542" i="2" s="1"/>
  <c r="AE542" i="2"/>
  <c r="AM542" i="2"/>
  <c r="AI542" i="2" s="1"/>
  <c r="AF542" i="2"/>
  <c r="AJ542" i="2"/>
  <c r="AC542" i="2" l="1"/>
  <c r="AH542" i="2"/>
  <c r="AD542" i="2" s="1"/>
  <c r="AB543" i="2" l="1"/>
  <c r="Z543" i="2"/>
  <c r="AA543" i="2"/>
  <c r="Y543" i="2"/>
  <c r="AL543" i="2" l="1"/>
  <c r="AG543" i="2" s="1"/>
  <c r="AM543" i="2"/>
  <c r="AJ543" i="2" s="1"/>
  <c r="AK543" i="2"/>
  <c r="AE543" i="2" s="1"/>
  <c r="AH543" i="2"/>
  <c r="AI543" i="2" l="1"/>
  <c r="AC543" i="2" s="1"/>
  <c r="AF543" i="2"/>
  <c r="AD543" i="2" s="1"/>
  <c r="Y544" i="2" l="1"/>
  <c r="AA544" i="2"/>
  <c r="AB544" i="2"/>
  <c r="Z544" i="2"/>
  <c r="AI544" i="2" l="1"/>
  <c r="AM544" i="2"/>
  <c r="AJ544" i="2" s="1"/>
  <c r="AK544" i="2"/>
  <c r="AF544" i="2" s="1"/>
  <c r="AL544" i="2"/>
  <c r="AG544" i="2" s="1"/>
  <c r="AE544" i="2" l="1"/>
  <c r="AC544" i="2" s="1"/>
  <c r="AH544" i="2"/>
  <c r="AD544" i="2" s="1"/>
  <c r="AB545" i="2" l="1"/>
  <c r="Z545" i="2"/>
  <c r="AA545" i="2"/>
  <c r="Y545" i="2"/>
  <c r="AK545" i="2" l="1"/>
  <c r="AF545" i="2" s="1"/>
  <c r="AL545" i="2"/>
  <c r="AH545" i="2" s="1"/>
  <c r="AM545" i="2"/>
  <c r="AJ545" i="2" s="1"/>
  <c r="AD545" i="2" l="1"/>
  <c r="AI545" i="2"/>
  <c r="AG545" i="2"/>
  <c r="AE545" i="2"/>
  <c r="AC545" i="2" l="1"/>
  <c r="Z546" i="2"/>
  <c r="AB546" i="2"/>
  <c r="AA546" i="2" l="1"/>
  <c r="Y546" i="2"/>
  <c r="AK546" i="2" l="1"/>
  <c r="AF546" i="2" s="1"/>
  <c r="AD546" i="2" s="1"/>
  <c r="AL546" i="2"/>
  <c r="AH546" i="2" s="1"/>
  <c r="AE546" i="2"/>
  <c r="AM546" i="2"/>
  <c r="AJ546" i="2" s="1"/>
  <c r="Z547" i="2" l="1"/>
  <c r="AB547" i="2"/>
  <c r="AI546" i="2"/>
  <c r="AG546" i="2"/>
  <c r="AC546" i="2" s="1"/>
  <c r="AA547" i="2" l="1"/>
  <c r="Y547" i="2"/>
  <c r="AL547" i="2" l="1"/>
  <c r="AH547" i="2" s="1"/>
  <c r="AM547" i="2"/>
  <c r="AJ547" i="2" s="1"/>
  <c r="AK547" i="2"/>
  <c r="AF547" i="2" s="1"/>
  <c r="AD547" i="2" l="1"/>
  <c r="AI547" i="2"/>
  <c r="AG547" i="2"/>
  <c r="AE547" i="2"/>
  <c r="AC547" i="2" s="1"/>
  <c r="Y548" i="2" l="1"/>
  <c r="AA548" i="2"/>
  <c r="AB548" i="2"/>
  <c r="Z548" i="2"/>
  <c r="AJ548" i="2" l="1"/>
  <c r="AH548" i="2"/>
  <c r="AI548" i="2"/>
  <c r="AM548" i="2"/>
  <c r="AG548" i="2"/>
  <c r="AK548" i="2"/>
  <c r="AF548" i="2" s="1"/>
  <c r="AD548" i="2" s="1"/>
  <c r="AL548" i="2"/>
  <c r="AB549" i="2" l="1"/>
  <c r="Z549" i="2"/>
  <c r="AE548" i="2"/>
  <c r="AC548" i="2" s="1"/>
  <c r="AA549" i="2" l="1"/>
  <c r="Y549" i="2"/>
  <c r="AK549" i="2" l="1"/>
  <c r="AF549" i="2" s="1"/>
  <c r="AL549" i="2"/>
  <c r="AH549" i="2" s="1"/>
  <c r="AM549" i="2"/>
  <c r="AJ549" i="2" s="1"/>
  <c r="AE549" i="2" l="1"/>
  <c r="AD549" i="2"/>
  <c r="AG549" i="2"/>
  <c r="AI549" i="2"/>
  <c r="Z550" i="2" l="1"/>
  <c r="AB550" i="2"/>
  <c r="AC549" i="2"/>
  <c r="Y550" i="2" l="1"/>
  <c r="AA550" i="2"/>
  <c r="AK550" i="2" l="1"/>
  <c r="AF550" i="2" s="1"/>
  <c r="AL550" i="2"/>
  <c r="AH550" i="2" s="1"/>
  <c r="AM550" i="2"/>
  <c r="AJ550" i="2" s="1"/>
  <c r="AI550" i="2" l="1"/>
  <c r="AG550" i="2"/>
  <c r="AD550" i="2"/>
  <c r="AE550" i="2"/>
  <c r="AC550" i="2" s="1"/>
  <c r="AA551" i="2" l="1"/>
  <c r="Y551" i="2"/>
  <c r="AB551" i="2"/>
  <c r="Z551" i="2"/>
  <c r="AJ551" i="2" l="1"/>
  <c r="AL551" i="2"/>
  <c r="AH551" i="2" s="1"/>
  <c r="AI551" i="2"/>
  <c r="AM551" i="2"/>
  <c r="AK551" i="2"/>
  <c r="AF551" i="2" s="1"/>
  <c r="AD551" i="2" s="1"/>
  <c r="AG551" i="2"/>
  <c r="AB552" i="2" l="1"/>
  <c r="Z552" i="2"/>
  <c r="AE551" i="2"/>
  <c r="AC551" i="2" s="1"/>
  <c r="AA552" i="2" l="1"/>
  <c r="Y552" i="2"/>
  <c r="AM552" i="2" l="1"/>
  <c r="AJ552" i="2" s="1"/>
  <c r="AK552" i="2"/>
  <c r="AF552" i="2" s="1"/>
  <c r="AD552" i="2" s="1"/>
  <c r="AL552" i="2"/>
  <c r="AH552" i="2" s="1"/>
  <c r="Z553" i="2" l="1"/>
  <c r="AB553" i="2"/>
  <c r="AI552" i="2"/>
  <c r="AG552" i="2"/>
  <c r="AE552" i="2"/>
  <c r="AC552" i="2" l="1"/>
  <c r="Y553" i="2" l="1"/>
  <c r="AA553" i="2"/>
  <c r="AG553" i="2" l="1"/>
  <c r="AK553" i="2"/>
  <c r="AF553" i="2" s="1"/>
  <c r="AD553" i="2" s="1"/>
  <c r="AL553" i="2"/>
  <c r="AH553" i="2" s="1"/>
  <c r="AM553" i="2"/>
  <c r="AJ553" i="2" s="1"/>
  <c r="AI553" i="2"/>
  <c r="AE553" i="2" l="1"/>
  <c r="AC553" i="2" s="1"/>
  <c r="AB554" i="2"/>
  <c r="Z554" i="2"/>
  <c r="AA554" i="2" l="1"/>
  <c r="Y554" i="2"/>
  <c r="AK554" i="2" l="1"/>
  <c r="AF554" i="2" s="1"/>
  <c r="AL554" i="2"/>
  <c r="AH554" i="2" s="1"/>
  <c r="AE554" i="2"/>
  <c r="AM554" i="2"/>
  <c r="AJ554" i="2" s="1"/>
  <c r="AD554" i="2" l="1"/>
  <c r="AI554" i="2"/>
  <c r="AG554" i="2"/>
  <c r="AC554" i="2" s="1"/>
  <c r="Y555" i="2" l="1"/>
  <c r="AA555" i="2"/>
  <c r="Z555" i="2"/>
  <c r="AB555" i="2"/>
  <c r="AJ555" i="2" l="1"/>
  <c r="AL555" i="2"/>
  <c r="AH555" i="2" s="1"/>
  <c r="AE555" i="2"/>
  <c r="AM555" i="2"/>
  <c r="AI555" i="2" s="1"/>
  <c r="AG555" i="2"/>
  <c r="AK555" i="2"/>
  <c r="AF555" i="2" s="1"/>
  <c r="AD555" i="2" s="1"/>
  <c r="AB556" i="2" l="1"/>
  <c r="Z556" i="2"/>
  <c r="AC555" i="2"/>
  <c r="AA556" i="2" l="1"/>
  <c r="Y556" i="2"/>
  <c r="AM556" i="2" l="1"/>
  <c r="AJ556" i="2" s="1"/>
  <c r="AK556" i="2"/>
  <c r="AF556" i="2" s="1"/>
  <c r="AL556" i="2"/>
  <c r="AH556" i="2" s="1"/>
  <c r="AD556" i="2" l="1"/>
  <c r="AI556" i="2"/>
  <c r="AG556" i="2"/>
  <c r="AE556" i="2"/>
  <c r="AC556" i="2" s="1"/>
  <c r="Y557" i="2" l="1"/>
  <c r="AA557" i="2"/>
  <c r="AB557" i="2"/>
  <c r="Z557" i="2"/>
  <c r="AK557" i="2" l="1"/>
  <c r="AF557" i="2" s="1"/>
  <c r="AL557" i="2"/>
  <c r="AG557" i="2" s="1"/>
  <c r="AM557" i="2"/>
  <c r="AJ557" i="2" s="1"/>
  <c r="AH557" i="2" l="1"/>
  <c r="AD557" i="2" s="1"/>
  <c r="AI557" i="2"/>
  <c r="AE557" i="2"/>
  <c r="AC557" i="2" s="1"/>
  <c r="AB558" i="2" l="1"/>
  <c r="Z558" i="2"/>
  <c r="AA558" i="2"/>
  <c r="Y558" i="2"/>
  <c r="AK558" i="2" l="1"/>
  <c r="AE558" i="2" s="1"/>
  <c r="AL558" i="2"/>
  <c r="AG558" i="2" s="1"/>
  <c r="AM558" i="2"/>
  <c r="AJ558" i="2" s="1"/>
  <c r="AF558" i="2" l="1"/>
  <c r="AH558" i="2"/>
  <c r="AI558" i="2"/>
  <c r="AC558" i="2" s="1"/>
  <c r="AA559" i="2" l="1"/>
  <c r="Y559" i="2"/>
  <c r="AD558" i="2"/>
  <c r="AB559" i="2" l="1"/>
  <c r="Z559" i="2"/>
  <c r="AL559" i="2"/>
  <c r="AM559" i="2"/>
  <c r="AI559" i="2" s="1"/>
  <c r="AG559" i="2"/>
  <c r="AH559" i="2" l="1"/>
  <c r="AJ559" i="2"/>
  <c r="AK559" i="2"/>
  <c r="AE559" i="2" s="1"/>
  <c r="AC559" i="2" s="1"/>
  <c r="AF559" i="2" l="1"/>
  <c r="AD559" i="2" s="1"/>
  <c r="AA560" i="2"/>
  <c r="Y560" i="2"/>
  <c r="AL560" i="2" l="1"/>
  <c r="AG560" i="2" s="1"/>
  <c r="AB560" i="2"/>
  <c r="Z560" i="2"/>
  <c r="AH560" i="2" l="1"/>
  <c r="AK560" i="2"/>
  <c r="AE560" i="2" s="1"/>
  <c r="AC560" i="2" s="1"/>
  <c r="AM560" i="2"/>
  <c r="AI560" i="2" s="1"/>
  <c r="AJ560" i="2" l="1"/>
  <c r="Y561" i="2"/>
  <c r="AA561" i="2"/>
  <c r="AF560" i="2"/>
  <c r="AD560" i="2" s="1"/>
  <c r="Z561" i="2" l="1"/>
  <c r="AB561" i="2"/>
  <c r="AK561" i="2"/>
  <c r="AL561" i="2"/>
  <c r="AG561" i="2" s="1"/>
  <c r="AE561" i="2"/>
  <c r="AM561" i="2"/>
  <c r="AI561" i="2" s="1"/>
  <c r="AC561" i="2" l="1"/>
  <c r="AF561" i="2"/>
  <c r="AJ561" i="2"/>
  <c r="AH561" i="2"/>
  <c r="AD561" i="2" l="1"/>
  <c r="AA562" i="2"/>
  <c r="Y562" i="2"/>
  <c r="AK562" i="2" l="1"/>
  <c r="AL562" i="2"/>
  <c r="AG562" i="2" s="1"/>
  <c r="AE562" i="2"/>
  <c r="AM562" i="2"/>
  <c r="AI562" i="2" s="1"/>
  <c r="Z562" i="2"/>
  <c r="AB562" i="2"/>
  <c r="AC562" i="2" l="1"/>
  <c r="AH562" i="2"/>
  <c r="AF562" i="2"/>
  <c r="AJ562" i="2"/>
  <c r="AD562" i="2" l="1"/>
  <c r="Y563" i="2"/>
  <c r="AA563" i="2"/>
  <c r="AK563" i="2" l="1"/>
  <c r="AE563" i="2" s="1"/>
  <c r="AB563" i="2"/>
  <c r="Z563" i="2"/>
  <c r="AF563" i="2" l="1"/>
  <c r="AL563" i="2"/>
  <c r="AG563" i="2" s="1"/>
  <c r="AC563" i="2" s="1"/>
  <c r="AM563" i="2"/>
  <c r="AI563" i="2" s="1"/>
  <c r="AA564" i="2" l="1"/>
  <c r="Y564" i="2"/>
  <c r="AJ563" i="2"/>
  <c r="AD563" i="2" s="1"/>
  <c r="AH563" i="2"/>
  <c r="Z564" i="2" l="1"/>
  <c r="AB564" i="2"/>
  <c r="AI564" i="2"/>
  <c r="AM564" i="2"/>
  <c r="AG564" i="2"/>
  <c r="AK564" i="2"/>
  <c r="AE564" i="2" s="1"/>
  <c r="AC564" i="2" s="1"/>
  <c r="AL564" i="2"/>
  <c r="AA565" i="2" l="1"/>
  <c r="Y565" i="2"/>
  <c r="AF564" i="2"/>
  <c r="AD564" i="2" s="1"/>
  <c r="Z565" i="2" s="1"/>
  <c r="AJ564" i="2"/>
  <c r="AH564" i="2"/>
  <c r="AH565" i="2" l="1"/>
  <c r="AB565" i="2"/>
  <c r="AG565" i="2"/>
  <c r="AK565" i="2"/>
  <c r="AF565" i="2" s="1"/>
  <c r="AD565" i="2" s="1"/>
  <c r="Z566" i="2" s="1"/>
  <c r="AL565" i="2"/>
  <c r="AM565" i="2"/>
  <c r="AJ565" i="2" s="1"/>
  <c r="AE565" i="2"/>
  <c r="AI565" i="2" l="1"/>
  <c r="AC565" i="2" s="1"/>
  <c r="AB566" i="2"/>
  <c r="AA566" i="2" l="1"/>
  <c r="Y566" i="2"/>
  <c r="AK566" i="2" l="1"/>
  <c r="AF566" i="2" s="1"/>
  <c r="AL566" i="2"/>
  <c r="AH566" i="2" s="1"/>
  <c r="AE566" i="2"/>
  <c r="AM566" i="2"/>
  <c r="AJ566" i="2" s="1"/>
  <c r="AD566" i="2" l="1"/>
  <c r="AI566" i="2"/>
  <c r="AG566" i="2"/>
  <c r="AC566" i="2" s="1"/>
  <c r="AA567" i="2" l="1"/>
  <c r="Y567" i="2"/>
  <c r="AB567" i="2"/>
  <c r="Z567" i="2"/>
  <c r="AJ567" i="2" l="1"/>
  <c r="AL567" i="2"/>
  <c r="AH567" i="2" s="1"/>
  <c r="AI567" i="2"/>
  <c r="AM567" i="2"/>
  <c r="AK567" i="2"/>
  <c r="AF567" i="2" s="1"/>
  <c r="AG567" i="2"/>
  <c r="AD567" i="2" l="1"/>
  <c r="AE567" i="2"/>
  <c r="AC567" i="2" s="1"/>
  <c r="AA568" i="2" l="1"/>
  <c r="Y568" i="2"/>
  <c r="AB568" i="2"/>
  <c r="Z568" i="2"/>
  <c r="AM568" i="2" l="1"/>
  <c r="AJ568" i="2" s="1"/>
  <c r="AK568" i="2"/>
  <c r="AF568" i="2" s="1"/>
  <c r="AL568" i="2"/>
  <c r="AG568" i="2" s="1"/>
  <c r="AH568" i="2" l="1"/>
  <c r="AD568" i="2" s="1"/>
  <c r="AI568" i="2"/>
  <c r="AE568" i="2"/>
  <c r="AC568" i="2" s="1"/>
  <c r="AB569" i="2" l="1"/>
  <c r="Z569" i="2"/>
  <c r="Y569" i="2"/>
  <c r="AA569" i="2"/>
  <c r="AJ569" i="2" l="1"/>
  <c r="AG569" i="2"/>
  <c r="AK569" i="2"/>
  <c r="AF569" i="2" s="1"/>
  <c r="AL569" i="2"/>
  <c r="AH569" i="2" s="1"/>
  <c r="AM569" i="2"/>
  <c r="AI569" i="2"/>
  <c r="AD569" i="2" l="1"/>
  <c r="AE569" i="2"/>
  <c r="AC569" i="2" s="1"/>
  <c r="AA570" i="2" l="1"/>
  <c r="Y570" i="2"/>
  <c r="AB570" i="2"/>
  <c r="Z570" i="2"/>
  <c r="AF570" i="2" l="1"/>
  <c r="AJ570" i="2"/>
  <c r="AK570" i="2"/>
  <c r="AL570" i="2"/>
  <c r="AG570" i="2" s="1"/>
  <c r="AE570" i="2"/>
  <c r="AM570" i="2"/>
  <c r="AI570" i="2" s="1"/>
  <c r="AC570" i="2" l="1"/>
  <c r="AH570" i="2"/>
  <c r="AD570" i="2" s="1"/>
  <c r="Z571" i="2" l="1"/>
  <c r="AB571" i="2"/>
  <c r="AA571" i="2"/>
  <c r="Y571" i="2"/>
  <c r="AL571" i="2" l="1"/>
  <c r="AM571" i="2"/>
  <c r="AI571" i="2" s="1"/>
  <c r="AG571" i="2"/>
  <c r="AK571" i="2"/>
  <c r="AE571" i="2" s="1"/>
  <c r="AC571" i="2" s="1"/>
  <c r="AH571" i="2"/>
  <c r="Y572" i="2" l="1"/>
  <c r="AA572" i="2"/>
  <c r="AJ571" i="2"/>
  <c r="AF571" i="2"/>
  <c r="AD571" i="2" s="1"/>
  <c r="Z572" i="2" l="1"/>
  <c r="AB572" i="2"/>
  <c r="AE572" i="2"/>
  <c r="AM572" i="2"/>
  <c r="AI572" i="2" s="1"/>
  <c r="AG572" i="2"/>
  <c r="AK572" i="2"/>
  <c r="AL572" i="2"/>
  <c r="AC572" i="2" l="1"/>
  <c r="AF572" i="2"/>
  <c r="AJ572" i="2"/>
  <c r="AH572" i="2"/>
  <c r="AD572" i="2" l="1"/>
  <c r="AA573" i="2"/>
  <c r="Y573" i="2"/>
  <c r="AK573" i="2" l="1"/>
  <c r="AE573" i="2" s="1"/>
  <c r="AM573" i="2"/>
  <c r="AI573" i="2" s="1"/>
  <c r="Z573" i="2"/>
  <c r="AB573" i="2"/>
  <c r="AC573" i="2" l="1"/>
  <c r="AF573" i="2"/>
  <c r="AJ573" i="2"/>
  <c r="AL573" i="2"/>
  <c r="AG573" i="2" s="1"/>
  <c r="AA574" i="2" l="1"/>
  <c r="Y574" i="2"/>
  <c r="AH573" i="2"/>
  <c r="AD573" i="2" s="1"/>
  <c r="AB574" i="2" l="1"/>
  <c r="Z574" i="2"/>
  <c r="AK574" i="2"/>
  <c r="AE574" i="2" s="1"/>
  <c r="AL574" i="2"/>
  <c r="AG574" i="2" s="1"/>
  <c r="AM574" i="2"/>
  <c r="AI574" i="2" s="1"/>
  <c r="AC574" i="2" l="1"/>
  <c r="AH574" i="2"/>
  <c r="AF574" i="2"/>
  <c r="AD574" i="2" s="1"/>
  <c r="Z575" i="2" s="1"/>
  <c r="AJ574" i="2"/>
  <c r="AB575" i="2" l="1"/>
  <c r="Y575" i="2"/>
  <c r="AA575" i="2"/>
  <c r="AL575" i="2" l="1"/>
  <c r="AH575" i="2" s="1"/>
  <c r="AI575" i="2"/>
  <c r="AM575" i="2"/>
  <c r="AJ575" i="2" s="1"/>
  <c r="AG575" i="2"/>
  <c r="AK575" i="2"/>
  <c r="AF575" i="2" s="1"/>
  <c r="AD575" i="2" s="1"/>
  <c r="Z576" i="2" s="1"/>
  <c r="AE575" i="2" l="1"/>
  <c r="AC575" i="2" s="1"/>
  <c r="AB576" i="2"/>
  <c r="AA576" i="2" l="1"/>
  <c r="Y576" i="2"/>
  <c r="AM576" i="2" l="1"/>
  <c r="AJ576" i="2" s="1"/>
  <c r="AK576" i="2"/>
  <c r="AF576" i="2" s="1"/>
  <c r="AL576" i="2"/>
  <c r="AH576" i="2" s="1"/>
  <c r="AD576" i="2" l="1"/>
  <c r="AI576" i="2"/>
  <c r="AG576" i="2"/>
  <c r="AE576" i="2"/>
  <c r="AC576" i="2" s="1"/>
  <c r="AA577" i="2" l="1"/>
  <c r="Y577" i="2"/>
  <c r="Z577" i="2"/>
  <c r="AB577" i="2"/>
  <c r="AK577" i="2" l="1"/>
  <c r="AF577" i="2" s="1"/>
  <c r="AL577" i="2"/>
  <c r="AG577" i="2" s="1"/>
  <c r="AM577" i="2"/>
  <c r="AJ577" i="2" s="1"/>
  <c r="AH577" i="2" l="1"/>
  <c r="AD577" i="2" s="1"/>
  <c r="AI577" i="2"/>
  <c r="AE577" i="2"/>
  <c r="AC577" i="2" s="1"/>
  <c r="Z578" i="2" l="1"/>
  <c r="AB578" i="2"/>
  <c r="Y578" i="2"/>
  <c r="AA578" i="2"/>
  <c r="AG578" i="2" l="1"/>
  <c r="AK578" i="2"/>
  <c r="AE578" i="2" s="1"/>
  <c r="AL578" i="2"/>
  <c r="AM578" i="2"/>
  <c r="AJ578" i="2" s="1"/>
  <c r="AH578" i="2"/>
  <c r="AF578" i="2"/>
  <c r="AD578" i="2" l="1"/>
  <c r="AI578" i="2"/>
  <c r="AC578" i="2" s="1"/>
  <c r="AA579" i="2" l="1"/>
  <c r="Y579" i="2"/>
  <c r="Z579" i="2"/>
  <c r="AB579" i="2"/>
  <c r="AL579" i="2" l="1"/>
  <c r="AH579" i="2" s="1"/>
  <c r="AI579" i="2"/>
  <c r="AM579" i="2"/>
  <c r="AG579" i="2"/>
  <c r="AK579" i="2"/>
  <c r="AF579" i="2" s="1"/>
  <c r="AD579" i="2" s="1"/>
  <c r="AJ579" i="2"/>
  <c r="AB580" i="2" l="1"/>
  <c r="Z580" i="2"/>
  <c r="AE579" i="2"/>
  <c r="AC579" i="2" s="1"/>
  <c r="AA580" i="2" l="1"/>
  <c r="Y580" i="2"/>
  <c r="AM580" i="2" l="1"/>
  <c r="AJ580" i="2" s="1"/>
  <c r="AK580" i="2"/>
  <c r="AF580" i="2" s="1"/>
  <c r="AL580" i="2"/>
  <c r="AH580" i="2" s="1"/>
  <c r="AD580" i="2" l="1"/>
  <c r="AI580" i="2"/>
  <c r="AG580" i="2"/>
  <c r="AE580" i="2"/>
  <c r="AC580" i="2" s="1"/>
  <c r="AA581" i="2" l="1"/>
  <c r="Y581" i="2"/>
  <c r="Z581" i="2"/>
  <c r="AB581" i="2"/>
  <c r="AK581" i="2" l="1"/>
  <c r="AF581" i="2" s="1"/>
  <c r="AL581" i="2"/>
  <c r="AG581" i="2" s="1"/>
  <c r="AM581" i="2"/>
  <c r="AI581" i="2" s="1"/>
  <c r="AH581" i="2" l="1"/>
  <c r="AD581" i="2" s="1"/>
  <c r="AE581" i="2"/>
  <c r="AC581" i="2" s="1"/>
  <c r="AJ581" i="2"/>
  <c r="Z582" i="2" l="1"/>
  <c r="AB582" i="2"/>
  <c r="Y582" i="2"/>
  <c r="AA582" i="2"/>
  <c r="AK582" i="2" l="1"/>
  <c r="AF582" i="2" s="1"/>
  <c r="AL582" i="2"/>
  <c r="AG582" i="2" s="1"/>
  <c r="AE582" i="2"/>
  <c r="AM582" i="2"/>
  <c r="AI582" i="2" s="1"/>
  <c r="AJ582" i="2"/>
  <c r="AC582" i="2" l="1"/>
  <c r="AH582" i="2"/>
  <c r="AD582" i="2" s="1"/>
  <c r="Z583" i="2" l="1"/>
  <c r="AB583" i="2"/>
  <c r="AA583" i="2"/>
  <c r="Y583" i="2"/>
  <c r="AL583" i="2" l="1"/>
  <c r="AG583" i="2" s="1"/>
  <c r="AM583" i="2"/>
  <c r="AI583" i="2" s="1"/>
  <c r="AK583" i="2"/>
  <c r="AE583" i="2" s="1"/>
  <c r="AH583" i="2"/>
  <c r="AC583" i="2" l="1"/>
  <c r="AJ583" i="2"/>
  <c r="AF583" i="2"/>
  <c r="AD583" i="2" l="1"/>
  <c r="AA584" i="2"/>
  <c r="Y584" i="2"/>
  <c r="AB584" i="2" l="1"/>
  <c r="Z584" i="2"/>
  <c r="AK584" i="2" s="1"/>
  <c r="AE584" i="2" s="1"/>
  <c r="AL584" i="2" l="1"/>
  <c r="AG584" i="2" s="1"/>
  <c r="AC584" i="2" s="1"/>
  <c r="AM584" i="2"/>
  <c r="AI584" i="2" s="1"/>
  <c r="AF584" i="2"/>
  <c r="AH584" i="2"/>
  <c r="Y585" i="2" l="1"/>
  <c r="AA585" i="2"/>
  <c r="AJ584" i="2"/>
  <c r="AD584" i="2" s="1"/>
  <c r="AB585" i="2" l="1"/>
  <c r="Z585" i="2"/>
  <c r="AL585" i="2"/>
  <c r="AG585" i="2" s="1"/>
  <c r="AM585" i="2"/>
  <c r="AI585" i="2" s="1"/>
  <c r="AJ585" i="2" l="1"/>
  <c r="AH585" i="2"/>
  <c r="AK585" i="2"/>
  <c r="AE585" i="2" s="1"/>
  <c r="AC585" i="2" s="1"/>
  <c r="Y586" i="2" l="1"/>
  <c r="AA586" i="2"/>
  <c r="AF585" i="2"/>
  <c r="AD585" i="2" s="1"/>
  <c r="AB586" i="2" l="1"/>
  <c r="Z586" i="2"/>
  <c r="AJ586" i="2" l="1"/>
  <c r="AL586" i="2"/>
  <c r="AG586" i="2" s="1"/>
  <c r="AM586" i="2"/>
  <c r="AI586" i="2" s="1"/>
  <c r="AK586" i="2"/>
  <c r="AE586" i="2" s="1"/>
  <c r="AC586" i="2" s="1"/>
  <c r="Y587" i="2" l="1"/>
  <c r="AA587" i="2"/>
  <c r="AF586" i="2"/>
  <c r="AH586" i="2"/>
  <c r="AD586" i="2" l="1"/>
  <c r="Z587" i="2" l="1"/>
  <c r="AB587" i="2"/>
  <c r="AK587" i="2" l="1"/>
  <c r="AE587" i="2" s="1"/>
  <c r="AM587" i="2"/>
  <c r="AI587" i="2" s="1"/>
  <c r="AL587" i="2"/>
  <c r="AG587" i="2" s="1"/>
  <c r="AJ587" i="2" l="1"/>
  <c r="AF587" i="2"/>
  <c r="AD587" i="2" s="1"/>
  <c r="AH587" i="2"/>
  <c r="AC587" i="2"/>
  <c r="AA588" i="2" l="1"/>
  <c r="Y588" i="2"/>
  <c r="AB588" i="2"/>
  <c r="Z588" i="2"/>
  <c r="AM588" i="2" l="1"/>
  <c r="AJ588" i="2" s="1"/>
  <c r="AK588" i="2"/>
  <c r="AF588" i="2" s="1"/>
  <c r="AL588" i="2"/>
  <c r="AG588" i="2" s="1"/>
  <c r="AI588" i="2" l="1"/>
  <c r="AE588" i="2"/>
  <c r="AC588" i="2" s="1"/>
  <c r="AH588" i="2"/>
  <c r="AD588" i="2" s="1"/>
  <c r="AB589" i="2" l="1"/>
  <c r="Z589" i="2"/>
  <c r="Y589" i="2"/>
  <c r="AA589" i="2"/>
  <c r="AK589" i="2" l="1"/>
  <c r="AE589" i="2" s="1"/>
  <c r="AL589" i="2"/>
  <c r="AH589" i="2" s="1"/>
  <c r="AM589" i="2"/>
  <c r="AJ589" i="2" s="1"/>
  <c r="AI589" i="2" l="1"/>
  <c r="AG589" i="2"/>
  <c r="AC589" i="2" s="1"/>
  <c r="AF589" i="2"/>
  <c r="AD589" i="2" s="1"/>
  <c r="Y590" i="2" l="1"/>
  <c r="AA590" i="2"/>
  <c r="AB590" i="2"/>
  <c r="Z590" i="2"/>
  <c r="AH590" i="2" l="1"/>
  <c r="AK590" i="2"/>
  <c r="AF590" i="2" s="1"/>
  <c r="AL590" i="2"/>
  <c r="AG590" i="2" s="1"/>
  <c r="AE590" i="2"/>
  <c r="AM590" i="2"/>
  <c r="AI590" i="2" s="1"/>
  <c r="AC590" i="2" l="1"/>
  <c r="AJ590" i="2"/>
  <c r="AD590" i="2" s="1"/>
  <c r="Z591" i="2" l="1"/>
  <c r="AB591" i="2"/>
  <c r="Y591" i="2"/>
  <c r="AA591" i="2"/>
  <c r="AL591" i="2" l="1"/>
  <c r="AE591" i="2"/>
  <c r="AM591" i="2"/>
  <c r="AI591" i="2" s="1"/>
  <c r="AG591" i="2"/>
  <c r="AK591" i="2"/>
  <c r="AH591" i="2"/>
  <c r="AF591" i="2"/>
  <c r="AJ591" i="2"/>
  <c r="AD591" i="2" l="1"/>
  <c r="AC591" i="2"/>
  <c r="AA592" i="2" l="1"/>
  <c r="Y592" i="2"/>
  <c r="Z592" i="2"/>
  <c r="AB592" i="2"/>
  <c r="AM592" i="2" l="1"/>
  <c r="AJ592" i="2" s="1"/>
  <c r="AK592" i="2"/>
  <c r="AF592" i="2" s="1"/>
  <c r="AL592" i="2"/>
  <c r="AG592" i="2" s="1"/>
  <c r="AI592" i="2" l="1"/>
  <c r="AH592" i="2"/>
  <c r="AD592" i="2" s="1"/>
  <c r="AE592" i="2"/>
  <c r="AC592" i="2" s="1"/>
  <c r="AB593" i="2" l="1"/>
  <c r="Z593" i="2"/>
  <c r="Y593" i="2"/>
  <c r="AA593" i="2"/>
  <c r="AK593" i="2" l="1"/>
  <c r="AE593" i="2" s="1"/>
  <c r="AL593" i="2"/>
  <c r="AG593" i="2" s="1"/>
  <c r="AM593" i="2"/>
  <c r="AJ593" i="2" s="1"/>
  <c r="AF593" i="2"/>
  <c r="AH593" i="2" l="1"/>
  <c r="AD593" i="2" s="1"/>
  <c r="AI593" i="2"/>
  <c r="AC593" i="2" s="1"/>
  <c r="Y594" i="2" l="1"/>
  <c r="AA594" i="2"/>
  <c r="AB594" i="2"/>
  <c r="Z594" i="2"/>
  <c r="AG594" i="2" l="1"/>
  <c r="AK594" i="2"/>
  <c r="AE594" i="2" s="1"/>
  <c r="AL594" i="2"/>
  <c r="AH594" i="2" s="1"/>
  <c r="AM594" i="2"/>
  <c r="AI594" i="2" s="1"/>
  <c r="AC594" i="2" l="1"/>
  <c r="AF594" i="2"/>
  <c r="AJ594" i="2"/>
  <c r="AD594" i="2" l="1"/>
  <c r="Y595" i="2"/>
  <c r="AA595" i="2"/>
  <c r="AL595" i="2" l="1"/>
  <c r="AG595" i="2"/>
  <c r="AK595" i="2"/>
  <c r="AE595" i="2" s="1"/>
  <c r="Z595" i="2"/>
  <c r="AB595" i="2"/>
  <c r="AH595" i="2" l="1"/>
  <c r="AF595" i="2"/>
  <c r="AM595" i="2"/>
  <c r="AI595" i="2" s="1"/>
  <c r="AC595" i="2" s="1"/>
  <c r="AA596" i="2" l="1"/>
  <c r="Y596" i="2"/>
  <c r="AJ595" i="2"/>
  <c r="AD595" i="2" s="1"/>
  <c r="AB596" i="2" l="1"/>
  <c r="Z596" i="2"/>
  <c r="AK596" i="2" s="1"/>
  <c r="AE596" i="2" s="1"/>
  <c r="AF596" i="2" l="1"/>
  <c r="AL596" i="2"/>
  <c r="AG596" i="2" s="1"/>
  <c r="AC596" i="2" s="1"/>
  <c r="AM596" i="2"/>
  <c r="AI596" i="2" s="1"/>
  <c r="Y597" i="2" l="1"/>
  <c r="AA597" i="2"/>
  <c r="AJ596" i="2"/>
  <c r="AD596" i="2"/>
  <c r="AH596" i="2"/>
  <c r="AB597" i="2" l="1"/>
  <c r="Z597" i="2"/>
  <c r="AL597" i="2" s="1"/>
  <c r="AG597" i="2" s="1"/>
  <c r="AM597" i="2" l="1"/>
  <c r="AI597" i="2" s="1"/>
  <c r="AK597" i="2"/>
  <c r="AE597" i="2" s="1"/>
  <c r="AC597" i="2" s="1"/>
  <c r="AJ597" i="2"/>
  <c r="AH597" i="2"/>
  <c r="AF597" i="2" l="1"/>
  <c r="AD597" i="2" s="1"/>
  <c r="AA598" i="2"/>
  <c r="Y598" i="2"/>
  <c r="AB598" i="2" l="1"/>
  <c r="Z598" i="2"/>
  <c r="AL598" i="2" s="1"/>
  <c r="AG598" i="2" s="1"/>
  <c r="AM598" i="2" l="1"/>
  <c r="AI598" i="2" s="1"/>
  <c r="AH598" i="2"/>
  <c r="AK598" i="2"/>
  <c r="AE598" i="2" s="1"/>
  <c r="AC598" i="2" s="1"/>
  <c r="AF598" i="2" l="1"/>
  <c r="AJ598" i="2"/>
  <c r="Y599" i="2"/>
  <c r="AA599" i="2"/>
  <c r="AD598" i="2" l="1"/>
  <c r="Z599" i="2" l="1"/>
  <c r="AB599" i="2"/>
  <c r="AJ599" i="2" l="1"/>
  <c r="AM599" i="2"/>
  <c r="AI599" i="2" s="1"/>
  <c r="AL599" i="2"/>
  <c r="AG599" i="2" s="1"/>
  <c r="AK599" i="2"/>
  <c r="AE599" i="2" s="1"/>
  <c r="AC599" i="2" s="1"/>
  <c r="AA600" i="2" l="1"/>
  <c r="Y600" i="2"/>
  <c r="AF599" i="2"/>
  <c r="AH599" i="2"/>
  <c r="AD599" i="2" l="1"/>
  <c r="AB600" i="2" l="1"/>
  <c r="Z600" i="2"/>
  <c r="AH600" i="2" l="1"/>
  <c r="AL600" i="2"/>
  <c r="AG600" i="2" s="1"/>
  <c r="AM600" i="2"/>
  <c r="AI600" i="2" s="1"/>
  <c r="AK600" i="2"/>
  <c r="AE600" i="2" s="1"/>
  <c r="AC600" i="2" l="1"/>
  <c r="AJ600" i="2"/>
  <c r="AF600" i="2"/>
  <c r="AD600" i="2" s="1"/>
  <c r="Z601" i="2" l="1"/>
  <c r="AB601" i="2"/>
  <c r="Y601" i="2"/>
  <c r="AA601" i="2"/>
  <c r="AK601" i="2" l="1"/>
  <c r="AE601" i="2" s="1"/>
  <c r="AL601" i="2"/>
  <c r="AH601" i="2" s="1"/>
  <c r="AM601" i="2"/>
  <c r="AI601" i="2"/>
  <c r="AJ601" i="2"/>
  <c r="AF601" i="2" l="1"/>
  <c r="AD601" i="2" s="1"/>
  <c r="AG601" i="2"/>
  <c r="AC601" i="2" s="1"/>
  <c r="Y602" i="2" l="1"/>
  <c r="AA602" i="2"/>
  <c r="AB602" i="2"/>
  <c r="Z602" i="2"/>
  <c r="AK602" i="2" l="1"/>
  <c r="AE602" i="2" s="1"/>
  <c r="AL602" i="2"/>
  <c r="AH602" i="2" s="1"/>
  <c r="AM602" i="2"/>
  <c r="AJ602" i="2" s="1"/>
  <c r="AF602" i="2" l="1"/>
  <c r="AD602" i="2" s="1"/>
  <c r="AI602" i="2"/>
  <c r="AG602" i="2"/>
  <c r="AC602" i="2" s="1"/>
  <c r="Y603" i="2" l="1"/>
  <c r="AA603" i="2"/>
  <c r="AB603" i="2"/>
  <c r="Z603" i="2"/>
  <c r="AF603" i="2" l="1"/>
  <c r="AL603" i="2"/>
  <c r="AG603" i="2" s="1"/>
  <c r="AE603" i="2"/>
  <c r="AM603" i="2"/>
  <c r="AJ603" i="2" s="1"/>
  <c r="AK603" i="2"/>
  <c r="AH603" i="2" l="1"/>
  <c r="AD603" i="2" s="1"/>
  <c r="AI603" i="2"/>
  <c r="AC603" i="2" s="1"/>
  <c r="AA604" i="2" l="1"/>
  <c r="Y604" i="2"/>
  <c r="AB604" i="2"/>
  <c r="Z604" i="2"/>
  <c r="AM604" i="2" l="1"/>
  <c r="AI604" i="2" s="1"/>
  <c r="AK604" i="2"/>
  <c r="AF604" i="2" s="1"/>
  <c r="AL604" i="2"/>
  <c r="AG604" i="2" s="1"/>
  <c r="AH604" i="2" l="1"/>
  <c r="AD604" i="2" s="1"/>
  <c r="AJ604" i="2"/>
  <c r="AE604" i="2"/>
  <c r="AC604" i="2" s="1"/>
  <c r="Z605" i="2" l="1"/>
  <c r="AB605" i="2"/>
  <c r="AA605" i="2"/>
  <c r="Y605" i="2"/>
  <c r="AK605" i="2" l="1"/>
  <c r="AE605" i="2" s="1"/>
  <c r="AL605" i="2"/>
  <c r="AG605" i="2" s="1"/>
  <c r="AM605" i="2"/>
  <c r="AJ605" i="2" s="1"/>
  <c r="AF605" i="2"/>
  <c r="AH605" i="2"/>
  <c r="AI605" i="2" l="1"/>
  <c r="AC605" i="2" s="1"/>
  <c r="AD605" i="2"/>
  <c r="AA606" i="2" l="1"/>
  <c r="Y606" i="2"/>
  <c r="AB606" i="2"/>
  <c r="Z606" i="2"/>
  <c r="AK606" i="2" l="1"/>
  <c r="AE606" i="2" s="1"/>
  <c r="AL606" i="2"/>
  <c r="AG606" i="2" s="1"/>
  <c r="AM606" i="2"/>
  <c r="AI606" i="2" s="1"/>
  <c r="AC606" i="2" l="1"/>
  <c r="AJ606" i="2"/>
  <c r="AF606" i="2"/>
  <c r="AH606" i="2"/>
  <c r="AD606" i="2" l="1"/>
  <c r="AA607" i="2"/>
  <c r="Y607" i="2"/>
  <c r="AM607" i="2" l="1"/>
  <c r="AI607" i="2" s="1"/>
  <c r="AK607" i="2"/>
  <c r="AE607" i="2" s="1"/>
  <c r="Z607" i="2"/>
  <c r="AB607" i="2"/>
  <c r="AF607" i="2" l="1"/>
  <c r="AJ607" i="2"/>
  <c r="AL607" i="2"/>
  <c r="AG607" i="2" s="1"/>
  <c r="AC607" i="2" s="1"/>
  <c r="Y608" i="2" l="1"/>
  <c r="AA608" i="2"/>
  <c r="AH607" i="2"/>
  <c r="AD607" i="2" s="1"/>
  <c r="AB608" i="2" l="1"/>
  <c r="Z608" i="2"/>
  <c r="AM608" i="2"/>
  <c r="AI608" i="2" s="1"/>
  <c r="AK608" i="2"/>
  <c r="AE608" i="2" s="1"/>
  <c r="AC608" i="2" s="1"/>
  <c r="AL608" i="2"/>
  <c r="AG608" i="2" s="1"/>
  <c r="AA609" i="2" l="1"/>
  <c r="Y609" i="2"/>
  <c r="AF608" i="2"/>
  <c r="AJ608" i="2"/>
  <c r="AH608" i="2"/>
  <c r="AD608" i="2" l="1"/>
  <c r="Z609" i="2" l="1"/>
  <c r="AB609" i="2"/>
  <c r="AL609" i="2" l="1"/>
  <c r="AG609" i="2" s="1"/>
  <c r="AM609" i="2"/>
  <c r="AI609" i="2" s="1"/>
  <c r="AK609" i="2"/>
  <c r="AE609" i="2" s="1"/>
  <c r="AC609" i="2" s="1"/>
  <c r="AA610" i="2" l="1"/>
  <c r="Y610" i="2"/>
  <c r="AJ609" i="2"/>
  <c r="AF609" i="2"/>
  <c r="AD609" i="2" s="1"/>
  <c r="AH609" i="2"/>
  <c r="AK610" i="2" l="1"/>
  <c r="AL610" i="2"/>
  <c r="AG610" i="2" s="1"/>
  <c r="AE610" i="2"/>
  <c r="AM610" i="2"/>
  <c r="AI610" i="2" s="1"/>
  <c r="AB610" i="2"/>
  <c r="Z610" i="2"/>
  <c r="AC610" i="2" l="1"/>
  <c r="AH610" i="2"/>
  <c r="AF610" i="2"/>
  <c r="AJ610" i="2"/>
  <c r="AA611" i="2" l="1"/>
  <c r="Y611" i="2"/>
  <c r="AD610" i="2"/>
  <c r="AB611" i="2" l="1"/>
  <c r="Z611" i="2"/>
  <c r="AJ611" i="2" l="1"/>
  <c r="AL611" i="2"/>
  <c r="AG611" i="2" s="1"/>
  <c r="AM611" i="2"/>
  <c r="AI611" i="2" s="1"/>
  <c r="AK611" i="2"/>
  <c r="AE611" i="2" s="1"/>
  <c r="AC611" i="2" s="1"/>
  <c r="AA612" i="2" l="1"/>
  <c r="Y612" i="2"/>
  <c r="AF611" i="2"/>
  <c r="AH611" i="2"/>
  <c r="AD611" i="2" l="1"/>
  <c r="Z612" i="2" l="1"/>
  <c r="AB612" i="2"/>
  <c r="AK612" i="2" l="1"/>
  <c r="AE612" i="2" s="1"/>
  <c r="AM612" i="2"/>
  <c r="AI612" i="2" s="1"/>
  <c r="AL612" i="2"/>
  <c r="AG612" i="2" s="1"/>
  <c r="AJ612" i="2" l="1"/>
  <c r="AC612" i="2"/>
  <c r="AF612" i="2"/>
  <c r="AH612" i="2"/>
  <c r="AD612" i="2" l="1"/>
  <c r="Y613" i="2"/>
  <c r="AA613" i="2"/>
  <c r="AK613" i="2" l="1"/>
  <c r="AE613" i="2" s="1"/>
  <c r="AM613" i="2"/>
  <c r="AI613" i="2" s="1"/>
  <c r="AB613" i="2"/>
  <c r="Z613" i="2"/>
  <c r="AF613" i="2" l="1"/>
  <c r="AJ613" i="2"/>
  <c r="AL613" i="2"/>
  <c r="AG613" i="2" s="1"/>
  <c r="AC613" i="2" s="1"/>
  <c r="AA614" i="2" l="1"/>
  <c r="Y614" i="2"/>
  <c r="AH613" i="2"/>
  <c r="AD613" i="2" s="1"/>
  <c r="AB614" i="2" l="1"/>
  <c r="Z614" i="2"/>
  <c r="AK614" i="2"/>
  <c r="AE614" i="2" s="1"/>
  <c r="AM614" i="2"/>
  <c r="AI614" i="2" s="1"/>
  <c r="AJ614" i="2" l="1"/>
  <c r="AF614" i="2"/>
  <c r="AL614" i="2"/>
  <c r="AG614" i="2" s="1"/>
  <c r="AC614" i="2" s="1"/>
  <c r="Y615" i="2" l="1"/>
  <c r="AA615" i="2"/>
  <c r="AH614" i="2"/>
  <c r="AD614" i="2"/>
  <c r="AB615" i="2" l="1"/>
  <c r="Z615" i="2"/>
  <c r="AL615" i="2"/>
  <c r="AG615" i="2" s="1"/>
  <c r="AM615" i="2"/>
  <c r="AI615" i="2" s="1"/>
  <c r="AH615" i="2" l="1"/>
  <c r="AJ615" i="2"/>
  <c r="AK615" i="2"/>
  <c r="AE615" i="2" s="1"/>
  <c r="AC615" i="2" s="1"/>
  <c r="AF615" i="2" l="1"/>
  <c r="AD615" i="2" s="1"/>
  <c r="AA616" i="2"/>
  <c r="Y616" i="2"/>
  <c r="AM616" i="2" l="1"/>
  <c r="AI616" i="2" s="1"/>
  <c r="AK616" i="2"/>
  <c r="AE616" i="2" s="1"/>
  <c r="AC616" i="2" s="1"/>
  <c r="AL616" i="2"/>
  <c r="AG616" i="2" s="1"/>
  <c r="Z616" i="2"/>
  <c r="AB616" i="2"/>
  <c r="AA617" i="2" l="1"/>
  <c r="Y617" i="2"/>
  <c r="AF616" i="2"/>
  <c r="AD616" i="2" s="1"/>
  <c r="Z617" i="2" s="1"/>
  <c r="AJ616" i="2"/>
  <c r="AH616" i="2"/>
  <c r="AB617" i="2" l="1"/>
  <c r="AK617" i="2"/>
  <c r="AF617" i="2" s="1"/>
  <c r="AL617" i="2"/>
  <c r="AG617" i="2" s="1"/>
  <c r="AM617" i="2"/>
  <c r="AJ617" i="2" s="1"/>
  <c r="AI617" i="2" l="1"/>
  <c r="AH617" i="2"/>
  <c r="AD617" i="2" s="1"/>
  <c r="AE617" i="2"/>
  <c r="AB618" i="2" l="1"/>
  <c r="Z618" i="2"/>
  <c r="AC617" i="2"/>
  <c r="AA618" i="2" l="1"/>
  <c r="Y618" i="2"/>
  <c r="AK618" i="2" l="1"/>
  <c r="AF618" i="2" s="1"/>
  <c r="AL618" i="2"/>
  <c r="AH618" i="2" s="1"/>
  <c r="AE618" i="2"/>
  <c r="AM618" i="2"/>
  <c r="AJ618" i="2" s="1"/>
  <c r="AD618" i="2" l="1"/>
  <c r="AI618" i="2"/>
  <c r="AG618" i="2"/>
  <c r="AC618" i="2" s="1"/>
  <c r="Y619" i="2" l="1"/>
  <c r="AA619" i="2"/>
  <c r="Z619" i="2"/>
  <c r="AB619" i="2"/>
  <c r="AL619" i="2" l="1"/>
  <c r="AH619" i="2" s="1"/>
  <c r="AE619" i="2"/>
  <c r="AM619" i="2"/>
  <c r="AI619" i="2" s="1"/>
  <c r="AG619" i="2"/>
  <c r="AK619" i="2"/>
  <c r="AF619" i="2" s="1"/>
  <c r="AC619" i="2" l="1"/>
  <c r="AJ619" i="2"/>
  <c r="AD619" i="2" s="1"/>
  <c r="AB620" i="2" l="1"/>
  <c r="Z620" i="2"/>
  <c r="Y620" i="2"/>
  <c r="AA620" i="2"/>
  <c r="AM620" i="2" l="1"/>
  <c r="AJ620" i="2" s="1"/>
  <c r="AK620" i="2"/>
  <c r="AF620" i="2" s="1"/>
  <c r="AL620" i="2"/>
  <c r="AG620" i="2" s="1"/>
  <c r="AH620" i="2" l="1"/>
  <c r="AD620" i="2" s="1"/>
  <c r="AI620" i="2"/>
  <c r="AE620" i="2"/>
  <c r="AC620" i="2" s="1"/>
  <c r="AB621" i="2" l="1"/>
  <c r="Z621" i="2"/>
  <c r="AA621" i="2"/>
  <c r="Y621" i="2"/>
  <c r="AK621" i="2" l="1"/>
  <c r="AF621" i="2" s="1"/>
  <c r="AL621" i="2"/>
  <c r="AH621" i="2" s="1"/>
  <c r="AM621" i="2"/>
  <c r="AJ621" i="2" s="1"/>
  <c r="AD621" i="2" l="1"/>
  <c r="AI621" i="2"/>
  <c r="AG621" i="2"/>
  <c r="AE621" i="2"/>
  <c r="AC621" i="2" s="1"/>
  <c r="AA622" i="2" l="1"/>
  <c r="Y622" i="2"/>
  <c r="AB622" i="2"/>
  <c r="Z622" i="2"/>
  <c r="AK622" i="2" l="1"/>
  <c r="AE622" i="2" s="1"/>
  <c r="AL622" i="2"/>
  <c r="AG622" i="2" s="1"/>
  <c r="AM622" i="2"/>
  <c r="AI622" i="2" s="1"/>
  <c r="AC622" i="2" l="1"/>
  <c r="AJ622" i="2"/>
  <c r="AF622" i="2"/>
  <c r="AH622" i="2"/>
  <c r="AD622" i="2" l="1"/>
  <c r="AA623" i="2"/>
  <c r="Y623" i="2"/>
  <c r="AK623" i="2" l="1"/>
  <c r="AE623" i="2" s="1"/>
  <c r="Z623" i="2"/>
  <c r="AL623" i="2" s="1"/>
  <c r="AG623" i="2" s="1"/>
  <c r="AB623" i="2"/>
  <c r="AH623" i="2" l="1"/>
  <c r="AF623" i="2"/>
  <c r="AM623" i="2"/>
  <c r="AI623" i="2" s="1"/>
  <c r="AC623" i="2" s="1"/>
  <c r="AA624" i="2" l="1"/>
  <c r="Y624" i="2"/>
  <c r="AJ623" i="2"/>
  <c r="AD623" i="2" s="1"/>
  <c r="AB624" i="2" l="1"/>
  <c r="Z624" i="2"/>
  <c r="AK624" i="2"/>
  <c r="AE624" i="2" s="1"/>
  <c r="AF624" i="2" l="1"/>
  <c r="AL624" i="2"/>
  <c r="AG624" i="2" s="1"/>
  <c r="AC624" i="2" s="1"/>
  <c r="AM624" i="2"/>
  <c r="AI624" i="2" s="1"/>
  <c r="Y625" i="2" l="1"/>
  <c r="AA625" i="2"/>
  <c r="AJ624" i="2"/>
  <c r="AH624" i="2"/>
  <c r="AD624" i="2" s="1"/>
  <c r="Z625" i="2" l="1"/>
  <c r="AB625" i="2"/>
  <c r="AK625" i="2"/>
  <c r="AL625" i="2"/>
  <c r="AG625" i="2" s="1"/>
  <c r="AE625" i="2"/>
  <c r="AM625" i="2"/>
  <c r="AI625" i="2" s="1"/>
  <c r="AC625" i="2" l="1"/>
  <c r="AF625" i="2"/>
  <c r="AD625" i="2" s="1"/>
  <c r="AB626" i="2" s="1"/>
  <c r="AJ625" i="2"/>
  <c r="AH625" i="2"/>
  <c r="Y626" i="2" l="1"/>
  <c r="AA626" i="2"/>
  <c r="Z626" i="2"/>
  <c r="AJ626" i="2" l="1"/>
  <c r="AK626" i="2"/>
  <c r="AE626" i="2" s="1"/>
  <c r="AL626" i="2"/>
  <c r="AG626" i="2" s="1"/>
  <c r="AM626" i="2"/>
  <c r="AI626" i="2" s="1"/>
  <c r="AC626" i="2" l="1"/>
  <c r="AH626" i="2"/>
  <c r="AF626" i="2"/>
  <c r="AD626" i="2" s="1"/>
  <c r="AB627" i="2" l="1"/>
  <c r="Z627" i="2"/>
  <c r="AA627" i="2"/>
  <c r="Y627" i="2"/>
  <c r="AL627" i="2" l="1"/>
  <c r="AG627" i="2" s="1"/>
  <c r="AM627" i="2"/>
  <c r="AJ627" i="2" s="1"/>
  <c r="AK627" i="2"/>
  <c r="AE627" i="2" s="1"/>
  <c r="AH627" i="2"/>
  <c r="AF627" i="2"/>
  <c r="AI627" i="2" l="1"/>
  <c r="AC627" i="2" s="1"/>
  <c r="AD627" i="2"/>
  <c r="Y628" i="2" l="1"/>
  <c r="AA628" i="2"/>
  <c r="AB628" i="2"/>
  <c r="Z628" i="2"/>
  <c r="AI628" i="2" l="1"/>
  <c r="AM628" i="2"/>
  <c r="AJ628" i="2" s="1"/>
  <c r="AK628" i="2"/>
  <c r="AF628" i="2" s="1"/>
  <c r="AL628" i="2"/>
  <c r="AG628" i="2" s="1"/>
  <c r="AH628" i="2" l="1"/>
  <c r="AD628" i="2" s="1"/>
  <c r="AE628" i="2"/>
  <c r="AC628" i="2" s="1"/>
  <c r="AB629" i="2" l="1"/>
  <c r="Z629" i="2"/>
  <c r="AA629" i="2"/>
  <c r="Y629" i="2"/>
  <c r="AK629" i="2" l="1"/>
  <c r="AF629" i="2" s="1"/>
  <c r="AL629" i="2"/>
  <c r="AG629" i="2" s="1"/>
  <c r="AM629" i="2"/>
  <c r="AI629" i="2" s="1"/>
  <c r="AE629" i="2"/>
  <c r="AH629" i="2" l="1"/>
  <c r="AD629" i="2" s="1"/>
  <c r="AJ629" i="2"/>
  <c r="AC629" i="2"/>
  <c r="AB630" i="2" l="1"/>
  <c r="Z630" i="2"/>
  <c r="Y630" i="2"/>
  <c r="AA630" i="2"/>
  <c r="AK630" i="2" l="1"/>
  <c r="AL630" i="2"/>
  <c r="AG630" i="2" s="1"/>
  <c r="AE630" i="2"/>
  <c r="AM630" i="2"/>
  <c r="AI630" i="2" s="1"/>
  <c r="AF630" i="2"/>
  <c r="AC630" i="2" l="1"/>
  <c r="AJ630" i="2"/>
  <c r="AH630" i="2"/>
  <c r="AD630" i="2" s="1"/>
  <c r="AB631" i="2" l="1"/>
  <c r="Z631" i="2"/>
  <c r="AA631" i="2"/>
  <c r="Y631" i="2"/>
  <c r="AL631" i="2" l="1"/>
  <c r="AM631" i="2"/>
  <c r="AJ631" i="2" s="1"/>
  <c r="AK631" i="2"/>
  <c r="AF631" i="2" s="1"/>
  <c r="AD631" i="2" s="1"/>
  <c r="AG631" i="2"/>
  <c r="AH631" i="2"/>
  <c r="AB632" i="2" l="1"/>
  <c r="Z632" i="2"/>
  <c r="AI631" i="2"/>
  <c r="AE631" i="2"/>
  <c r="AC631" i="2" s="1"/>
  <c r="Y632" i="2" l="1"/>
  <c r="AA632" i="2"/>
  <c r="AM632" i="2" l="1"/>
  <c r="AJ632" i="2" s="1"/>
  <c r="AK632" i="2"/>
  <c r="AF632" i="2" s="1"/>
  <c r="AL632" i="2"/>
  <c r="AH632" i="2" s="1"/>
  <c r="AI632" i="2" l="1"/>
  <c r="AE632" i="2"/>
  <c r="AD632" i="2"/>
  <c r="AG632" i="2"/>
  <c r="AC632" i="2" l="1"/>
  <c r="Z633" i="2"/>
  <c r="AB633" i="2"/>
  <c r="AA633" i="2" l="1"/>
  <c r="Y633" i="2"/>
  <c r="AK633" i="2" l="1"/>
  <c r="AF633" i="2" s="1"/>
  <c r="AL633" i="2"/>
  <c r="AH633" i="2" s="1"/>
  <c r="AM633" i="2"/>
  <c r="AJ633" i="2" s="1"/>
  <c r="AD633" i="2" l="1"/>
  <c r="AG633" i="2"/>
  <c r="AE633" i="2"/>
  <c r="AI633" i="2"/>
  <c r="AC633" i="2" l="1"/>
  <c r="AB634" i="2"/>
  <c r="Z634" i="2"/>
  <c r="AA634" i="2" l="1"/>
  <c r="Y634" i="2"/>
  <c r="AL634" i="2" l="1"/>
  <c r="AH634" i="2" s="1"/>
  <c r="AI634" i="2"/>
  <c r="AM634" i="2"/>
  <c r="AJ634" i="2" s="1"/>
  <c r="AK634" i="2"/>
  <c r="AF634" i="2" s="1"/>
  <c r="AD634" i="2" s="1"/>
  <c r="AG634" i="2"/>
  <c r="AB635" i="2" l="1"/>
  <c r="Z635" i="2"/>
  <c r="AE634" i="2"/>
  <c r="AC634" i="2" s="1"/>
  <c r="AA635" i="2" l="1"/>
  <c r="Y635" i="2"/>
  <c r="AM635" i="2" l="1"/>
  <c r="AJ635" i="2" s="1"/>
  <c r="AK635" i="2"/>
  <c r="AF635" i="2" s="1"/>
  <c r="AL635" i="2"/>
  <c r="AH635" i="2" s="1"/>
  <c r="AG635" i="2"/>
  <c r="AI635" i="2" l="1"/>
  <c r="AD635" i="2"/>
  <c r="AE635" i="2"/>
  <c r="AC635" i="2" s="1"/>
  <c r="AA636" i="2" l="1"/>
  <c r="Y636" i="2"/>
  <c r="Z636" i="2"/>
  <c r="AB636" i="2"/>
  <c r="AG636" i="2" l="1"/>
  <c r="AK636" i="2"/>
  <c r="AF636" i="2" s="1"/>
  <c r="AL636" i="2"/>
  <c r="AM636" i="2"/>
  <c r="AJ636" i="2" s="1"/>
  <c r="AI636" i="2"/>
  <c r="AH636" i="2"/>
  <c r="AD636" i="2" l="1"/>
  <c r="AE636" i="2"/>
  <c r="AC636" i="2" s="1"/>
  <c r="AA637" i="2" l="1"/>
  <c r="Y637" i="2"/>
  <c r="AB637" i="2"/>
  <c r="Z637" i="2"/>
  <c r="AJ637" i="2" l="1"/>
  <c r="AK637" i="2"/>
  <c r="AE637" i="2" s="1"/>
  <c r="AC637" i="2" s="1"/>
  <c r="AL637" i="2"/>
  <c r="AG637" i="2" s="1"/>
  <c r="AM637" i="2"/>
  <c r="AI637" i="2"/>
  <c r="AA638" i="2" l="1"/>
  <c r="Y638" i="2"/>
  <c r="AF637" i="2"/>
  <c r="AH637" i="2"/>
  <c r="AD637" i="2" l="1"/>
  <c r="Z638" i="2" l="1"/>
  <c r="AB638" i="2"/>
  <c r="AM638" i="2" l="1"/>
  <c r="AI638" i="2" s="1"/>
  <c r="AL638" i="2"/>
  <c r="AG638" i="2" s="1"/>
  <c r="AK638" i="2"/>
  <c r="AE638" i="2" s="1"/>
  <c r="AC638" i="2" l="1"/>
  <c r="AF638" i="2"/>
  <c r="AH638" i="2"/>
  <c r="AJ638" i="2"/>
  <c r="AD638" i="2" l="1"/>
  <c r="Y639" i="2"/>
  <c r="AA639" i="2"/>
  <c r="AM639" i="2" l="1"/>
  <c r="AI639" i="2" s="1"/>
  <c r="AK639" i="2"/>
  <c r="AE639" i="2" s="1"/>
  <c r="AL639" i="2"/>
  <c r="AG639" i="2" s="1"/>
  <c r="AB639" i="2"/>
  <c r="Z639" i="2"/>
  <c r="AC639" i="2" l="1"/>
  <c r="AF639" i="2"/>
  <c r="AJ639" i="2"/>
  <c r="AH639" i="2"/>
  <c r="AD639" i="2" l="1"/>
  <c r="AA640" i="2"/>
  <c r="Y640" i="2"/>
  <c r="AK640" i="2" l="1"/>
  <c r="AE640" i="2" s="1"/>
  <c r="AM640" i="2"/>
  <c r="AI640" i="2" s="1"/>
  <c r="Z640" i="2"/>
  <c r="AB640" i="2"/>
  <c r="AF640" i="2" l="1"/>
  <c r="AJ640" i="2"/>
  <c r="AL640" i="2"/>
  <c r="AG640" i="2" s="1"/>
  <c r="AC640" i="2" s="1"/>
  <c r="Y641" i="2" l="1"/>
  <c r="AA641" i="2"/>
  <c r="AH640" i="2"/>
  <c r="AD640" i="2" s="1"/>
  <c r="Z641" i="2" l="1"/>
  <c r="AL641" i="2" s="1"/>
  <c r="AG641" i="2" s="1"/>
  <c r="AB641" i="2"/>
  <c r="AK641" i="2"/>
  <c r="AE641" i="2" s="1"/>
  <c r="AM641" i="2"/>
  <c r="AI641" i="2" s="1"/>
  <c r="AC641" i="2" l="1"/>
  <c r="AH641" i="2"/>
  <c r="AJ641" i="2"/>
  <c r="AF641" i="2"/>
  <c r="AD641" i="2" l="1"/>
  <c r="Y642" i="2"/>
  <c r="AA642" i="2"/>
  <c r="AM642" i="2" l="1"/>
  <c r="AI642" i="2" s="1"/>
  <c r="Z642" i="2"/>
  <c r="AB642" i="2"/>
  <c r="AJ642" i="2" l="1"/>
  <c r="AK642" i="2"/>
  <c r="AE642" i="2" s="1"/>
  <c r="AC642" i="2" s="1"/>
  <c r="AL642" i="2"/>
  <c r="AG642" i="2" s="1"/>
  <c r="AF642" i="2" l="1"/>
  <c r="Y643" i="2"/>
  <c r="AA643" i="2"/>
  <c r="AH642" i="2"/>
  <c r="AD642" i="2" l="1"/>
  <c r="AB643" i="2" l="1"/>
  <c r="Z643" i="2"/>
  <c r="AK643" i="2" l="1"/>
  <c r="AE643" i="2" s="1"/>
  <c r="AL643" i="2"/>
  <c r="AG643" i="2" s="1"/>
  <c r="AM643" i="2"/>
  <c r="AI643" i="2" s="1"/>
  <c r="AH643" i="2" l="1"/>
  <c r="AJ643" i="2"/>
  <c r="AC643" i="2"/>
  <c r="AF643" i="2"/>
  <c r="AD643" i="2" l="1"/>
  <c r="Y644" i="2"/>
  <c r="AA644" i="2"/>
  <c r="AK644" i="2" l="1"/>
  <c r="AE644" i="2" s="1"/>
  <c r="Z644" i="2"/>
  <c r="AM644" i="2" s="1"/>
  <c r="AI644" i="2" s="1"/>
  <c r="AB644" i="2"/>
  <c r="AF644" i="2" l="1"/>
  <c r="AJ644" i="2"/>
  <c r="AL644" i="2"/>
  <c r="AG644" i="2" s="1"/>
  <c r="AC644" i="2" s="1"/>
  <c r="AA645" i="2" l="1"/>
  <c r="Y645" i="2"/>
  <c r="AH644" i="2"/>
  <c r="AD644" i="2" s="1"/>
  <c r="Z645" i="2" l="1"/>
  <c r="AB645" i="2"/>
  <c r="AK645" i="2"/>
  <c r="AE645" i="2" s="1"/>
  <c r="AC645" i="2" s="1"/>
  <c r="AL645" i="2"/>
  <c r="AG645" i="2" s="1"/>
  <c r="AI645" i="2"/>
  <c r="AM645" i="2"/>
  <c r="Y646" i="2" l="1"/>
  <c r="AA646" i="2"/>
  <c r="AJ645" i="2"/>
  <c r="AF645" i="2"/>
  <c r="AH645" i="2"/>
  <c r="AD645" i="2" l="1"/>
  <c r="Z646" i="2" l="1"/>
  <c r="AB646" i="2"/>
  <c r="AL646" i="2" l="1"/>
  <c r="AG646" i="2" s="1"/>
  <c r="AK646" i="2"/>
  <c r="AE646" i="2" s="1"/>
  <c r="AM646" i="2"/>
  <c r="AI646" i="2" s="1"/>
  <c r="AJ646" i="2" l="1"/>
  <c r="AH646" i="2"/>
  <c r="AC646" i="2"/>
  <c r="AF646" i="2"/>
  <c r="AD646" i="2" s="1"/>
  <c r="AB647" i="2" l="1"/>
  <c r="Z647" i="2"/>
  <c r="AA647" i="2"/>
  <c r="Y647" i="2"/>
  <c r="AL647" i="2" l="1"/>
  <c r="AH647" i="2" s="1"/>
  <c r="AM647" i="2"/>
  <c r="AI647" i="2" s="1"/>
  <c r="AK647" i="2"/>
  <c r="AE647" i="2" s="1"/>
  <c r="AC647" i="2" s="1"/>
  <c r="AG647" i="2"/>
  <c r="Y648" i="2" l="1"/>
  <c r="AA648" i="2"/>
  <c r="AJ647" i="2"/>
  <c r="AF647" i="2"/>
  <c r="AD647" i="2" s="1"/>
  <c r="AB648" i="2" l="1"/>
  <c r="Z648" i="2"/>
  <c r="AM648" i="2" s="1"/>
  <c r="AI648" i="2" s="1"/>
  <c r="AL648" i="2" l="1"/>
  <c r="AG648" i="2" s="1"/>
  <c r="AJ648" i="2"/>
  <c r="AH648" i="2"/>
  <c r="AK648" i="2"/>
  <c r="AE648" i="2" s="1"/>
  <c r="AC648" i="2" s="1"/>
  <c r="AA649" i="2" l="1"/>
  <c r="Y649" i="2"/>
  <c r="AF648" i="2"/>
  <c r="AD648" i="2" s="1"/>
  <c r="AB649" i="2" l="1"/>
  <c r="Z649" i="2"/>
  <c r="AM649" i="2" s="1"/>
  <c r="AI649" i="2" s="1"/>
  <c r="AJ649" i="2" l="1"/>
  <c r="AL649" i="2"/>
  <c r="AG649" i="2" s="1"/>
  <c r="AK649" i="2"/>
  <c r="AE649" i="2" s="1"/>
  <c r="AC649" i="2" s="1"/>
  <c r="Y650" i="2" l="1"/>
  <c r="AA650" i="2"/>
  <c r="AH649" i="2"/>
  <c r="AF649" i="2"/>
  <c r="AD649" i="2" s="1"/>
  <c r="Z650" i="2" l="1"/>
  <c r="AB650" i="2"/>
  <c r="AL650" i="2" l="1"/>
  <c r="AG650" i="2" s="1"/>
  <c r="AM650" i="2"/>
  <c r="AI650" i="2" s="1"/>
  <c r="AK650" i="2"/>
  <c r="AE650" i="2" s="1"/>
  <c r="AC650" i="2" l="1"/>
  <c r="AJ650" i="2"/>
  <c r="AH650" i="2"/>
  <c r="AF650" i="2"/>
  <c r="AD650" i="2" s="1"/>
  <c r="AB651" i="2" l="1"/>
  <c r="Z651" i="2"/>
  <c r="AA651" i="2"/>
  <c r="Y651" i="2"/>
  <c r="AL651" i="2" l="1"/>
  <c r="AG651" i="2" s="1"/>
  <c r="AM651" i="2"/>
  <c r="AJ651" i="2" s="1"/>
  <c r="AK651" i="2"/>
  <c r="AE651" i="2" s="1"/>
  <c r="AH651" i="2"/>
  <c r="AI651" i="2" l="1"/>
  <c r="AC651" i="2" s="1"/>
  <c r="AF651" i="2"/>
  <c r="AD651" i="2" s="1"/>
  <c r="Y652" i="2" l="1"/>
  <c r="AA652" i="2"/>
  <c r="Z652" i="2"/>
  <c r="AB652" i="2"/>
  <c r="AI652" i="2" l="1"/>
  <c r="AM652" i="2"/>
  <c r="AJ652" i="2" s="1"/>
  <c r="AK652" i="2"/>
  <c r="AF652" i="2" s="1"/>
  <c r="AL652" i="2"/>
  <c r="AH652" i="2" s="1"/>
  <c r="AD652" i="2" l="1"/>
  <c r="AG652" i="2"/>
  <c r="AE652" i="2"/>
  <c r="AC652" i="2" s="1"/>
  <c r="AA653" i="2" l="1"/>
  <c r="Y653" i="2"/>
  <c r="AB653" i="2"/>
  <c r="Z653" i="2"/>
  <c r="AG653" i="2" l="1"/>
  <c r="AK653" i="2"/>
  <c r="AF653" i="2" s="1"/>
  <c r="AL653" i="2"/>
  <c r="AM653" i="2"/>
  <c r="AI653" i="2" s="1"/>
  <c r="AH653" i="2"/>
  <c r="AJ653" i="2" l="1"/>
  <c r="AD653" i="2" s="1"/>
  <c r="AE653" i="2"/>
  <c r="AC653" i="2" s="1"/>
  <c r="AB654" i="2" l="1"/>
  <c r="Z654" i="2"/>
  <c r="AA654" i="2"/>
  <c r="Y654" i="2"/>
  <c r="AK654" i="2" l="1"/>
  <c r="AL654" i="2"/>
  <c r="AG654" i="2" s="1"/>
  <c r="AE654" i="2"/>
  <c r="AM654" i="2"/>
  <c r="AI654" i="2" s="1"/>
  <c r="AF654" i="2"/>
  <c r="AJ654" i="2"/>
  <c r="AC654" i="2" l="1"/>
  <c r="AH654" i="2"/>
  <c r="AD654" i="2" s="1"/>
  <c r="AB655" i="2" l="1"/>
  <c r="Z655" i="2"/>
  <c r="Y655" i="2"/>
  <c r="AA655" i="2"/>
  <c r="AL655" i="2" l="1"/>
  <c r="AM655" i="2"/>
  <c r="AJ655" i="2" s="1"/>
  <c r="AG655" i="2"/>
  <c r="AK655" i="2"/>
  <c r="AF655" i="2" s="1"/>
  <c r="AD655" i="2" s="1"/>
  <c r="AH655" i="2"/>
  <c r="AB656" i="2" l="1"/>
  <c r="Z656" i="2"/>
  <c r="AI655" i="2"/>
  <c r="AE655" i="2"/>
  <c r="AC655" i="2" l="1"/>
  <c r="Y656" i="2" l="1"/>
  <c r="AA656" i="2"/>
  <c r="AM656" i="2" l="1"/>
  <c r="AJ656" i="2" s="1"/>
  <c r="AK656" i="2"/>
  <c r="AF656" i="2" s="1"/>
  <c r="AL656" i="2"/>
  <c r="AH656" i="2" s="1"/>
  <c r="AD656" i="2" l="1"/>
  <c r="AI656" i="2"/>
  <c r="AG656" i="2"/>
  <c r="AE656" i="2"/>
  <c r="AC656" i="2" l="1"/>
  <c r="AB657" i="2"/>
  <c r="Z657" i="2"/>
  <c r="AA657" i="2" l="1"/>
  <c r="Y657" i="2"/>
  <c r="AK657" i="2" l="1"/>
  <c r="AF657" i="2" s="1"/>
  <c r="AD657" i="2" s="1"/>
  <c r="AL657" i="2"/>
  <c r="AH657" i="2" s="1"/>
  <c r="AM657" i="2"/>
  <c r="AJ657" i="2" s="1"/>
  <c r="AB658" i="2" l="1"/>
  <c r="Z658" i="2"/>
  <c r="AG657" i="2"/>
  <c r="AI657" i="2"/>
  <c r="AE657" i="2"/>
  <c r="AC657" i="2" l="1"/>
  <c r="Y658" i="2" l="1"/>
  <c r="AA658" i="2"/>
  <c r="AK658" i="2" l="1"/>
  <c r="AF658" i="2" s="1"/>
  <c r="AL658" i="2"/>
  <c r="AH658" i="2" s="1"/>
  <c r="AM658" i="2"/>
  <c r="AJ658" i="2" s="1"/>
  <c r="AD658" i="2" l="1"/>
  <c r="AI658" i="2"/>
  <c r="AG658" i="2"/>
  <c r="AE658" i="2"/>
  <c r="AC658" i="2" s="1"/>
  <c r="AA659" i="2" l="1"/>
  <c r="Y659" i="2"/>
  <c r="Z659" i="2"/>
  <c r="AB659" i="2"/>
  <c r="AJ659" i="2" l="1"/>
  <c r="AL659" i="2"/>
  <c r="AH659" i="2" s="1"/>
  <c r="AI659" i="2"/>
  <c r="AM659" i="2"/>
  <c r="AK659" i="2"/>
  <c r="AF659" i="2" s="1"/>
  <c r="AD659" i="2" l="1"/>
  <c r="AG659" i="2"/>
  <c r="AE659" i="2"/>
  <c r="AC659" i="2" s="1"/>
  <c r="AA660" i="2" l="1"/>
  <c r="Y660" i="2"/>
  <c r="AB660" i="2"/>
  <c r="Z660" i="2"/>
  <c r="AM660" i="2" l="1"/>
  <c r="AJ660" i="2" s="1"/>
  <c r="AK660" i="2"/>
  <c r="AF660" i="2" s="1"/>
  <c r="AL660" i="2"/>
  <c r="AG660" i="2" s="1"/>
  <c r="AH660" i="2" l="1"/>
  <c r="AD660" i="2" s="1"/>
  <c r="AI660" i="2"/>
  <c r="AE660" i="2"/>
  <c r="AB661" i="2" l="1"/>
  <c r="Z661" i="2"/>
  <c r="AC660" i="2"/>
  <c r="Y661" i="2" l="1"/>
  <c r="AA661" i="2"/>
  <c r="AK661" i="2" l="1"/>
  <c r="AF661" i="2" s="1"/>
  <c r="AL661" i="2"/>
  <c r="AH661" i="2" s="1"/>
  <c r="AM661" i="2"/>
  <c r="AJ661" i="2" s="1"/>
  <c r="AD661" i="2" l="1"/>
  <c r="AG661" i="2"/>
  <c r="AE661" i="2"/>
  <c r="AI661" i="2"/>
  <c r="AC661" i="2" l="1"/>
  <c r="Z662" i="2"/>
  <c r="AB662" i="2"/>
  <c r="AA662" i="2" l="1"/>
  <c r="Y662" i="2"/>
  <c r="AK662" i="2" l="1"/>
  <c r="AF662" i="2" s="1"/>
  <c r="AL662" i="2"/>
  <c r="AH662" i="2" s="1"/>
  <c r="AM662" i="2"/>
  <c r="AJ662" i="2" s="1"/>
  <c r="AD662" i="2" l="1"/>
  <c r="AI662" i="2"/>
  <c r="AG662" i="2"/>
  <c r="AE662" i="2"/>
  <c r="AC662" i="2" s="1"/>
  <c r="AA663" i="2" l="1"/>
  <c r="Y663" i="2"/>
  <c r="Z663" i="2"/>
  <c r="AB663" i="2"/>
  <c r="AL663" i="2" l="1"/>
  <c r="AI663" i="2"/>
  <c r="AM663" i="2"/>
  <c r="AK663" i="2"/>
  <c r="AF663" i="2" s="1"/>
  <c r="AD663" i="2" s="1"/>
  <c r="AG663" i="2"/>
  <c r="AH663" i="2"/>
  <c r="AJ663" i="2"/>
  <c r="AB664" i="2" l="1"/>
  <c r="Z664" i="2"/>
  <c r="AE663" i="2"/>
  <c r="AC663" i="2" s="1"/>
  <c r="AA664" i="2" l="1"/>
  <c r="Y664" i="2"/>
  <c r="AM664" i="2" l="1"/>
  <c r="AJ664" i="2" s="1"/>
  <c r="AK664" i="2"/>
  <c r="AF664" i="2" s="1"/>
  <c r="AD664" i="2" s="1"/>
  <c r="AL664" i="2"/>
  <c r="AH664" i="2" s="1"/>
  <c r="AI664" i="2" l="1"/>
  <c r="Z665" i="2"/>
  <c r="AB665" i="2"/>
  <c r="AG664" i="2"/>
  <c r="AE664" i="2"/>
  <c r="AC664" i="2" s="1"/>
  <c r="Y665" i="2" l="1"/>
  <c r="AA665" i="2"/>
  <c r="AK665" i="2" l="1"/>
  <c r="AF665" i="2" s="1"/>
  <c r="AL665" i="2"/>
  <c r="AH665" i="2" s="1"/>
  <c r="AM665" i="2"/>
  <c r="AJ665" i="2" s="1"/>
  <c r="AE665" i="2"/>
  <c r="AD665" i="2" l="1"/>
  <c r="AI665" i="2"/>
  <c r="AG665" i="2"/>
  <c r="AC665" i="2" s="1"/>
  <c r="AA666" i="2" l="1"/>
  <c r="Y666" i="2"/>
  <c r="AB666" i="2"/>
  <c r="Z666" i="2"/>
  <c r="AK666" i="2" l="1"/>
  <c r="AE666" i="2" s="1"/>
  <c r="AL666" i="2"/>
  <c r="AG666" i="2" s="1"/>
  <c r="AM666" i="2"/>
  <c r="AI666" i="2" s="1"/>
  <c r="AC666" i="2" l="1"/>
  <c r="AJ666" i="2"/>
  <c r="AF666" i="2"/>
  <c r="AD666" i="2" s="1"/>
  <c r="AH666" i="2"/>
  <c r="Z667" i="2" l="1"/>
  <c r="AB667" i="2"/>
  <c r="AA667" i="2"/>
  <c r="Y667" i="2"/>
  <c r="AL667" i="2" l="1"/>
  <c r="AG667" i="2" s="1"/>
  <c r="AM667" i="2"/>
  <c r="AI667" i="2" s="1"/>
  <c r="AK667" i="2"/>
  <c r="AF667" i="2" s="1"/>
  <c r="AJ667" i="2"/>
  <c r="AE667" i="2" l="1"/>
  <c r="AC667" i="2" s="1"/>
  <c r="AH667" i="2"/>
  <c r="AD667" i="2" s="1"/>
  <c r="Z668" i="2" l="1"/>
  <c r="AB668" i="2"/>
  <c r="AA668" i="2"/>
  <c r="Y668" i="2"/>
  <c r="AM668" i="2" l="1"/>
  <c r="AI668" i="2" s="1"/>
  <c r="AK668" i="2"/>
  <c r="AE668" i="2" s="1"/>
  <c r="AL668" i="2"/>
  <c r="AG668" i="2" s="1"/>
  <c r="AC668" i="2" l="1"/>
  <c r="AJ668" i="2"/>
  <c r="AF668" i="2"/>
  <c r="AH668" i="2"/>
  <c r="AD668" i="2" l="1"/>
  <c r="AA669" i="2"/>
  <c r="Y669" i="2"/>
  <c r="AK669" i="2" l="1"/>
  <c r="AE669" i="2" s="1"/>
  <c r="AL669" i="2"/>
  <c r="AG669" i="2" s="1"/>
  <c r="AB669" i="2"/>
  <c r="Z669" i="2"/>
  <c r="AF669" i="2" l="1"/>
  <c r="AH669" i="2"/>
  <c r="AM669" i="2"/>
  <c r="AI669" i="2" s="1"/>
  <c r="AC669" i="2" s="1"/>
  <c r="Y670" i="2" l="1"/>
  <c r="AA670" i="2"/>
  <c r="AJ669" i="2"/>
  <c r="AD669" i="2" s="1"/>
  <c r="AB670" i="2" l="1"/>
  <c r="Z670" i="2"/>
  <c r="AH670" i="2" l="1"/>
  <c r="AL670" i="2"/>
  <c r="AG670" i="2" s="1"/>
  <c r="AM670" i="2"/>
  <c r="AI670" i="2" s="1"/>
  <c r="AK670" i="2"/>
  <c r="AE670" i="2" s="1"/>
  <c r="AJ670" i="2" l="1"/>
  <c r="AC670" i="2"/>
  <c r="AF670" i="2"/>
  <c r="AD670" i="2" s="1"/>
  <c r="Z671" i="2" l="1"/>
  <c r="AB671" i="2"/>
  <c r="Y671" i="2"/>
  <c r="AA671" i="2"/>
  <c r="AL671" i="2" l="1"/>
  <c r="AG671" i="2" s="1"/>
  <c r="AM671" i="2"/>
  <c r="AI671" i="2" s="1"/>
  <c r="AK671" i="2"/>
  <c r="AE671" i="2" s="1"/>
  <c r="AF671" i="2"/>
  <c r="AJ671" i="2"/>
  <c r="AC671" i="2" l="1"/>
  <c r="AH671" i="2"/>
  <c r="AD671" i="2" s="1"/>
  <c r="Z672" i="2" l="1"/>
  <c r="AB672" i="2"/>
  <c r="Y672" i="2"/>
  <c r="AA672" i="2"/>
  <c r="AM672" i="2" l="1"/>
  <c r="AI672" i="2" s="1"/>
  <c r="AK672" i="2"/>
  <c r="AE672" i="2" s="1"/>
  <c r="AC672" i="2" s="1"/>
  <c r="AL672" i="2"/>
  <c r="AG672" i="2" s="1"/>
  <c r="AJ672" i="2"/>
  <c r="Y673" i="2" l="1"/>
  <c r="AA673" i="2"/>
  <c r="AF672" i="2"/>
  <c r="AD672" i="2" s="1"/>
  <c r="AH672" i="2"/>
  <c r="AB673" i="2" l="1"/>
  <c r="Z673" i="2"/>
  <c r="AL673" i="2" s="1"/>
  <c r="AG673" i="2" s="1"/>
  <c r="AK673" i="2"/>
  <c r="AE673" i="2" s="1"/>
  <c r="AM673" i="2"/>
  <c r="AI673" i="2" s="1"/>
  <c r="AC673" i="2" l="1"/>
  <c r="AF673" i="2"/>
  <c r="AD673" i="2" s="1"/>
  <c r="AB674" i="2" s="1"/>
  <c r="AJ673" i="2"/>
  <c r="AH673" i="2"/>
  <c r="Z674" i="2" l="1"/>
  <c r="AA674" i="2"/>
  <c r="Y674" i="2"/>
  <c r="AK674" i="2" l="1"/>
  <c r="AE674" i="2" s="1"/>
  <c r="AL674" i="2"/>
  <c r="AH674" i="2" s="1"/>
  <c r="AM674" i="2"/>
  <c r="AI674" i="2" s="1"/>
  <c r="AF674" i="2"/>
  <c r="AJ674" i="2"/>
  <c r="AD674" i="2" l="1"/>
  <c r="AG674" i="2"/>
  <c r="AC674" i="2" s="1"/>
  <c r="AA675" i="2" l="1"/>
  <c r="Y675" i="2"/>
  <c r="AB675" i="2"/>
  <c r="Z675" i="2"/>
  <c r="AJ675" i="2" l="1"/>
  <c r="AL675" i="2"/>
  <c r="AH675" i="2" s="1"/>
  <c r="AI675" i="2"/>
  <c r="AM675" i="2"/>
  <c r="AG675" i="2"/>
  <c r="AK675" i="2"/>
  <c r="AF675" i="2" s="1"/>
  <c r="AD675" i="2" s="1"/>
  <c r="AB676" i="2" l="1"/>
  <c r="Z676" i="2"/>
  <c r="AE675" i="2"/>
  <c r="AC675" i="2" s="1"/>
  <c r="AA676" i="2" l="1"/>
  <c r="Y676" i="2"/>
  <c r="AM676" i="2" l="1"/>
  <c r="AJ676" i="2" s="1"/>
  <c r="AK676" i="2"/>
  <c r="AF676" i="2" s="1"/>
  <c r="AL676" i="2"/>
  <c r="AH676" i="2" s="1"/>
  <c r="AD676" i="2" l="1"/>
  <c r="AI676" i="2"/>
  <c r="AG676" i="2"/>
  <c r="AE676" i="2"/>
  <c r="AC676" i="2" s="1"/>
  <c r="Y677" i="2" l="1"/>
  <c r="AA677" i="2"/>
  <c r="Z677" i="2"/>
  <c r="AB677" i="2"/>
  <c r="AH677" i="2" l="1"/>
  <c r="AG677" i="2"/>
  <c r="AK677" i="2"/>
  <c r="AF677" i="2" s="1"/>
  <c r="AL677" i="2"/>
  <c r="AM677" i="2"/>
  <c r="AI677" i="2" s="1"/>
  <c r="AE677" i="2"/>
  <c r="AJ677" i="2" l="1"/>
  <c r="AD677" i="2" s="1"/>
  <c r="AC677" i="2"/>
  <c r="AB678" i="2" l="1"/>
  <c r="Z678" i="2"/>
  <c r="AA678" i="2"/>
  <c r="Y678" i="2"/>
  <c r="AK678" i="2" l="1"/>
  <c r="AE678" i="2" s="1"/>
  <c r="AL678" i="2"/>
  <c r="AH678" i="2" s="1"/>
  <c r="AM678" i="2"/>
  <c r="AI678" i="2" s="1"/>
  <c r="AF678" i="2"/>
  <c r="AJ678" i="2" l="1"/>
  <c r="AD678" i="2" s="1"/>
  <c r="AG678" i="2"/>
  <c r="AC678" i="2" s="1"/>
  <c r="AA679" i="2" l="1"/>
  <c r="Y679" i="2"/>
  <c r="Z679" i="2"/>
  <c r="AB679" i="2"/>
  <c r="AL679" i="2" l="1"/>
  <c r="AH679" i="2" s="1"/>
  <c r="AM679" i="2"/>
  <c r="AJ679" i="2" s="1"/>
  <c r="AK679" i="2"/>
  <c r="AF679" i="2" s="1"/>
  <c r="AG679" i="2"/>
  <c r="AD679" i="2" l="1"/>
  <c r="AI679" i="2"/>
  <c r="AE679" i="2"/>
  <c r="AC679" i="2" l="1"/>
  <c r="AB680" i="2"/>
  <c r="Z680" i="2"/>
  <c r="AA680" i="2" l="1"/>
  <c r="Y680" i="2"/>
  <c r="AM680" i="2" l="1"/>
  <c r="AJ680" i="2" s="1"/>
  <c r="AK680" i="2"/>
  <c r="AF680" i="2" s="1"/>
  <c r="AL680" i="2"/>
  <c r="AH680" i="2" s="1"/>
  <c r="AD680" i="2" l="1"/>
  <c r="AI680" i="2"/>
  <c r="AG680" i="2"/>
  <c r="AE680" i="2"/>
  <c r="AC680" i="2" s="1"/>
  <c r="AA681" i="2" l="1"/>
  <c r="Y681" i="2"/>
  <c r="AB681" i="2"/>
  <c r="Z681" i="2"/>
  <c r="AG681" i="2" l="1"/>
  <c r="AK681" i="2"/>
  <c r="AF681" i="2" s="1"/>
  <c r="AL681" i="2"/>
  <c r="AH681" i="2" s="1"/>
  <c r="AM681" i="2"/>
  <c r="AJ681" i="2" s="1"/>
  <c r="AI681" i="2"/>
  <c r="AD681" i="2" l="1"/>
  <c r="AE681" i="2"/>
  <c r="AC681" i="2" s="1"/>
  <c r="AA682" i="2" l="1"/>
  <c r="Y682" i="2"/>
  <c r="AB682" i="2"/>
  <c r="Z682" i="2"/>
  <c r="AK682" i="2" l="1"/>
  <c r="AE682" i="2" s="1"/>
  <c r="AL682" i="2"/>
  <c r="AH682" i="2" s="1"/>
  <c r="AM682" i="2"/>
  <c r="AI682" i="2" s="1"/>
  <c r="AF682" i="2"/>
  <c r="AJ682" i="2" l="1"/>
  <c r="AD682" i="2" s="1"/>
  <c r="AG682" i="2"/>
  <c r="AC682" i="2" s="1"/>
  <c r="AA683" i="2" l="1"/>
  <c r="Y683" i="2"/>
  <c r="AB683" i="2"/>
  <c r="Z683" i="2"/>
  <c r="AL683" i="2" l="1"/>
  <c r="AH683" i="2" s="1"/>
  <c r="AM683" i="2"/>
  <c r="AJ683" i="2" s="1"/>
  <c r="AK683" i="2"/>
  <c r="AF683" i="2" s="1"/>
  <c r="AD683" i="2" l="1"/>
  <c r="AI683" i="2"/>
  <c r="AG683" i="2"/>
  <c r="AE683" i="2"/>
  <c r="AC683" i="2" s="1"/>
  <c r="AA684" i="2" l="1"/>
  <c r="Y684" i="2"/>
  <c r="AB684" i="2"/>
  <c r="Z684" i="2"/>
  <c r="AM684" i="2" l="1"/>
  <c r="AJ684" i="2" s="1"/>
  <c r="AK684" i="2"/>
  <c r="AF684" i="2" s="1"/>
  <c r="AD684" i="2" s="1"/>
  <c r="AL684" i="2"/>
  <c r="AH684" i="2" s="1"/>
  <c r="AB685" i="2" l="1"/>
  <c r="Z685" i="2"/>
  <c r="AI684" i="2"/>
  <c r="AE684" i="2"/>
  <c r="AC684" i="2" s="1"/>
  <c r="AG684" i="2"/>
  <c r="Y685" i="2" l="1"/>
  <c r="AA685" i="2"/>
  <c r="AK685" i="2" l="1"/>
  <c r="AF685" i="2" s="1"/>
  <c r="AL685" i="2"/>
  <c r="AH685" i="2" s="1"/>
  <c r="AM685" i="2"/>
  <c r="AJ685" i="2" s="1"/>
  <c r="AD685" i="2" l="1"/>
  <c r="AI685" i="2"/>
  <c r="AG685" i="2"/>
  <c r="AE685" i="2"/>
  <c r="AC685" i="2" s="1"/>
  <c r="AA686" i="2" l="1"/>
  <c r="Y686" i="2"/>
  <c r="Z686" i="2"/>
  <c r="AB686" i="2"/>
  <c r="AK686" i="2" l="1"/>
  <c r="AE686" i="2" s="1"/>
  <c r="AC686" i="2" s="1"/>
  <c r="AL686" i="2"/>
  <c r="AG686" i="2" s="1"/>
  <c r="AM686" i="2"/>
  <c r="AI686" i="2" s="1"/>
  <c r="AF686" i="2"/>
  <c r="AJ686" i="2"/>
  <c r="AA687" i="2" l="1"/>
  <c r="Y687" i="2"/>
  <c r="AH686" i="2"/>
  <c r="AD686" i="2" s="1"/>
  <c r="AB687" i="2" l="1"/>
  <c r="Z687" i="2"/>
  <c r="AM687" i="2" s="1"/>
  <c r="AI687" i="2" s="1"/>
  <c r="AL687" i="2"/>
  <c r="AG687" i="2" s="1"/>
  <c r="AK687" i="2"/>
  <c r="AE687" i="2" s="1"/>
  <c r="AC687" i="2" l="1"/>
  <c r="AH687" i="2"/>
  <c r="AF687" i="2"/>
  <c r="AJ687" i="2"/>
  <c r="AD687" i="2" l="1"/>
  <c r="AA688" i="2"/>
  <c r="Y688" i="2"/>
  <c r="AM688" i="2" l="1"/>
  <c r="AI688" i="2" s="1"/>
  <c r="AL688" i="2"/>
  <c r="AG688" i="2" s="1"/>
  <c r="Z688" i="2"/>
  <c r="AK688" i="2" s="1"/>
  <c r="AE688" i="2" s="1"/>
  <c r="AC688" i="2" s="1"/>
  <c r="AB688" i="2"/>
  <c r="Y689" i="2" l="1"/>
  <c r="AA689" i="2"/>
  <c r="AF688" i="2"/>
  <c r="AD688" i="2" s="1"/>
  <c r="AB689" i="2" s="1"/>
  <c r="AJ688" i="2"/>
  <c r="AH688" i="2"/>
  <c r="Z689" i="2" l="1"/>
  <c r="AL689" i="2" s="1"/>
  <c r="AG689" i="2" s="1"/>
  <c r="AJ689" i="2" l="1"/>
  <c r="AH689" i="2"/>
  <c r="AM689" i="2"/>
  <c r="AI689" i="2" s="1"/>
  <c r="AK689" i="2"/>
  <c r="AE689" i="2" s="1"/>
  <c r="AC689" i="2" s="1"/>
  <c r="Y690" i="2" l="1"/>
  <c r="AA690" i="2"/>
  <c r="AF689" i="2"/>
  <c r="AD689" i="2" s="1"/>
  <c r="AB690" i="2" l="1"/>
  <c r="Z690" i="2"/>
  <c r="AL690" i="2" s="1"/>
  <c r="AG690" i="2" s="1"/>
  <c r="AH690" i="2" l="1"/>
  <c r="AJ690" i="2"/>
  <c r="AM690" i="2"/>
  <c r="AI690" i="2" s="1"/>
  <c r="AK690" i="2"/>
  <c r="AE690" i="2" s="1"/>
  <c r="AC690" i="2" s="1"/>
  <c r="AF690" i="2" l="1"/>
  <c r="AD690" i="2" s="1"/>
  <c r="Y691" i="2"/>
  <c r="AA691" i="2"/>
  <c r="AK691" i="2" l="1"/>
  <c r="AE691" i="2" s="1"/>
  <c r="Z691" i="2"/>
  <c r="AL691" i="2" s="1"/>
  <c r="AG691" i="2" s="1"/>
  <c r="AB691" i="2"/>
  <c r="AH691" i="2" l="1"/>
  <c r="AF691" i="2"/>
  <c r="AM691" i="2"/>
  <c r="AI691" i="2" s="1"/>
  <c r="AC691" i="2" s="1"/>
  <c r="AA692" i="2" l="1"/>
  <c r="Y692" i="2"/>
  <c r="AJ691" i="2"/>
  <c r="AD691" i="2" s="1"/>
  <c r="AB692" i="2" l="1"/>
  <c r="Z692" i="2"/>
  <c r="AK692" i="2"/>
  <c r="AE692" i="2" s="1"/>
  <c r="AF692" i="2" l="1"/>
  <c r="AL692" i="2"/>
  <c r="AG692" i="2" s="1"/>
  <c r="AC692" i="2" s="1"/>
  <c r="AM692" i="2"/>
  <c r="AI692" i="2" s="1"/>
  <c r="Y693" i="2" l="1"/>
  <c r="AA693" i="2"/>
  <c r="AJ692" i="2"/>
  <c r="AD692" i="2"/>
  <c r="AH692" i="2"/>
  <c r="AB693" i="2" l="1"/>
  <c r="Z693" i="2"/>
  <c r="AK693" i="2"/>
  <c r="AE693" i="2" s="1"/>
  <c r="AC693" i="2" s="1"/>
  <c r="AL693" i="2"/>
  <c r="AG693" i="2" s="1"/>
  <c r="AI693" i="2"/>
  <c r="AM693" i="2"/>
  <c r="AA694" i="2" l="1"/>
  <c r="Y694" i="2"/>
  <c r="AF693" i="2"/>
  <c r="AJ693" i="2"/>
  <c r="AH693" i="2"/>
  <c r="AD693" i="2" l="1"/>
  <c r="Z694" i="2" l="1"/>
  <c r="AB694" i="2"/>
  <c r="AJ694" i="2" l="1"/>
  <c r="AK694" i="2"/>
  <c r="AE694" i="2" s="1"/>
  <c r="AM694" i="2"/>
  <c r="AI694" i="2" s="1"/>
  <c r="AL694" i="2"/>
  <c r="AG694" i="2" s="1"/>
  <c r="AH694" i="2" l="1"/>
  <c r="AC694" i="2"/>
  <c r="AF694" i="2"/>
  <c r="AD694" i="2" s="1"/>
  <c r="AB695" i="2" l="1"/>
  <c r="Z695" i="2"/>
  <c r="AA695" i="2"/>
  <c r="Y695" i="2"/>
  <c r="AJ695" i="2" l="1"/>
  <c r="AL695" i="2"/>
  <c r="AH695" i="2" s="1"/>
  <c r="AI695" i="2"/>
  <c r="AM695" i="2"/>
  <c r="AK695" i="2"/>
  <c r="AF695" i="2" s="1"/>
  <c r="AG695" i="2"/>
  <c r="AD695" i="2" l="1"/>
  <c r="AE695" i="2"/>
  <c r="AC695" i="2" s="1"/>
  <c r="AA696" i="2" l="1"/>
  <c r="Y696" i="2"/>
  <c r="Z696" i="2"/>
  <c r="AB696" i="2"/>
  <c r="AF696" i="2" l="1"/>
  <c r="AE696" i="2"/>
  <c r="AM696" i="2"/>
  <c r="AJ696" i="2" s="1"/>
  <c r="AK696" i="2"/>
  <c r="AL696" i="2"/>
  <c r="AG696" i="2" s="1"/>
  <c r="AH696" i="2" l="1"/>
  <c r="AI696" i="2"/>
  <c r="AC696" i="2" s="1"/>
  <c r="AD696" i="2"/>
  <c r="AA697" i="2" l="1"/>
  <c r="Y697" i="2"/>
  <c r="Z697" i="2"/>
  <c r="AB697" i="2"/>
  <c r="AK697" i="2" l="1"/>
  <c r="AF697" i="2" s="1"/>
  <c r="AD697" i="2" s="1"/>
  <c r="AL697" i="2"/>
  <c r="AG697" i="2" s="1"/>
  <c r="AM697" i="2"/>
  <c r="AI697" i="2"/>
  <c r="AJ697" i="2"/>
  <c r="AH697" i="2"/>
  <c r="AB698" i="2" l="1"/>
  <c r="Z698" i="2"/>
  <c r="AE697" i="2"/>
  <c r="AC697" i="2" s="1"/>
  <c r="Y698" i="2" l="1"/>
  <c r="AA698" i="2"/>
  <c r="AK698" i="2" l="1"/>
  <c r="AF698" i="2" s="1"/>
  <c r="AL698" i="2"/>
  <c r="AH698" i="2" s="1"/>
  <c r="AM698" i="2"/>
  <c r="AJ698" i="2" s="1"/>
  <c r="AD698" i="2" l="1"/>
  <c r="AG698" i="2"/>
  <c r="AI698" i="2"/>
  <c r="AE698" i="2"/>
  <c r="AC698" i="2" s="1"/>
  <c r="AA699" i="2" l="1"/>
  <c r="Y699" i="2"/>
  <c r="Z699" i="2"/>
  <c r="AB699" i="2"/>
  <c r="AJ699" i="2" l="1"/>
  <c r="AL699" i="2"/>
  <c r="AH699" i="2" s="1"/>
  <c r="AI699" i="2"/>
  <c r="AM699" i="2"/>
  <c r="AG699" i="2"/>
  <c r="AK699" i="2"/>
  <c r="AE699" i="2" s="1"/>
  <c r="AC699" i="2" s="1"/>
  <c r="AA700" i="2" l="1"/>
  <c r="Y700" i="2"/>
  <c r="AF699" i="2"/>
  <c r="AD699" i="2" s="1"/>
  <c r="AM700" i="2" l="1"/>
  <c r="AI700" i="2" s="1"/>
  <c r="AK700" i="2"/>
  <c r="AE700" i="2" s="1"/>
  <c r="AL700" i="2"/>
  <c r="AG700" i="2" s="1"/>
  <c r="AB700" i="2"/>
  <c r="Z700" i="2"/>
  <c r="AC700" i="2" l="1"/>
  <c r="AF700" i="2"/>
  <c r="AJ700" i="2"/>
  <c r="AH700" i="2"/>
  <c r="AD700" i="2" l="1"/>
  <c r="AA701" i="2"/>
  <c r="Y701" i="2"/>
  <c r="AK701" i="2" l="1"/>
  <c r="AE701" i="2" s="1"/>
  <c r="AL701" i="2"/>
  <c r="AG701" i="2" s="1"/>
  <c r="AM701" i="2"/>
  <c r="AI701" i="2" s="1"/>
  <c r="Z701" i="2"/>
  <c r="AB701" i="2"/>
  <c r="AC701" i="2" l="1"/>
  <c r="AF701" i="2"/>
  <c r="AD701" i="2" s="1"/>
  <c r="Z702" i="2" s="1"/>
  <c r="AJ701" i="2"/>
  <c r="AH701" i="2"/>
  <c r="AB702" i="2" l="1"/>
  <c r="Y702" i="2"/>
  <c r="AA702" i="2"/>
  <c r="AK702" i="2" l="1"/>
  <c r="AF702" i="2" s="1"/>
  <c r="AL702" i="2"/>
  <c r="AH702" i="2" s="1"/>
  <c r="AE702" i="2"/>
  <c r="AM702" i="2"/>
  <c r="AJ702" i="2" s="1"/>
  <c r="AD702" i="2" l="1"/>
  <c r="AI702" i="2"/>
  <c r="AG702" i="2"/>
  <c r="AC702" i="2" s="1"/>
  <c r="Y703" i="2" l="1"/>
  <c r="AA703" i="2"/>
  <c r="AB703" i="2"/>
  <c r="Z703" i="2"/>
  <c r="AL703" i="2" l="1"/>
  <c r="AM703" i="2"/>
  <c r="AJ703" i="2" s="1"/>
  <c r="AG703" i="2"/>
  <c r="AK703" i="2"/>
  <c r="AF703" i="2" s="1"/>
  <c r="AD703" i="2" s="1"/>
  <c r="AH703" i="2"/>
  <c r="Z704" i="2" l="1"/>
  <c r="AB704" i="2"/>
  <c r="AI703" i="2"/>
  <c r="AE703" i="2"/>
  <c r="AC703" i="2" s="1"/>
  <c r="Y704" i="2" l="1"/>
  <c r="AA704" i="2"/>
  <c r="AM704" i="2" l="1"/>
  <c r="AJ704" i="2" s="1"/>
  <c r="AK704" i="2"/>
  <c r="AF704" i="2" s="1"/>
  <c r="AL704" i="2"/>
  <c r="AH704" i="2" s="1"/>
  <c r="AD704" i="2" l="1"/>
  <c r="AI704" i="2"/>
  <c r="AG704" i="2"/>
  <c r="AE704" i="2"/>
  <c r="AC704" i="2" s="1"/>
  <c r="AA705" i="2" l="1"/>
  <c r="Y705" i="2"/>
  <c r="Z705" i="2"/>
  <c r="AB705" i="2"/>
  <c r="AK705" i="2" l="1"/>
  <c r="AF705" i="2" s="1"/>
  <c r="AL705" i="2"/>
  <c r="AG705" i="2" s="1"/>
  <c r="AM705" i="2"/>
  <c r="AJ705" i="2" s="1"/>
  <c r="AH705" i="2" l="1"/>
  <c r="AD705" i="2" s="1"/>
  <c r="AI705" i="2"/>
  <c r="AE705" i="2"/>
  <c r="AC705" i="2" s="1"/>
  <c r="AB706" i="2" l="1"/>
  <c r="Z706" i="2"/>
  <c r="AA706" i="2"/>
  <c r="Y706" i="2"/>
  <c r="AK706" i="2" l="1"/>
  <c r="AL706" i="2"/>
  <c r="AG706" i="2" s="1"/>
  <c r="AE706" i="2"/>
  <c r="AM706" i="2"/>
  <c r="AI706" i="2" s="1"/>
  <c r="AF706" i="2"/>
  <c r="AJ706" i="2"/>
  <c r="AC706" i="2" l="1"/>
  <c r="AH706" i="2"/>
  <c r="AD706" i="2" s="1"/>
  <c r="AB707" i="2" l="1"/>
  <c r="Z707" i="2"/>
  <c r="AA707" i="2"/>
  <c r="Y707" i="2"/>
  <c r="AL707" i="2" l="1"/>
  <c r="AH707" i="2" s="1"/>
  <c r="AM707" i="2"/>
  <c r="AJ707" i="2" s="1"/>
  <c r="AK707" i="2"/>
  <c r="AF707" i="2" s="1"/>
  <c r="AD707" i="2" s="1"/>
  <c r="AB708" i="2" l="1"/>
  <c r="Z708" i="2"/>
  <c r="AI707" i="2"/>
  <c r="AG707" i="2"/>
  <c r="AE707" i="2"/>
  <c r="AC707" i="2" l="1"/>
  <c r="Y708" i="2" l="1"/>
  <c r="AA708" i="2"/>
  <c r="AM708" i="2" l="1"/>
  <c r="AJ708" i="2" s="1"/>
  <c r="AK708" i="2"/>
  <c r="AF708" i="2" s="1"/>
  <c r="AL708" i="2"/>
  <c r="AH708" i="2" s="1"/>
  <c r="AD708" i="2" l="1"/>
  <c r="AG708" i="2"/>
  <c r="AE708" i="2"/>
  <c r="AI708" i="2"/>
  <c r="AC708" i="2" l="1"/>
  <c r="AB709" i="2"/>
  <c r="Z709" i="2"/>
  <c r="AA709" i="2" l="1"/>
  <c r="Y709" i="2"/>
  <c r="AK709" i="2" l="1"/>
  <c r="AF709" i="2" s="1"/>
  <c r="AL709" i="2"/>
  <c r="AH709" i="2" s="1"/>
  <c r="AM709" i="2"/>
  <c r="AJ709" i="2" s="1"/>
  <c r="AE709" i="2"/>
  <c r="AD709" i="2" l="1"/>
  <c r="AG709" i="2"/>
  <c r="AC709" i="2" s="1"/>
  <c r="AI709" i="2"/>
  <c r="Y710" i="2" l="1"/>
  <c r="AA710" i="2"/>
  <c r="AB710" i="2"/>
  <c r="Z710" i="2"/>
  <c r="AH710" i="2" l="1"/>
  <c r="AG710" i="2"/>
  <c r="AK710" i="2"/>
  <c r="AF710" i="2" s="1"/>
  <c r="AD710" i="2" s="1"/>
  <c r="AL710" i="2"/>
  <c r="AM710" i="2"/>
  <c r="AJ710" i="2" s="1"/>
  <c r="Z711" i="2" l="1"/>
  <c r="AB711" i="2"/>
  <c r="AE710" i="2"/>
  <c r="AI710" i="2"/>
  <c r="AC710" i="2" l="1"/>
  <c r="AA711" i="2" l="1"/>
  <c r="Y711" i="2"/>
  <c r="AL711" i="2" l="1"/>
  <c r="AH711" i="2" s="1"/>
  <c r="AM711" i="2"/>
  <c r="AJ711" i="2" s="1"/>
  <c r="AK711" i="2"/>
  <c r="AF711" i="2" s="1"/>
  <c r="AG711" i="2"/>
  <c r="AI711" i="2" l="1"/>
  <c r="AD711" i="2"/>
  <c r="AE711" i="2"/>
  <c r="AC711" i="2" s="1"/>
  <c r="Y712" i="2" l="1"/>
  <c r="AA712" i="2"/>
  <c r="AB712" i="2"/>
  <c r="Z712" i="2"/>
  <c r="AJ712" i="2" l="1"/>
  <c r="AH712" i="2"/>
  <c r="AI712" i="2"/>
  <c r="AM712" i="2"/>
  <c r="AG712" i="2"/>
  <c r="AK712" i="2"/>
  <c r="AF712" i="2" s="1"/>
  <c r="AD712" i="2" s="1"/>
  <c r="AL712" i="2"/>
  <c r="AB713" i="2" l="1"/>
  <c r="Z713" i="2"/>
  <c r="AE712" i="2"/>
  <c r="AC712" i="2" s="1"/>
  <c r="AA713" i="2" l="1"/>
  <c r="Y713" i="2"/>
  <c r="AK713" i="2" l="1"/>
  <c r="AF713" i="2" s="1"/>
  <c r="AL713" i="2"/>
  <c r="AH713" i="2" s="1"/>
  <c r="AM713" i="2"/>
  <c r="AJ713" i="2" s="1"/>
  <c r="AE713" i="2"/>
  <c r="AD713" i="2" l="1"/>
  <c r="AI713" i="2"/>
  <c r="AG713" i="2"/>
  <c r="AC713" i="2" s="1"/>
  <c r="Y714" i="2" l="1"/>
  <c r="AA714" i="2"/>
  <c r="Z714" i="2"/>
  <c r="AB714" i="2"/>
  <c r="AG714" i="2" l="1"/>
  <c r="AK714" i="2"/>
  <c r="AE714" i="2" s="1"/>
  <c r="AL714" i="2"/>
  <c r="AH714" i="2" s="1"/>
  <c r="AM714" i="2"/>
  <c r="AI714" i="2" s="1"/>
  <c r="AC714" i="2" l="1"/>
  <c r="AJ714" i="2"/>
  <c r="AF714" i="2"/>
  <c r="AD714" i="2" s="1"/>
  <c r="Z715" i="2" l="1"/>
  <c r="AB715" i="2"/>
  <c r="AA715" i="2"/>
  <c r="Y715" i="2"/>
  <c r="AL715" i="2" l="1"/>
  <c r="AG715" i="2" s="1"/>
  <c r="AM715" i="2"/>
  <c r="AI715" i="2" s="1"/>
  <c r="AK715" i="2"/>
  <c r="AF715" i="2" s="1"/>
  <c r="AJ715" i="2"/>
  <c r="AE715" i="2" l="1"/>
  <c r="AC715" i="2" s="1"/>
  <c r="AH715" i="2"/>
  <c r="AD715" i="2" s="1"/>
  <c r="Z716" i="2" l="1"/>
  <c r="AB716" i="2"/>
  <c r="AA716" i="2"/>
  <c r="Y716" i="2"/>
  <c r="AI716" i="2" l="1"/>
  <c r="AM716" i="2"/>
  <c r="AK716" i="2"/>
  <c r="AF716" i="2" s="1"/>
  <c r="AD716" i="2" s="1"/>
  <c r="AL716" i="2"/>
  <c r="AG716" i="2" s="1"/>
  <c r="AJ716" i="2"/>
  <c r="AH716" i="2"/>
  <c r="Z717" i="2" l="1"/>
  <c r="AB717" i="2"/>
  <c r="AE716" i="2"/>
  <c r="AC716" i="2" s="1"/>
  <c r="AA717" i="2" l="1"/>
  <c r="Y717" i="2"/>
  <c r="AK717" i="2" l="1"/>
  <c r="AF717" i="2" s="1"/>
  <c r="AL717" i="2"/>
  <c r="AH717" i="2" s="1"/>
  <c r="AM717" i="2"/>
  <c r="AJ717" i="2" s="1"/>
  <c r="AI717" i="2"/>
  <c r="AD717" i="2" l="1"/>
  <c r="AG717" i="2"/>
  <c r="AE717" i="2"/>
  <c r="AC717" i="2" s="1"/>
  <c r="Y718" i="2" l="1"/>
  <c r="AA718" i="2"/>
  <c r="Z718" i="2"/>
  <c r="AB718" i="2"/>
  <c r="AH718" i="2" l="1"/>
  <c r="AG718" i="2"/>
  <c r="AK718" i="2"/>
  <c r="AF718" i="2" s="1"/>
  <c r="AD718" i="2" s="1"/>
  <c r="AL718" i="2"/>
  <c r="AM718" i="2"/>
  <c r="AJ718" i="2" s="1"/>
  <c r="AB719" i="2" l="1"/>
  <c r="Z719" i="2"/>
  <c r="AI718" i="2"/>
  <c r="AE718" i="2"/>
  <c r="AC718" i="2" l="1"/>
  <c r="AA719" i="2" l="1"/>
  <c r="Y719" i="2"/>
  <c r="AL719" i="2" l="1"/>
  <c r="AH719" i="2" s="1"/>
  <c r="AM719" i="2"/>
  <c r="AJ719" i="2" s="1"/>
  <c r="AK719" i="2"/>
  <c r="AF719" i="2" s="1"/>
  <c r="AD719" i="2" l="1"/>
  <c r="AI719" i="2"/>
  <c r="AG719" i="2"/>
  <c r="AE719" i="2"/>
  <c r="AC719" i="2" s="1"/>
  <c r="AA720" i="2" l="1"/>
  <c r="Y720" i="2"/>
  <c r="Z720" i="2"/>
  <c r="AB720" i="2"/>
  <c r="AM720" i="2" l="1"/>
  <c r="AJ720" i="2" s="1"/>
  <c r="AK720" i="2"/>
  <c r="AF720" i="2" s="1"/>
  <c r="AL720" i="2"/>
  <c r="AH720" i="2" s="1"/>
  <c r="AD720" i="2" l="1"/>
  <c r="AI720" i="2"/>
  <c r="AG720" i="2"/>
  <c r="AE720" i="2"/>
  <c r="AC720" i="2" s="1"/>
  <c r="Y721" i="2" l="1"/>
  <c r="AA721" i="2"/>
  <c r="AB721" i="2"/>
  <c r="Z721" i="2"/>
  <c r="AK721" i="2" l="1"/>
  <c r="AF721" i="2" s="1"/>
  <c r="AL721" i="2"/>
  <c r="AG721" i="2" s="1"/>
  <c r="AM721" i="2"/>
  <c r="AJ721" i="2" s="1"/>
  <c r="AI721" i="2" l="1"/>
  <c r="AH721" i="2"/>
  <c r="AD721" i="2" s="1"/>
  <c r="AE721" i="2"/>
  <c r="AC721" i="2" s="1"/>
  <c r="AB722" i="2" l="1"/>
  <c r="Z722" i="2"/>
  <c r="AA722" i="2"/>
  <c r="Y722" i="2"/>
  <c r="AF722" i="2" l="1"/>
  <c r="AK722" i="2"/>
  <c r="AE722" i="2" s="1"/>
  <c r="AL722" i="2"/>
  <c r="AG722" i="2" s="1"/>
  <c r="AM722" i="2"/>
  <c r="AJ722" i="2" s="1"/>
  <c r="AI722" i="2" l="1"/>
  <c r="AC722" i="2" s="1"/>
  <c r="AH722" i="2"/>
  <c r="AD722" i="2" s="1"/>
  <c r="AB723" i="2" l="1"/>
  <c r="Z723" i="2"/>
  <c r="AA723" i="2"/>
  <c r="Y723" i="2"/>
  <c r="AL723" i="2" l="1"/>
  <c r="AG723" i="2" s="1"/>
  <c r="AM723" i="2"/>
  <c r="AI723" i="2" s="1"/>
  <c r="AK723" i="2"/>
  <c r="AE723" i="2" s="1"/>
  <c r="AC723" i="2" s="1"/>
  <c r="AH723" i="2"/>
  <c r="Y724" i="2" l="1"/>
  <c r="AA724" i="2"/>
  <c r="AJ723" i="2"/>
  <c r="AF723" i="2"/>
  <c r="AD723" i="2" s="1"/>
  <c r="AB724" i="2" l="1"/>
  <c r="Z724" i="2"/>
  <c r="AH724" i="2" l="1"/>
  <c r="AL724" i="2"/>
  <c r="AG724" i="2" s="1"/>
  <c r="AM724" i="2"/>
  <c r="AI724" i="2" s="1"/>
  <c r="AK724" i="2"/>
  <c r="AE724" i="2" s="1"/>
  <c r="AC724" i="2" s="1"/>
  <c r="AA725" i="2" l="1"/>
  <c r="Y725" i="2"/>
  <c r="AJ724" i="2"/>
  <c r="AF724" i="2"/>
  <c r="AD724" i="2" s="1"/>
  <c r="Z725" i="2" l="1"/>
  <c r="AB725" i="2"/>
  <c r="AH725" i="2" l="1"/>
  <c r="AL725" i="2"/>
  <c r="AG725" i="2" s="1"/>
  <c r="AM725" i="2"/>
  <c r="AI725" i="2" s="1"/>
  <c r="AK725" i="2"/>
  <c r="AE725" i="2" s="1"/>
  <c r="AC725" i="2" s="1"/>
  <c r="Y726" i="2" l="1"/>
  <c r="AA726" i="2"/>
  <c r="AJ725" i="2"/>
  <c r="AF725" i="2"/>
  <c r="AD725" i="2" s="1"/>
  <c r="AB726" i="2" l="1"/>
  <c r="Z726" i="2"/>
  <c r="AG726" i="2"/>
  <c r="AL726" i="2"/>
  <c r="AH726" i="2" l="1"/>
  <c r="AJ726" i="2"/>
  <c r="AM726" i="2"/>
  <c r="AI726" i="2" s="1"/>
  <c r="AK726" i="2"/>
  <c r="AE726" i="2" s="1"/>
  <c r="AC726" i="2" s="1"/>
  <c r="AF726" i="2" l="1"/>
  <c r="AD726" i="2" s="1"/>
  <c r="Y727" i="2"/>
  <c r="AA727" i="2"/>
  <c r="AL727" i="2" l="1"/>
  <c r="AK727" i="2"/>
  <c r="AE727" i="2" s="1"/>
  <c r="AG727" i="2"/>
  <c r="Z727" i="2"/>
  <c r="AB727" i="2"/>
  <c r="AH727" i="2" l="1"/>
  <c r="AF727" i="2"/>
  <c r="AM727" i="2"/>
  <c r="AI727" i="2" s="1"/>
  <c r="AC727" i="2" s="1"/>
  <c r="AA728" i="2" l="1"/>
  <c r="Y728" i="2"/>
  <c r="AJ727" i="2"/>
  <c r="AD727" i="2" s="1"/>
  <c r="AB728" i="2" l="1"/>
  <c r="Z728" i="2"/>
  <c r="AK728" i="2"/>
  <c r="AE728" i="2" s="1"/>
  <c r="AF728" i="2" l="1"/>
  <c r="AL728" i="2"/>
  <c r="AG728" i="2" s="1"/>
  <c r="AC728" i="2" s="1"/>
  <c r="AM728" i="2"/>
  <c r="AI728" i="2" s="1"/>
  <c r="Y729" i="2" l="1"/>
  <c r="AA729" i="2"/>
  <c r="AJ728" i="2"/>
  <c r="AD728" i="2"/>
  <c r="AH728" i="2"/>
  <c r="AB729" i="2" l="1"/>
  <c r="Z729" i="2"/>
  <c r="AK729" i="2"/>
  <c r="AL729" i="2"/>
  <c r="AG729" i="2" s="1"/>
  <c r="AM729" i="2"/>
  <c r="AI729" i="2" s="1"/>
  <c r="AE729" i="2"/>
  <c r="AC729" i="2" l="1"/>
  <c r="AF729" i="2"/>
  <c r="AJ729" i="2"/>
  <c r="AH729" i="2"/>
  <c r="AD729" i="2" l="1"/>
  <c r="AA730" i="2"/>
  <c r="Y730" i="2"/>
  <c r="AB730" i="2" l="1"/>
  <c r="Z730" i="2"/>
  <c r="AF730" i="2" l="1"/>
  <c r="AJ730" i="2"/>
  <c r="AM730" i="2"/>
  <c r="AI730" i="2" s="1"/>
  <c r="AK730" i="2"/>
  <c r="AE730" i="2" s="1"/>
  <c r="AL730" i="2"/>
  <c r="AG730" i="2" s="1"/>
  <c r="AC730" i="2" l="1"/>
  <c r="AH730" i="2"/>
  <c r="AD730" i="2" s="1"/>
  <c r="Z731" i="2" l="1"/>
  <c r="AB731" i="2"/>
  <c r="Y731" i="2"/>
  <c r="AA731" i="2"/>
  <c r="AL731" i="2" l="1"/>
  <c r="AG731" i="2" s="1"/>
  <c r="AM731" i="2"/>
  <c r="AI731" i="2" s="1"/>
  <c r="AK731" i="2"/>
  <c r="AF731" i="2" s="1"/>
  <c r="AD731" i="2" s="1"/>
  <c r="AH731" i="2"/>
  <c r="AJ731" i="2"/>
  <c r="AB732" i="2" l="1"/>
  <c r="Z732" i="2"/>
  <c r="AE731" i="2"/>
  <c r="AC731" i="2" s="1"/>
  <c r="AA732" i="2" l="1"/>
  <c r="Y732" i="2"/>
  <c r="AM732" i="2" l="1"/>
  <c r="AJ732" i="2" s="1"/>
  <c r="AK732" i="2"/>
  <c r="AF732" i="2" s="1"/>
  <c r="AL732" i="2"/>
  <c r="AH732" i="2" s="1"/>
  <c r="AD732" i="2" l="1"/>
  <c r="AI732" i="2"/>
  <c r="AG732" i="2"/>
  <c r="AE732" i="2"/>
  <c r="AC732" i="2" s="1"/>
  <c r="Y733" i="2" l="1"/>
  <c r="AA733" i="2"/>
  <c r="Z733" i="2"/>
  <c r="AB733" i="2"/>
  <c r="AG733" i="2" l="1"/>
  <c r="AK733" i="2"/>
  <c r="AF733" i="2" s="1"/>
  <c r="AL733" i="2"/>
  <c r="AH733" i="2" s="1"/>
  <c r="AE733" i="2"/>
  <c r="AM733" i="2"/>
  <c r="AI733" i="2" s="1"/>
  <c r="AC733" i="2" l="1"/>
  <c r="AJ733" i="2"/>
  <c r="AD733" i="2" s="1"/>
  <c r="AB734" i="2" l="1"/>
  <c r="Z734" i="2"/>
  <c r="AA734" i="2"/>
  <c r="Y734" i="2"/>
  <c r="AK734" i="2" l="1"/>
  <c r="AL734" i="2"/>
  <c r="AG734" i="2" s="1"/>
  <c r="AE734" i="2"/>
  <c r="AM734" i="2"/>
  <c r="AI734" i="2" s="1"/>
  <c r="AF734" i="2"/>
  <c r="AJ734" i="2"/>
  <c r="AC734" i="2" l="1"/>
  <c r="AH734" i="2"/>
  <c r="AD734" i="2" s="1"/>
  <c r="Z735" i="2" l="1"/>
  <c r="AB735" i="2"/>
  <c r="Y735" i="2"/>
  <c r="AA735" i="2"/>
  <c r="AL735" i="2" l="1"/>
  <c r="AM735" i="2"/>
  <c r="AI735" i="2" s="1"/>
  <c r="AG735" i="2"/>
  <c r="AK735" i="2"/>
  <c r="AE735" i="2" s="1"/>
  <c r="AC735" i="2" s="1"/>
  <c r="AH735" i="2"/>
  <c r="AF735" i="2"/>
  <c r="AJ735" i="2"/>
  <c r="Y736" i="2" l="1"/>
  <c r="AA736" i="2"/>
  <c r="AD735" i="2"/>
  <c r="Z736" i="2" l="1"/>
  <c r="AB736" i="2"/>
  <c r="AE736" i="2"/>
  <c r="AM736" i="2"/>
  <c r="AI736" i="2" s="1"/>
  <c r="AG736" i="2"/>
  <c r="AK736" i="2"/>
  <c r="AL736" i="2"/>
  <c r="AC736" i="2" l="1"/>
  <c r="AF736" i="2"/>
  <c r="AD736" i="2" s="1"/>
  <c r="Z737" i="2" s="1"/>
  <c r="AJ736" i="2"/>
  <c r="AH736" i="2"/>
  <c r="AB737" i="2" l="1"/>
  <c r="AA737" i="2"/>
  <c r="Y737" i="2"/>
  <c r="AK737" i="2" l="1"/>
  <c r="AF737" i="2" s="1"/>
  <c r="AD737" i="2" s="1"/>
  <c r="Z738" i="2" s="1"/>
  <c r="AL737" i="2"/>
  <c r="AH737" i="2" s="1"/>
  <c r="AM737" i="2"/>
  <c r="AJ737" i="2" s="1"/>
  <c r="AI737" i="2" l="1"/>
  <c r="AG737" i="2"/>
  <c r="AB738" i="2"/>
  <c r="AE737" i="2"/>
  <c r="AC737" i="2" s="1"/>
  <c r="Y738" i="2" l="1"/>
  <c r="AA738" i="2"/>
  <c r="AK738" i="2" l="1"/>
  <c r="AF738" i="2" s="1"/>
  <c r="AL738" i="2"/>
  <c r="AH738" i="2" s="1"/>
  <c r="AM738" i="2"/>
  <c r="AJ738" i="2" s="1"/>
  <c r="AD738" i="2" l="1"/>
  <c r="AI738" i="2"/>
  <c r="AG738" i="2"/>
  <c r="AE738" i="2"/>
  <c r="AC738" i="2" s="1"/>
  <c r="AA739" i="2" l="1"/>
  <c r="Y739" i="2"/>
  <c r="AB739" i="2"/>
  <c r="Z739" i="2"/>
  <c r="AL739" i="2" l="1"/>
  <c r="AH739" i="2" s="1"/>
  <c r="AM739" i="2"/>
  <c r="AJ739" i="2" s="1"/>
  <c r="AK739" i="2"/>
  <c r="AF739" i="2" s="1"/>
  <c r="AD739" i="2" s="1"/>
  <c r="AB740" i="2" l="1"/>
  <c r="Z740" i="2"/>
  <c r="AI739" i="2"/>
  <c r="AG739" i="2"/>
  <c r="AE739" i="2"/>
  <c r="AC739" i="2" l="1"/>
  <c r="AA740" i="2" l="1"/>
  <c r="Y740" i="2"/>
  <c r="AM740" i="2" l="1"/>
  <c r="AJ740" i="2" s="1"/>
  <c r="AK740" i="2"/>
  <c r="AF740" i="2" s="1"/>
  <c r="AL740" i="2"/>
  <c r="AH740" i="2" s="1"/>
  <c r="AI740" i="2" l="1"/>
  <c r="AD740" i="2"/>
  <c r="AG740" i="2"/>
  <c r="AE740" i="2"/>
  <c r="AC740" i="2" s="1"/>
  <c r="Y741" i="2" l="1"/>
  <c r="AA741" i="2"/>
  <c r="Z741" i="2"/>
  <c r="AB741" i="2"/>
  <c r="AF741" i="2" l="1"/>
  <c r="AG741" i="2"/>
  <c r="AK741" i="2"/>
  <c r="AL741" i="2"/>
  <c r="AH741" i="2" s="1"/>
  <c r="AM741" i="2"/>
  <c r="AI741" i="2" s="1"/>
  <c r="AE741" i="2"/>
  <c r="AJ741" i="2" l="1"/>
  <c r="AD741" i="2" s="1"/>
  <c r="AC741" i="2"/>
  <c r="AB742" i="2" l="1"/>
  <c r="Z742" i="2"/>
  <c r="AA742" i="2"/>
  <c r="Y742" i="2"/>
  <c r="AK742" i="2" l="1"/>
  <c r="AL742" i="2"/>
  <c r="AG742" i="2" s="1"/>
  <c r="AE742" i="2"/>
  <c r="AM742" i="2"/>
  <c r="AI742" i="2" s="1"/>
  <c r="AJ742" i="2"/>
  <c r="AF742" i="2"/>
  <c r="AC742" i="2" l="1"/>
  <c r="AH742" i="2"/>
  <c r="AD742" i="2" s="1"/>
  <c r="Z743" i="2" l="1"/>
  <c r="AB743" i="2"/>
  <c r="AA743" i="2"/>
  <c r="Y743" i="2"/>
  <c r="AL743" i="2" l="1"/>
  <c r="AI743" i="2"/>
  <c r="AM743" i="2"/>
  <c r="AK743" i="2"/>
  <c r="AF743" i="2" s="1"/>
  <c r="AD743" i="2" s="1"/>
  <c r="AG743" i="2"/>
  <c r="AH743" i="2"/>
  <c r="AJ743" i="2"/>
  <c r="AB744" i="2" l="1"/>
  <c r="Z744" i="2"/>
  <c r="AE743" i="2"/>
  <c r="AC743" i="2" s="1"/>
  <c r="AA744" i="2" l="1"/>
  <c r="Y744" i="2"/>
  <c r="AM744" i="2" l="1"/>
  <c r="AJ744" i="2" s="1"/>
  <c r="AK744" i="2"/>
  <c r="AF744" i="2" s="1"/>
  <c r="AL744" i="2"/>
  <c r="AH744" i="2" s="1"/>
  <c r="AD744" i="2" l="1"/>
  <c r="AI744" i="2"/>
  <c r="AG744" i="2"/>
  <c r="AE744" i="2"/>
  <c r="AC744" i="2" s="1"/>
  <c r="Y745" i="2" l="1"/>
  <c r="AA745" i="2"/>
  <c r="Z745" i="2"/>
  <c r="AB745" i="2"/>
  <c r="AH745" i="2" l="1"/>
  <c r="AG745" i="2"/>
  <c r="AK745" i="2"/>
  <c r="AF745" i="2" s="1"/>
  <c r="AD745" i="2" s="1"/>
  <c r="AL745" i="2"/>
  <c r="AM745" i="2"/>
  <c r="AJ745" i="2" s="1"/>
  <c r="AI745" i="2"/>
  <c r="AE745" i="2"/>
  <c r="AB746" i="2" l="1"/>
  <c r="Z746" i="2"/>
  <c r="AC745" i="2"/>
  <c r="AA746" i="2" l="1"/>
  <c r="Y746" i="2"/>
  <c r="AK746" i="2" l="1"/>
  <c r="AF746" i="2" s="1"/>
  <c r="AL746" i="2"/>
  <c r="AH746" i="2" s="1"/>
  <c r="AE746" i="2"/>
  <c r="AM746" i="2"/>
  <c r="AJ746" i="2" s="1"/>
  <c r="AD746" i="2" l="1"/>
  <c r="AI746" i="2"/>
  <c r="AG746" i="2"/>
  <c r="AC746" i="2" s="1"/>
  <c r="Y747" i="2" l="1"/>
  <c r="AA747" i="2"/>
  <c r="Z747" i="2"/>
  <c r="AB747" i="2"/>
  <c r="AJ747" i="2" l="1"/>
  <c r="AL747" i="2"/>
  <c r="AH747" i="2" s="1"/>
  <c r="AI747" i="2"/>
  <c r="AM747" i="2"/>
  <c r="AK747" i="2"/>
  <c r="AF747" i="2" s="1"/>
  <c r="AG747" i="2"/>
  <c r="AD747" i="2" l="1"/>
  <c r="AE747" i="2"/>
  <c r="AC747" i="2" s="1"/>
  <c r="AA748" i="2" l="1"/>
  <c r="Y748" i="2"/>
  <c r="AB748" i="2"/>
  <c r="Z748" i="2"/>
  <c r="AM748" i="2" l="1"/>
  <c r="AJ748" i="2" s="1"/>
  <c r="AK748" i="2"/>
  <c r="AF748" i="2" s="1"/>
  <c r="AD748" i="2" s="1"/>
  <c r="AL748" i="2"/>
  <c r="AG748" i="2" s="1"/>
  <c r="AH748" i="2"/>
  <c r="AB749" i="2" l="1"/>
  <c r="Z749" i="2"/>
  <c r="AI748" i="2"/>
  <c r="AE748" i="2"/>
  <c r="AC748" i="2" s="1"/>
  <c r="Y749" i="2" l="1"/>
  <c r="AA749" i="2"/>
  <c r="AK749" i="2" l="1"/>
  <c r="AF749" i="2" s="1"/>
  <c r="AD749" i="2" s="1"/>
  <c r="AL749" i="2"/>
  <c r="AH749" i="2" s="1"/>
  <c r="AM749" i="2"/>
  <c r="AJ749" i="2" s="1"/>
  <c r="AI749" i="2"/>
  <c r="Z750" i="2" l="1"/>
  <c r="AB750" i="2"/>
  <c r="AG749" i="2"/>
  <c r="AE749" i="2"/>
  <c r="AC749" i="2" s="1"/>
  <c r="AA750" i="2" l="1"/>
  <c r="Y750" i="2"/>
  <c r="AK750" i="2" l="1"/>
  <c r="AF750" i="2" s="1"/>
  <c r="AL750" i="2"/>
  <c r="AH750" i="2" s="1"/>
  <c r="AE750" i="2"/>
  <c r="AM750" i="2"/>
  <c r="AJ750" i="2" s="1"/>
  <c r="AD750" i="2" l="1"/>
  <c r="AI750" i="2"/>
  <c r="AG750" i="2"/>
  <c r="AC750" i="2" s="1"/>
  <c r="Y751" i="2" l="1"/>
  <c r="AA751" i="2"/>
  <c r="AB751" i="2"/>
  <c r="Z751" i="2"/>
  <c r="AF751" i="2" l="1"/>
  <c r="AJ751" i="2"/>
  <c r="AL751" i="2"/>
  <c r="AH751" i="2" s="1"/>
  <c r="AE751" i="2"/>
  <c r="AM751" i="2"/>
  <c r="AI751" i="2" s="1"/>
  <c r="AG751" i="2"/>
  <c r="AK751" i="2"/>
  <c r="AC751" i="2" l="1"/>
  <c r="AD751" i="2"/>
  <c r="Z752" i="2" l="1"/>
  <c r="AB752" i="2"/>
  <c r="AA752" i="2"/>
  <c r="Y752" i="2"/>
  <c r="AM752" i="2" l="1"/>
  <c r="AI752" i="2" s="1"/>
  <c r="AK752" i="2"/>
  <c r="AE752" i="2" s="1"/>
  <c r="AL752" i="2"/>
  <c r="AG752" i="2" s="1"/>
  <c r="AF752" i="2"/>
  <c r="AC752" i="2" l="1"/>
  <c r="AJ752" i="2"/>
  <c r="AH752" i="2"/>
  <c r="AD752" i="2" s="1"/>
  <c r="AB753" i="2" l="1"/>
  <c r="Z753" i="2"/>
  <c r="Y753" i="2"/>
  <c r="AA753" i="2"/>
  <c r="AG753" i="2" l="1"/>
  <c r="AK753" i="2"/>
  <c r="AF753" i="2" s="1"/>
  <c r="AL753" i="2"/>
  <c r="AM753" i="2"/>
  <c r="AI753" i="2" s="1"/>
  <c r="AH753" i="2"/>
  <c r="AJ753" i="2" l="1"/>
  <c r="AD753" i="2" s="1"/>
  <c r="AE753" i="2"/>
  <c r="AC753" i="2" s="1"/>
  <c r="AB754" i="2" l="1"/>
  <c r="Z754" i="2"/>
  <c r="AA754" i="2"/>
  <c r="Y754" i="2"/>
  <c r="AK754" i="2" l="1"/>
  <c r="AL754" i="2"/>
  <c r="AG754" i="2" s="1"/>
  <c r="AE754" i="2"/>
  <c r="AM754" i="2"/>
  <c r="AI754" i="2" s="1"/>
  <c r="AF754" i="2"/>
  <c r="AJ754" i="2"/>
  <c r="AC754" i="2" l="1"/>
  <c r="AH754" i="2"/>
  <c r="AD754" i="2"/>
  <c r="Z755" i="2" l="1"/>
  <c r="AB755" i="2"/>
  <c r="Y755" i="2"/>
  <c r="AA755" i="2"/>
  <c r="AL755" i="2" l="1"/>
  <c r="AI755" i="2"/>
  <c r="AM755" i="2"/>
  <c r="AG755" i="2"/>
  <c r="AK755" i="2"/>
  <c r="AF755" i="2" s="1"/>
  <c r="AD755" i="2" s="1"/>
  <c r="AH755" i="2"/>
  <c r="AJ755" i="2"/>
  <c r="AB756" i="2" l="1"/>
  <c r="Z756" i="2"/>
  <c r="AE755" i="2"/>
  <c r="AC755" i="2" s="1"/>
  <c r="AA756" i="2" l="1"/>
  <c r="Y756" i="2"/>
  <c r="AM756" i="2" l="1"/>
  <c r="AJ756" i="2" s="1"/>
  <c r="AK756" i="2"/>
  <c r="AF756" i="2" s="1"/>
  <c r="AL756" i="2"/>
  <c r="AH756" i="2" s="1"/>
  <c r="AD756" i="2" l="1"/>
  <c r="AI756" i="2"/>
  <c r="AG756" i="2"/>
  <c r="AE756" i="2"/>
  <c r="AC756" i="2" s="1"/>
  <c r="Y757" i="2" l="1"/>
  <c r="AA757" i="2"/>
  <c r="Z757" i="2"/>
  <c r="AB757" i="2"/>
  <c r="AG757" i="2" l="1"/>
  <c r="AK757" i="2"/>
  <c r="AF757" i="2" s="1"/>
  <c r="AL757" i="2"/>
  <c r="AH757" i="2" s="1"/>
  <c r="AM757" i="2"/>
  <c r="AJ757" i="2" s="1"/>
  <c r="AE757" i="2"/>
  <c r="AD757" i="2" l="1"/>
  <c r="AI757" i="2"/>
  <c r="AC757" i="2"/>
  <c r="AA758" i="2" l="1"/>
  <c r="Y758" i="2"/>
  <c r="Z758" i="2"/>
  <c r="AB758" i="2"/>
  <c r="AK758" i="2" l="1"/>
  <c r="AF758" i="2" s="1"/>
  <c r="AL758" i="2"/>
  <c r="AH758" i="2" s="1"/>
  <c r="AM758" i="2"/>
  <c r="AI758" i="2" s="1"/>
  <c r="AJ758" i="2" l="1"/>
  <c r="AD758" i="2" s="1"/>
  <c r="AG758" i="2"/>
  <c r="AE758" i="2"/>
  <c r="AC758" i="2" s="1"/>
  <c r="AB759" i="2" l="1"/>
  <c r="Z759" i="2"/>
  <c r="AA759" i="2"/>
  <c r="Y759" i="2"/>
  <c r="AL759" i="2" l="1"/>
  <c r="AH759" i="2" s="1"/>
  <c r="AM759" i="2"/>
  <c r="AI759" i="2" s="1"/>
  <c r="AK759" i="2"/>
  <c r="AF759" i="2" s="1"/>
  <c r="AG759" i="2"/>
  <c r="AJ759" i="2" l="1"/>
  <c r="AD759" i="2" s="1"/>
  <c r="AE759" i="2"/>
  <c r="AC759" i="2" s="1"/>
  <c r="AB760" i="2" l="1"/>
  <c r="Z760" i="2"/>
  <c r="Y760" i="2"/>
  <c r="AA760" i="2"/>
  <c r="AM760" i="2" l="1"/>
  <c r="AJ760" i="2" s="1"/>
  <c r="AK760" i="2"/>
  <c r="AF760" i="2" s="1"/>
  <c r="AL760" i="2"/>
  <c r="AG760" i="2" s="1"/>
  <c r="AH760" i="2" l="1"/>
  <c r="AD760" i="2" s="1"/>
  <c r="AI760" i="2"/>
  <c r="AE760" i="2"/>
  <c r="AC760" i="2" s="1"/>
  <c r="AB761" i="2" l="1"/>
  <c r="Z761" i="2"/>
  <c r="AA761" i="2"/>
  <c r="Y761" i="2"/>
  <c r="AG761" i="2" l="1"/>
  <c r="AK761" i="2"/>
  <c r="AF761" i="2" s="1"/>
  <c r="AD761" i="2" s="1"/>
  <c r="AL761" i="2"/>
  <c r="AM761" i="2"/>
  <c r="AI761" i="2"/>
  <c r="AJ761" i="2"/>
  <c r="AH761" i="2"/>
  <c r="AB762" i="2" l="1"/>
  <c r="Z762" i="2"/>
  <c r="AE761" i="2"/>
  <c r="AC761" i="2" s="1"/>
  <c r="AA762" i="2" l="1"/>
  <c r="Y762" i="2"/>
  <c r="AK762" i="2" l="1"/>
  <c r="AF762" i="2" s="1"/>
  <c r="AL762" i="2"/>
  <c r="AH762" i="2" s="1"/>
  <c r="AE762" i="2"/>
  <c r="AM762" i="2"/>
  <c r="AJ762" i="2" s="1"/>
  <c r="AD762" i="2" l="1"/>
  <c r="AI762" i="2"/>
  <c r="AG762" i="2"/>
  <c r="AC762" i="2" s="1"/>
  <c r="Y763" i="2" l="1"/>
  <c r="AA763" i="2"/>
  <c r="AB763" i="2"/>
  <c r="Z763" i="2"/>
  <c r="AJ763" i="2" l="1"/>
  <c r="AL763" i="2"/>
  <c r="AH763" i="2" s="1"/>
  <c r="AM763" i="2"/>
  <c r="AI763" i="2" s="1"/>
  <c r="AK763" i="2"/>
  <c r="AF763" i="2" s="1"/>
  <c r="AD763" i="2" s="1"/>
  <c r="AB764" i="2" l="1"/>
  <c r="Z764" i="2"/>
  <c r="AE763" i="2"/>
  <c r="AG763" i="2"/>
  <c r="AC763" i="2" l="1"/>
  <c r="AA764" i="2" l="1"/>
  <c r="Y764" i="2"/>
  <c r="AM764" i="2" l="1"/>
  <c r="AJ764" i="2" s="1"/>
  <c r="AK764" i="2"/>
  <c r="AF764" i="2" s="1"/>
  <c r="AL764" i="2"/>
  <c r="AH764" i="2" s="1"/>
  <c r="AI764" i="2" l="1"/>
  <c r="AD764" i="2"/>
  <c r="AG764" i="2"/>
  <c r="AE764" i="2"/>
  <c r="AC764" i="2" s="1"/>
  <c r="Y765" i="2" l="1"/>
  <c r="AA765" i="2"/>
  <c r="AB765" i="2"/>
  <c r="Z765" i="2"/>
  <c r="AH765" i="2" l="1"/>
  <c r="AG765" i="2"/>
  <c r="AK765" i="2"/>
  <c r="AF765" i="2" s="1"/>
  <c r="AL765" i="2"/>
  <c r="AE765" i="2"/>
  <c r="AM765" i="2"/>
  <c r="AI765" i="2" s="1"/>
  <c r="AC765" i="2" l="1"/>
  <c r="AJ765" i="2"/>
  <c r="AD765" i="2" s="1"/>
  <c r="AB766" i="2" l="1"/>
  <c r="Z766" i="2"/>
  <c r="AA766" i="2"/>
  <c r="Y766" i="2"/>
  <c r="AK766" i="2" l="1"/>
  <c r="AL766" i="2"/>
  <c r="AG766" i="2" s="1"/>
  <c r="AE766" i="2"/>
  <c r="AM766" i="2"/>
  <c r="AI766" i="2" s="1"/>
  <c r="AF766" i="2"/>
  <c r="AJ766" i="2"/>
  <c r="AC766" i="2" l="1"/>
  <c r="AH766" i="2"/>
  <c r="AD766" i="2" s="1"/>
  <c r="Z767" i="2" l="1"/>
  <c r="AB767" i="2"/>
  <c r="Y767" i="2"/>
  <c r="AA767" i="2"/>
  <c r="AL767" i="2" l="1"/>
  <c r="AG767" i="2" s="1"/>
  <c r="AM767" i="2"/>
  <c r="AJ767" i="2" s="1"/>
  <c r="AK767" i="2"/>
  <c r="AF767" i="2" s="1"/>
  <c r="AI767" i="2" l="1"/>
  <c r="AH767" i="2"/>
  <c r="AD767" i="2" s="1"/>
  <c r="AE767" i="2"/>
  <c r="AC767" i="2" s="1"/>
  <c r="Z768" i="2" l="1"/>
  <c r="AB768" i="2"/>
  <c r="Y768" i="2"/>
  <c r="AA768" i="2"/>
  <c r="AM768" i="2" l="1"/>
  <c r="AI768" i="2" s="1"/>
  <c r="AK768" i="2"/>
  <c r="AE768" i="2" s="1"/>
  <c r="AL768" i="2"/>
  <c r="AH768" i="2" s="1"/>
  <c r="AF768" i="2" l="1"/>
  <c r="AG768" i="2"/>
  <c r="AC768" i="2" s="1"/>
  <c r="AJ768" i="2"/>
  <c r="AA769" i="2" l="1"/>
  <c r="Y769" i="2"/>
  <c r="AD768" i="2"/>
  <c r="AB769" i="2" l="1"/>
  <c r="Z769" i="2"/>
  <c r="AK769" i="2" s="1"/>
  <c r="AE769" i="2" s="1"/>
  <c r="AL769" i="2" l="1"/>
  <c r="AG769" i="2" s="1"/>
  <c r="AC769" i="2" s="1"/>
  <c r="AM769" i="2"/>
  <c r="AI769" i="2" s="1"/>
  <c r="AF769" i="2"/>
  <c r="AH769" i="2"/>
  <c r="Y770" i="2" l="1"/>
  <c r="AA770" i="2"/>
  <c r="AJ769" i="2"/>
  <c r="AD769" i="2" s="1"/>
  <c r="Z770" i="2" l="1"/>
  <c r="AB770" i="2"/>
  <c r="AG770" i="2"/>
  <c r="AK770" i="2"/>
  <c r="AL770" i="2"/>
  <c r="AE770" i="2"/>
  <c r="AI770" i="2"/>
  <c r="AM770" i="2"/>
  <c r="AC770" i="2" l="1"/>
  <c r="AH770" i="2"/>
  <c r="AF770" i="2"/>
  <c r="AJ770" i="2"/>
  <c r="AD770" i="2" l="1"/>
  <c r="Y771" i="2"/>
  <c r="AA771" i="2"/>
  <c r="AM771" i="2" l="1"/>
  <c r="AI771" i="2" s="1"/>
  <c r="AK771" i="2"/>
  <c r="AE771" i="2" s="1"/>
  <c r="AB771" i="2"/>
  <c r="Z771" i="2"/>
  <c r="AF771" i="2" l="1"/>
  <c r="AJ771" i="2"/>
  <c r="AL771" i="2"/>
  <c r="AG771" i="2" s="1"/>
  <c r="AC771" i="2" s="1"/>
  <c r="Y772" i="2" l="1"/>
  <c r="AA772" i="2"/>
  <c r="AH771" i="2"/>
  <c r="AD771" i="2" s="1"/>
  <c r="Z772" i="2" l="1"/>
  <c r="AB772" i="2"/>
  <c r="AE772" i="2"/>
  <c r="AM772" i="2"/>
  <c r="AI772" i="2" s="1"/>
  <c r="AG772" i="2"/>
  <c r="AK772" i="2"/>
  <c r="AL772" i="2"/>
  <c r="AC772" i="2" l="1"/>
  <c r="AF772" i="2"/>
  <c r="AJ772" i="2"/>
  <c r="AH772" i="2"/>
  <c r="AD772" i="2" l="1"/>
  <c r="AA773" i="2"/>
  <c r="Y773" i="2"/>
  <c r="AL773" i="2" l="1"/>
  <c r="AG773" i="2" s="1"/>
  <c r="AM773" i="2"/>
  <c r="AI773" i="2" s="1"/>
  <c r="AB773" i="2"/>
  <c r="Z773" i="2"/>
  <c r="AJ773" i="2" l="1"/>
  <c r="AH773" i="2"/>
  <c r="AK773" i="2"/>
  <c r="AE773" i="2" s="1"/>
  <c r="AC773" i="2" s="1"/>
  <c r="Y774" i="2" l="1"/>
  <c r="AA774" i="2"/>
  <c r="AF773" i="2"/>
  <c r="AD773" i="2" s="1"/>
  <c r="AB774" i="2" l="1"/>
  <c r="Z774" i="2"/>
  <c r="AL774" i="2"/>
  <c r="AG774" i="2" s="1"/>
  <c r="AH774" i="2" l="1"/>
  <c r="AJ774" i="2"/>
  <c r="AF774" i="2"/>
  <c r="AD774" i="2" s="1"/>
  <c r="Z775" i="2" s="1"/>
  <c r="AM774" i="2"/>
  <c r="AI774" i="2" s="1"/>
  <c r="AK774" i="2"/>
  <c r="AE774" i="2" s="1"/>
  <c r="AC774" i="2" s="1"/>
  <c r="Y775" i="2" l="1"/>
  <c r="AA775" i="2"/>
  <c r="AB775" i="2"/>
  <c r="AL775" i="2" l="1"/>
  <c r="AH775" i="2" s="1"/>
  <c r="AM775" i="2"/>
  <c r="AJ775" i="2" s="1"/>
  <c r="AK775" i="2"/>
  <c r="AF775" i="2" s="1"/>
  <c r="AD775" i="2" s="1"/>
  <c r="Z776" i="2" s="1"/>
  <c r="AB776" i="2" l="1"/>
  <c r="AE775" i="2"/>
  <c r="AG775" i="2"/>
  <c r="AI775" i="2"/>
  <c r="AC775" i="2" l="1"/>
  <c r="AA776" i="2" l="1"/>
  <c r="Y776" i="2"/>
  <c r="AM776" i="2" l="1"/>
  <c r="AJ776" i="2" s="1"/>
  <c r="AK776" i="2"/>
  <c r="AF776" i="2" s="1"/>
  <c r="AL776" i="2"/>
  <c r="AH776" i="2" s="1"/>
  <c r="AD776" i="2" l="1"/>
  <c r="AI776" i="2"/>
  <c r="AG776" i="2"/>
  <c r="AE776" i="2"/>
  <c r="AC776" i="2" s="1"/>
  <c r="AA777" i="2" l="1"/>
  <c r="Y777" i="2"/>
  <c r="Z777" i="2"/>
  <c r="AB777" i="2"/>
  <c r="AJ777" i="2" l="1"/>
  <c r="AK777" i="2"/>
  <c r="AF777" i="2" s="1"/>
  <c r="AL777" i="2"/>
  <c r="AH777" i="2" s="1"/>
  <c r="AM777" i="2"/>
  <c r="AI777" i="2"/>
  <c r="AE777" i="2"/>
  <c r="AD777" i="2" l="1"/>
  <c r="AG777" i="2"/>
  <c r="AC777" i="2" s="1"/>
  <c r="AA778" i="2" l="1"/>
  <c r="Y778" i="2"/>
  <c r="AB778" i="2"/>
  <c r="Z778" i="2"/>
  <c r="AK778" i="2" l="1"/>
  <c r="AE778" i="2" s="1"/>
  <c r="AL778" i="2"/>
  <c r="AH778" i="2" s="1"/>
  <c r="AM778" i="2"/>
  <c r="AI778" i="2" s="1"/>
  <c r="AJ778" i="2" l="1"/>
  <c r="AF778" i="2"/>
  <c r="AD778" i="2" s="1"/>
  <c r="AG778" i="2"/>
  <c r="AC778" i="2" s="1"/>
  <c r="AA779" i="2" l="1"/>
  <c r="Y779" i="2"/>
  <c r="Z779" i="2"/>
  <c r="AB779" i="2"/>
  <c r="AL779" i="2" l="1"/>
  <c r="AK779" i="2"/>
  <c r="AE779" i="2" s="1"/>
  <c r="AG779" i="2"/>
  <c r="AM779" i="2"/>
  <c r="AJ779" i="2" s="1"/>
  <c r="AH779" i="2"/>
  <c r="AF779" i="2" l="1"/>
  <c r="AD779" i="2" s="1"/>
  <c r="AI779" i="2"/>
  <c r="AC779" i="2" s="1"/>
  <c r="AA780" i="2" l="1"/>
  <c r="Y780" i="2"/>
  <c r="Z780" i="2"/>
  <c r="AB780" i="2"/>
  <c r="AM780" i="2" l="1"/>
  <c r="AI780" i="2" s="1"/>
  <c r="AK780" i="2"/>
  <c r="AF780" i="2" s="1"/>
  <c r="AL780" i="2"/>
  <c r="AG780" i="2" s="1"/>
  <c r="AJ780" i="2" l="1"/>
  <c r="AH780" i="2"/>
  <c r="AD780" i="2" s="1"/>
  <c r="AE780" i="2"/>
  <c r="AC780" i="2" s="1"/>
  <c r="Z781" i="2" l="1"/>
  <c r="AB781" i="2"/>
  <c r="AA781" i="2"/>
  <c r="Y781" i="2"/>
  <c r="AG781" i="2" l="1"/>
  <c r="AL781" i="2"/>
  <c r="AM781" i="2"/>
  <c r="AE781" i="2"/>
  <c r="AI781" i="2"/>
  <c r="AK781" i="2"/>
  <c r="AF781" i="2"/>
  <c r="AJ781" i="2"/>
  <c r="AH781" i="2"/>
  <c r="AC781" i="2" l="1"/>
  <c r="AD781" i="2"/>
  <c r="Z782" i="2" l="1"/>
  <c r="AB782" i="2"/>
  <c r="AA782" i="2"/>
  <c r="Y782" i="2"/>
  <c r="AK782" i="2" l="1"/>
  <c r="AE782" i="2" s="1"/>
  <c r="AM782" i="2"/>
  <c r="AI782" i="2"/>
  <c r="AL782" i="2"/>
  <c r="AG782" i="2" s="1"/>
  <c r="AF782" i="2"/>
  <c r="AJ782" i="2"/>
  <c r="AC782" i="2" l="1"/>
  <c r="AH782" i="2"/>
  <c r="AD782" i="2" s="1"/>
  <c r="AB783" i="2" l="1"/>
  <c r="Z783" i="2"/>
  <c r="Y783" i="2"/>
  <c r="AA783" i="2"/>
  <c r="AK783" i="2" l="1"/>
  <c r="AF783" i="2" s="1"/>
  <c r="AD783" i="2" s="1"/>
  <c r="AM783" i="2"/>
  <c r="AL783" i="2"/>
  <c r="AG783" i="2" s="1"/>
  <c r="AI783" i="2"/>
  <c r="AJ783" i="2"/>
  <c r="AH783" i="2"/>
  <c r="AB784" i="2" l="1"/>
  <c r="Z784" i="2"/>
  <c r="AE783" i="2"/>
  <c r="AC783" i="2" s="1"/>
  <c r="Y784" i="2" l="1"/>
  <c r="AA784" i="2"/>
  <c r="AG784" i="2" l="1"/>
  <c r="AK784" i="2"/>
  <c r="AF784" i="2" s="1"/>
  <c r="AD784" i="2" s="1"/>
  <c r="AL784" i="2"/>
  <c r="AH784" i="2" s="1"/>
  <c r="AM784" i="2"/>
  <c r="AJ784" i="2" s="1"/>
  <c r="AB785" i="2" l="1"/>
  <c r="Z785" i="2"/>
  <c r="AI784" i="2"/>
  <c r="AE784" i="2"/>
  <c r="AC784" i="2" s="1"/>
  <c r="AA785" i="2" l="1"/>
  <c r="Y785" i="2"/>
  <c r="AL785" i="2" l="1"/>
  <c r="AH785" i="2" s="1"/>
  <c r="AM785" i="2"/>
  <c r="AJ785" i="2" s="1"/>
  <c r="AK785" i="2"/>
  <c r="AF785" i="2" s="1"/>
  <c r="AG785" i="2"/>
  <c r="AI785" i="2" l="1"/>
  <c r="AE785" i="2"/>
  <c r="AC785" i="2" s="1"/>
  <c r="AD785" i="2"/>
  <c r="Z786" i="2" l="1"/>
  <c r="AB786" i="2"/>
  <c r="Y786" i="2"/>
  <c r="AA786" i="2"/>
  <c r="AM786" i="2" l="1"/>
  <c r="AI786" i="2" s="1"/>
  <c r="AK786" i="2"/>
  <c r="AE786" i="2" s="1"/>
  <c r="AL786" i="2"/>
  <c r="AG786" i="2" s="1"/>
  <c r="AC786" i="2" l="1"/>
  <c r="AH786" i="2"/>
  <c r="AJ786" i="2"/>
  <c r="AF786" i="2"/>
  <c r="AD786" i="2" s="1"/>
  <c r="AB787" i="2" l="1"/>
  <c r="Z787" i="2"/>
  <c r="AA787" i="2"/>
  <c r="Y787" i="2"/>
  <c r="AM787" i="2" l="1"/>
  <c r="AJ787" i="2" s="1"/>
  <c r="AK787" i="2"/>
  <c r="AF787" i="2" s="1"/>
  <c r="AD787" i="2" s="1"/>
  <c r="AL787" i="2"/>
  <c r="AH787" i="2" s="1"/>
  <c r="AB788" i="2" l="1"/>
  <c r="Z788" i="2"/>
  <c r="AI787" i="2"/>
  <c r="AE787" i="2"/>
  <c r="AC787" i="2" s="1"/>
  <c r="AG787" i="2"/>
  <c r="AA788" i="2" l="1"/>
  <c r="Y788" i="2"/>
  <c r="AK788" i="2" l="1"/>
  <c r="AF788" i="2" s="1"/>
  <c r="AL788" i="2"/>
  <c r="AH788" i="2" s="1"/>
  <c r="AE788" i="2"/>
  <c r="AM788" i="2"/>
  <c r="AJ788" i="2" s="1"/>
  <c r="AD788" i="2" l="1"/>
  <c r="AI788" i="2"/>
  <c r="AG788" i="2"/>
  <c r="AC788" i="2" s="1"/>
  <c r="Y789" i="2" l="1"/>
  <c r="AA789" i="2"/>
  <c r="Z789" i="2"/>
  <c r="AB789" i="2"/>
  <c r="AL789" i="2" l="1"/>
  <c r="AH789" i="2" s="1"/>
  <c r="AG789" i="2"/>
  <c r="AM789" i="2"/>
  <c r="AI789" i="2" s="1"/>
  <c r="AK789" i="2"/>
  <c r="AE789" i="2" s="1"/>
  <c r="AC789" i="2" l="1"/>
  <c r="AJ789" i="2"/>
  <c r="AF789" i="2"/>
  <c r="AD789" i="2" s="1"/>
  <c r="AB790" i="2" l="1"/>
  <c r="Z790" i="2"/>
  <c r="AA790" i="2"/>
  <c r="Y790" i="2"/>
  <c r="AM790" i="2" l="1"/>
  <c r="AJ790" i="2" s="1"/>
  <c r="AL790" i="2"/>
  <c r="AH790" i="2" s="1"/>
  <c r="AG790" i="2"/>
  <c r="AK790" i="2"/>
  <c r="AF790" i="2" s="1"/>
  <c r="AD790" i="2" s="1"/>
  <c r="AB791" i="2" l="1"/>
  <c r="Z791" i="2"/>
  <c r="AI790" i="2"/>
  <c r="AE790" i="2"/>
  <c r="AC790" i="2" l="1"/>
  <c r="AA791" i="2" l="1"/>
  <c r="Y791" i="2"/>
  <c r="AG791" i="2" l="1"/>
  <c r="AK791" i="2"/>
  <c r="AF791" i="2" s="1"/>
  <c r="AD791" i="2" s="1"/>
  <c r="AL791" i="2"/>
  <c r="AH791" i="2" s="1"/>
  <c r="AM791" i="2"/>
  <c r="AJ791" i="2" s="1"/>
  <c r="AB792" i="2" l="1"/>
  <c r="Z792" i="2"/>
  <c r="AE791" i="2"/>
  <c r="AI791" i="2"/>
  <c r="AC791" i="2" l="1"/>
  <c r="Y792" i="2" l="1"/>
  <c r="AA792" i="2"/>
  <c r="AG792" i="2" l="1"/>
  <c r="AK792" i="2"/>
  <c r="AF792" i="2" s="1"/>
  <c r="AL792" i="2"/>
  <c r="AH792" i="2" s="1"/>
  <c r="AM792" i="2"/>
  <c r="AJ792" i="2" s="1"/>
  <c r="AI792" i="2" l="1"/>
  <c r="AE792" i="2"/>
  <c r="AC792" i="2" s="1"/>
  <c r="AD792" i="2"/>
  <c r="Z793" i="2" l="1"/>
  <c r="AB793" i="2"/>
  <c r="AA793" i="2"/>
  <c r="Y793" i="2"/>
  <c r="AL793" i="2" l="1"/>
  <c r="AK793" i="2"/>
  <c r="AE793" i="2"/>
  <c r="AI793" i="2"/>
  <c r="AM793" i="2"/>
  <c r="AG793" i="2"/>
  <c r="AH793" i="2"/>
  <c r="AF793" i="2"/>
  <c r="AJ793" i="2"/>
  <c r="AD793" i="2" l="1"/>
  <c r="AC793" i="2"/>
  <c r="Y794" i="2" l="1"/>
  <c r="AA794" i="2"/>
  <c r="AB794" i="2"/>
  <c r="Z794" i="2"/>
  <c r="AJ794" i="2" l="1"/>
  <c r="AI794" i="2"/>
  <c r="AM794" i="2"/>
  <c r="AG794" i="2"/>
  <c r="AK794" i="2"/>
  <c r="AF794" i="2" s="1"/>
  <c r="AL794" i="2"/>
  <c r="AH794" i="2" s="1"/>
  <c r="AD794" i="2" l="1"/>
  <c r="AE794" i="2"/>
  <c r="AC794" i="2" s="1"/>
  <c r="AA795" i="2" l="1"/>
  <c r="Y795" i="2"/>
  <c r="AB795" i="2"/>
  <c r="Z795" i="2"/>
  <c r="AK795" i="2" l="1"/>
  <c r="AF795" i="2" s="1"/>
  <c r="AM795" i="2"/>
  <c r="AI795" i="2" s="1"/>
  <c r="AL795" i="2"/>
  <c r="AG795" i="2" s="1"/>
  <c r="AH795" i="2" l="1"/>
  <c r="AD795" i="2" s="1"/>
  <c r="AE795" i="2"/>
  <c r="AC795" i="2" s="1"/>
  <c r="AJ795" i="2"/>
  <c r="AB796" i="2" l="1"/>
  <c r="Z796" i="2"/>
  <c r="AA796" i="2"/>
  <c r="Y796" i="2"/>
  <c r="AK796" i="2" l="1"/>
  <c r="AL796" i="2"/>
  <c r="AG796" i="2" s="1"/>
  <c r="AE796" i="2"/>
  <c r="AM796" i="2"/>
  <c r="AI796" i="2" s="1"/>
  <c r="AF796" i="2"/>
  <c r="AJ796" i="2"/>
  <c r="AC796" i="2" l="1"/>
  <c r="AH796" i="2"/>
  <c r="AD796" i="2"/>
  <c r="Z797" i="2" l="1"/>
  <c r="AB797" i="2"/>
  <c r="Y797" i="2"/>
  <c r="AA797" i="2"/>
  <c r="AL797" i="2" l="1"/>
  <c r="AI797" i="2"/>
  <c r="AM797" i="2"/>
  <c r="AK797" i="2"/>
  <c r="AE797" i="2" s="1"/>
  <c r="AC797" i="2" s="1"/>
  <c r="AG797" i="2"/>
  <c r="AH797" i="2"/>
  <c r="AJ797" i="2"/>
  <c r="AA798" i="2" l="1"/>
  <c r="Y798" i="2"/>
  <c r="AF797" i="2"/>
  <c r="AD797" i="2" s="1"/>
  <c r="AB798" i="2" l="1"/>
  <c r="Z798" i="2"/>
  <c r="AI798" i="2"/>
  <c r="AM798" i="2"/>
  <c r="AL798" i="2"/>
  <c r="AG798" i="2"/>
  <c r="AK798" i="2"/>
  <c r="AE798" i="2" s="1"/>
  <c r="AC798" i="2" s="1"/>
  <c r="AA799" i="2" l="1"/>
  <c r="Y799" i="2"/>
  <c r="AF798" i="2"/>
  <c r="AJ798" i="2"/>
  <c r="AH798" i="2"/>
  <c r="AD798" i="2" l="1"/>
  <c r="AB799" i="2" l="1"/>
  <c r="Z799" i="2"/>
  <c r="AH799" i="2" l="1"/>
  <c r="AK799" i="2"/>
  <c r="AE799" i="2" s="1"/>
  <c r="AL799" i="2"/>
  <c r="AG799" i="2" s="1"/>
  <c r="AM799" i="2"/>
  <c r="AI799" i="2" s="1"/>
  <c r="AJ799" i="2" l="1"/>
  <c r="AC799" i="2"/>
  <c r="AF799" i="2"/>
  <c r="AD799" i="2" l="1"/>
  <c r="AA800" i="2"/>
  <c r="Y800" i="2"/>
  <c r="AK800" i="2" l="1"/>
  <c r="AE800" i="2" s="1"/>
  <c r="AL800" i="2"/>
  <c r="AG800" i="2" s="1"/>
  <c r="AM800" i="2"/>
  <c r="AI800" i="2" s="1"/>
  <c r="Z800" i="2"/>
  <c r="AB800" i="2"/>
  <c r="AC800" i="2" l="1"/>
  <c r="AH800" i="2"/>
  <c r="AJ800" i="2"/>
  <c r="AF800" i="2"/>
  <c r="AD800" i="2" l="1"/>
  <c r="Y801" i="2"/>
  <c r="AA801" i="2"/>
  <c r="AL801" i="2" l="1"/>
  <c r="AK801" i="2"/>
  <c r="AE801" i="2"/>
  <c r="AM801" i="2"/>
  <c r="AI801" i="2" s="1"/>
  <c r="AG801" i="2"/>
  <c r="Z801" i="2"/>
  <c r="AB801" i="2"/>
  <c r="AC801" i="2" l="1"/>
  <c r="AH801" i="2"/>
  <c r="AF801" i="2"/>
  <c r="AD801" i="2" s="1"/>
  <c r="AB802" i="2" s="1"/>
  <c r="AJ801" i="2"/>
  <c r="Z802" i="2" l="1"/>
  <c r="AA802" i="2"/>
  <c r="Y802" i="2"/>
  <c r="AM802" i="2" l="1"/>
  <c r="AI802" i="2" s="1"/>
  <c r="AL802" i="2"/>
  <c r="AH802" i="2" s="1"/>
  <c r="AK802" i="2"/>
  <c r="AE802" i="2" s="1"/>
  <c r="AJ802" i="2" l="1"/>
  <c r="AG802" i="2"/>
  <c r="AC802" i="2" s="1"/>
  <c r="AF802" i="2"/>
  <c r="AD802" i="2" s="1"/>
  <c r="AA803" i="2" l="1"/>
  <c r="Y803" i="2"/>
  <c r="AB803" i="2"/>
  <c r="Z803" i="2"/>
  <c r="AK803" i="2" l="1"/>
  <c r="AE803" i="2" s="1"/>
  <c r="AL803" i="2"/>
  <c r="AG803" i="2" s="1"/>
  <c r="AM803" i="2"/>
  <c r="AI803" i="2" s="1"/>
  <c r="AF803" i="2"/>
  <c r="AH803" i="2"/>
  <c r="AC803" i="2" l="1"/>
  <c r="AJ803" i="2"/>
  <c r="AD803" i="2" s="1"/>
  <c r="AB804" i="2" l="1"/>
  <c r="Z804" i="2"/>
  <c r="Y804" i="2"/>
  <c r="AA804" i="2"/>
  <c r="AK804" i="2" l="1"/>
  <c r="AE804" i="2" s="1"/>
  <c r="AC804" i="2" s="1"/>
  <c r="AL804" i="2"/>
  <c r="AG804" i="2" s="1"/>
  <c r="AM804" i="2"/>
  <c r="AI804" i="2" s="1"/>
  <c r="AF804" i="2"/>
  <c r="Y805" i="2" l="1"/>
  <c r="AA805" i="2"/>
  <c r="AJ804" i="2"/>
  <c r="AD804" i="2"/>
  <c r="AH804" i="2"/>
  <c r="Z805" i="2" l="1"/>
  <c r="AB805" i="2"/>
  <c r="AL805" i="2"/>
  <c r="AG805" i="2" s="1"/>
  <c r="AM805" i="2"/>
  <c r="AI805" i="2" s="1"/>
  <c r="AH805" i="2" l="1"/>
  <c r="AJ805" i="2"/>
  <c r="AK805" i="2"/>
  <c r="AE805" i="2" s="1"/>
  <c r="AC805" i="2" s="1"/>
  <c r="AA806" i="2" l="1"/>
  <c r="Y806" i="2"/>
  <c r="AF805" i="2"/>
  <c r="AD805" i="2" s="1"/>
  <c r="AM806" i="2" l="1"/>
  <c r="AI806" i="2" s="1"/>
  <c r="AK806" i="2"/>
  <c r="AE806" i="2" s="1"/>
  <c r="AB806" i="2"/>
  <c r="Z806" i="2"/>
  <c r="AF806" i="2" l="1"/>
  <c r="AJ806" i="2"/>
  <c r="AL806" i="2"/>
  <c r="AG806" i="2" s="1"/>
  <c r="AC806" i="2" s="1"/>
  <c r="AA807" i="2" l="1"/>
  <c r="Y807" i="2"/>
  <c r="AH806" i="2"/>
  <c r="AD806" i="2" s="1"/>
  <c r="AB807" i="2" l="1"/>
  <c r="Z807" i="2"/>
  <c r="AL807" i="2"/>
  <c r="AG807" i="2" s="1"/>
  <c r="AJ807" i="2" l="1"/>
  <c r="AH807" i="2"/>
  <c r="AM807" i="2"/>
  <c r="AI807" i="2" s="1"/>
  <c r="AK807" i="2"/>
  <c r="AE807" i="2" s="1"/>
  <c r="AC807" i="2" s="1"/>
  <c r="AA808" i="2" l="1"/>
  <c r="Y808" i="2"/>
  <c r="AF807" i="2"/>
  <c r="AD807" i="2" s="1"/>
  <c r="Z808" i="2" l="1"/>
  <c r="AB808" i="2"/>
  <c r="AK808" i="2"/>
  <c r="AE808" i="2" s="1"/>
  <c r="AL808" i="2"/>
  <c r="AG808" i="2" s="1"/>
  <c r="AI808" i="2"/>
  <c r="AM808" i="2"/>
  <c r="AC808" i="2" l="1"/>
  <c r="AH808" i="2"/>
  <c r="AF808" i="2"/>
  <c r="AJ808" i="2"/>
  <c r="AD808" i="2" l="1"/>
  <c r="Y809" i="2"/>
  <c r="AA809" i="2"/>
  <c r="AK809" i="2" l="1"/>
  <c r="AE809" i="2" s="1"/>
  <c r="Z809" i="2"/>
  <c r="AL809" i="2" s="1"/>
  <c r="AG809" i="2" s="1"/>
  <c r="AB809" i="2"/>
  <c r="AH809" i="2" l="1"/>
  <c r="AF809" i="2"/>
  <c r="AM809" i="2"/>
  <c r="AI809" i="2" s="1"/>
  <c r="AC809" i="2" s="1"/>
  <c r="AA810" i="2" l="1"/>
  <c r="Y810" i="2"/>
  <c r="AJ809" i="2"/>
  <c r="AD809" i="2"/>
  <c r="AM810" i="2" l="1"/>
  <c r="AI810" i="2" s="1"/>
  <c r="AL810" i="2"/>
  <c r="AG810" i="2" s="1"/>
  <c r="AB810" i="2"/>
  <c r="Z810" i="2"/>
  <c r="AK810" i="2" s="1"/>
  <c r="AE810" i="2" s="1"/>
  <c r="AC810" i="2" s="1"/>
  <c r="AA811" i="2" l="1"/>
  <c r="Y811" i="2"/>
  <c r="AF810" i="2"/>
  <c r="AD810" i="2" s="1"/>
  <c r="AB811" i="2" s="1"/>
  <c r="AJ810" i="2"/>
  <c r="AH810" i="2"/>
  <c r="Z811" i="2" l="1"/>
  <c r="AK811" i="2" s="1"/>
  <c r="AE811" i="2" s="1"/>
  <c r="AM811" i="2"/>
  <c r="AI811" i="2" s="1"/>
  <c r="AL811" i="2"/>
  <c r="AG811" i="2" s="1"/>
  <c r="AC811" i="2" l="1"/>
  <c r="AF811" i="2"/>
  <c r="AJ811" i="2"/>
  <c r="AH811" i="2"/>
  <c r="AD811" i="2" l="1"/>
  <c r="Y812" i="2"/>
  <c r="AA812" i="2"/>
  <c r="AM812" i="2" l="1"/>
  <c r="AI812" i="2" s="1"/>
  <c r="AB812" i="2"/>
  <c r="Z812" i="2"/>
  <c r="AK812" i="2" s="1"/>
  <c r="AE812" i="2" s="1"/>
  <c r="AJ812" i="2" l="1"/>
  <c r="AF812" i="2"/>
  <c r="AL812" i="2"/>
  <c r="AG812" i="2" s="1"/>
  <c r="AC812" i="2" s="1"/>
  <c r="AA813" i="2" l="1"/>
  <c r="Y813" i="2"/>
  <c r="AH812" i="2"/>
  <c r="AD812" i="2"/>
  <c r="AB813" i="2" l="1"/>
  <c r="Z813" i="2"/>
  <c r="AL813" i="2"/>
  <c r="AG813" i="2" s="1"/>
  <c r="AK813" i="2"/>
  <c r="AE813" i="2" s="1"/>
  <c r="AC813" i="2" s="1"/>
  <c r="AM813" i="2"/>
  <c r="AI813" i="2" s="1"/>
  <c r="AA814" i="2" l="1"/>
  <c r="Y814" i="2"/>
  <c r="AH813" i="2"/>
  <c r="AF813" i="2"/>
  <c r="AD813" i="2" s="1"/>
  <c r="Z814" i="2" s="1"/>
  <c r="AJ813" i="2"/>
  <c r="AB814" i="2" l="1"/>
  <c r="AM814" i="2"/>
  <c r="AJ814" i="2" s="1"/>
  <c r="AL814" i="2"/>
  <c r="AH814" i="2" s="1"/>
  <c r="AG814" i="2"/>
  <c r="AK814" i="2"/>
  <c r="AF814" i="2" s="1"/>
  <c r="AD814" i="2" l="1"/>
  <c r="Z815" i="2" s="1"/>
  <c r="AI814" i="2"/>
  <c r="AE814" i="2"/>
  <c r="AC814" i="2" s="1"/>
  <c r="AB815" i="2"/>
  <c r="Y815" i="2" l="1"/>
  <c r="AA815" i="2"/>
  <c r="AM815" i="2" l="1"/>
  <c r="AJ815" i="2" s="1"/>
  <c r="AK815" i="2"/>
  <c r="AF815" i="2" s="1"/>
  <c r="AE815" i="2"/>
  <c r="AL815" i="2"/>
  <c r="AH815" i="2" s="1"/>
  <c r="AI815" i="2"/>
  <c r="AG815" i="2" l="1"/>
  <c r="AC815" i="2"/>
  <c r="AD815" i="2"/>
  <c r="AB816" i="2" l="1"/>
  <c r="Z816" i="2"/>
  <c r="AA816" i="2"/>
  <c r="Y816" i="2"/>
  <c r="AK816" i="2" l="1"/>
  <c r="AL816" i="2"/>
  <c r="AG816" i="2" s="1"/>
  <c r="AE816" i="2"/>
  <c r="AM816" i="2"/>
  <c r="AI816" i="2" s="1"/>
  <c r="AJ816" i="2"/>
  <c r="AF816" i="2"/>
  <c r="AC816" i="2" l="1"/>
  <c r="AH816" i="2"/>
  <c r="AD816" i="2" s="1"/>
  <c r="Z817" i="2" l="1"/>
  <c r="AB817" i="2"/>
  <c r="Y817" i="2"/>
  <c r="AA817" i="2"/>
  <c r="AL817" i="2" l="1"/>
  <c r="AK817" i="2"/>
  <c r="AE817" i="2" s="1"/>
  <c r="AM817" i="2"/>
  <c r="AI817" i="2" s="1"/>
  <c r="AG817" i="2"/>
  <c r="AH817" i="2"/>
  <c r="AF817" i="2"/>
  <c r="AC817" i="2" l="1"/>
  <c r="AJ817" i="2"/>
  <c r="AD817" i="2" s="1"/>
  <c r="AB818" i="2" l="1"/>
  <c r="Z818" i="2"/>
  <c r="AA818" i="2"/>
  <c r="Y818" i="2"/>
  <c r="AM818" i="2" l="1"/>
  <c r="AI818" i="2" s="1"/>
  <c r="AL818" i="2"/>
  <c r="AG818" i="2" s="1"/>
  <c r="AK818" i="2"/>
  <c r="AE818" i="2" s="1"/>
  <c r="AC818" i="2" s="1"/>
  <c r="Y819" i="2" l="1"/>
  <c r="AA819" i="2"/>
  <c r="AH818" i="2"/>
  <c r="AJ818" i="2"/>
  <c r="AF818" i="2"/>
  <c r="AD818" i="2" l="1"/>
  <c r="AB819" i="2" l="1"/>
  <c r="Z819" i="2"/>
  <c r="AJ819" i="2" l="1"/>
  <c r="AH819" i="2"/>
  <c r="AM819" i="2"/>
  <c r="AI819" i="2" s="1"/>
  <c r="AL819" i="2"/>
  <c r="AG819" i="2" s="1"/>
  <c r="AK819" i="2"/>
  <c r="AE819" i="2" s="1"/>
  <c r="AC819" i="2" s="1"/>
  <c r="AA820" i="2" l="1"/>
  <c r="Y820" i="2"/>
  <c r="AF819" i="2"/>
  <c r="AD819" i="2" s="1"/>
  <c r="Z820" i="2" l="1"/>
  <c r="AB820" i="2"/>
  <c r="AG820" i="2"/>
  <c r="AK820" i="2"/>
  <c r="AE820" i="2" s="1"/>
  <c r="AC820" i="2" s="1"/>
  <c r="AL820" i="2"/>
  <c r="AM820" i="2"/>
  <c r="AI820" i="2" s="1"/>
  <c r="Y821" i="2" l="1"/>
  <c r="AA821" i="2"/>
  <c r="AJ820" i="2"/>
  <c r="AH820" i="2"/>
  <c r="AF820" i="2"/>
  <c r="AD820" i="2" s="1"/>
  <c r="Z821" i="2" s="1"/>
  <c r="AF821" i="2" l="1"/>
  <c r="AB821" i="2"/>
  <c r="AL821" i="2"/>
  <c r="AH821" i="2" s="1"/>
  <c r="AG821" i="2"/>
  <c r="AM821" i="2"/>
  <c r="AI821" i="2" s="1"/>
  <c r="AK821" i="2"/>
  <c r="AE821" i="2" s="1"/>
  <c r="AC821" i="2" s="1"/>
  <c r="AA822" i="2" l="1"/>
  <c r="Y822" i="2"/>
  <c r="AJ821" i="2"/>
  <c r="AD821" i="2"/>
  <c r="Z822" i="2" s="1"/>
  <c r="AM822" i="2" l="1"/>
  <c r="AJ822" i="2" s="1"/>
  <c r="AL822" i="2"/>
  <c r="AG822" i="2" s="1"/>
  <c r="AK822" i="2"/>
  <c r="AF822" i="2" s="1"/>
  <c r="AB822" i="2"/>
  <c r="AI822" i="2" l="1"/>
  <c r="AH822" i="2"/>
  <c r="AD822" i="2" s="1"/>
  <c r="AE822" i="2"/>
  <c r="Z823" i="2" l="1"/>
  <c r="AB823" i="2"/>
  <c r="AC822" i="2"/>
  <c r="Y823" i="2" l="1"/>
  <c r="AA823" i="2"/>
  <c r="AK823" i="2" l="1"/>
  <c r="AF823" i="2" s="1"/>
  <c r="AM823" i="2"/>
  <c r="AJ823" i="2" s="1"/>
  <c r="AL823" i="2"/>
  <c r="AH823" i="2" s="1"/>
  <c r="AE823" i="2"/>
  <c r="AG823" i="2" l="1"/>
  <c r="AC823" i="2" s="1"/>
  <c r="AI823" i="2"/>
  <c r="AD823" i="2"/>
  <c r="AA824" i="2" l="1"/>
  <c r="Y824" i="2"/>
  <c r="AB824" i="2"/>
  <c r="Z824" i="2"/>
  <c r="AK824" i="2" l="1"/>
  <c r="AE824" i="2" s="1"/>
  <c r="AL824" i="2"/>
  <c r="AG824" i="2" s="1"/>
  <c r="AM824" i="2"/>
  <c r="AJ824" i="2" s="1"/>
  <c r="AH824" i="2" l="1"/>
  <c r="AI824" i="2"/>
  <c r="AC824" i="2" s="1"/>
  <c r="AF824" i="2"/>
  <c r="AD824" i="2" s="1"/>
  <c r="Y825" i="2" l="1"/>
  <c r="AA825" i="2"/>
  <c r="AB825" i="2"/>
  <c r="Z825" i="2"/>
  <c r="AF825" i="2" l="1"/>
  <c r="AJ825" i="2"/>
  <c r="AL825" i="2"/>
  <c r="AH825" i="2" s="1"/>
  <c r="AG825" i="2"/>
  <c r="AM825" i="2"/>
  <c r="AI825" i="2" s="1"/>
  <c r="AK825" i="2"/>
  <c r="AE825" i="2" s="1"/>
  <c r="AC825" i="2" s="1"/>
  <c r="AA826" i="2" l="1"/>
  <c r="Y826" i="2"/>
  <c r="AD825" i="2"/>
  <c r="Z826" i="2" l="1"/>
  <c r="AB826" i="2"/>
  <c r="AI826" i="2"/>
  <c r="AM826" i="2"/>
  <c r="AL826" i="2"/>
  <c r="AG826" i="2"/>
  <c r="AK826" i="2"/>
  <c r="AE826" i="2" s="1"/>
  <c r="AC826" i="2" s="1"/>
  <c r="Y827" i="2" l="1"/>
  <c r="AA827" i="2"/>
  <c r="AH826" i="2"/>
  <c r="AF826" i="2"/>
  <c r="AJ826" i="2"/>
  <c r="AD826" i="2" l="1"/>
  <c r="AB827" i="2" l="1"/>
  <c r="Z827" i="2"/>
  <c r="AM827" i="2" l="1"/>
  <c r="AI827" i="2" s="1"/>
  <c r="AK827" i="2"/>
  <c r="AE827" i="2" s="1"/>
  <c r="AL827" i="2"/>
  <c r="AG827" i="2" s="1"/>
  <c r="AC827" i="2" l="1"/>
  <c r="AH827" i="2"/>
  <c r="AJ827" i="2"/>
  <c r="AF827" i="2"/>
  <c r="AD827" i="2" s="1"/>
  <c r="Z828" i="2" l="1"/>
  <c r="AB828" i="2"/>
  <c r="AA828" i="2"/>
  <c r="Y828" i="2"/>
  <c r="AK828" i="2" l="1"/>
  <c r="AE828" i="2" s="1"/>
  <c r="AL828" i="2"/>
  <c r="AG828" i="2" s="1"/>
  <c r="AM828" i="2"/>
  <c r="AJ828" i="2" s="1"/>
  <c r="AF828" i="2"/>
  <c r="AH828" i="2" l="1"/>
  <c r="AD828" i="2" s="1"/>
  <c r="AI828" i="2"/>
  <c r="AC828" i="2" s="1"/>
  <c r="AA829" i="2" l="1"/>
  <c r="Y829" i="2"/>
  <c r="AB829" i="2"/>
  <c r="Z829" i="2"/>
  <c r="AL829" i="2" l="1"/>
  <c r="AH829" i="2" s="1"/>
  <c r="AM829" i="2"/>
  <c r="AI829" i="2" s="1"/>
  <c r="AK829" i="2"/>
  <c r="AF829" i="2" s="1"/>
  <c r="AE829" i="2" l="1"/>
  <c r="AG829" i="2"/>
  <c r="AJ829" i="2"/>
  <c r="AD829" i="2" s="1"/>
  <c r="AB830" i="2" l="1"/>
  <c r="Z830" i="2"/>
  <c r="AC829" i="2"/>
  <c r="AA830" i="2" l="1"/>
  <c r="Y830" i="2"/>
  <c r="AM830" i="2" l="1"/>
  <c r="AJ830" i="2" s="1"/>
  <c r="AK830" i="2"/>
  <c r="AF830" i="2" s="1"/>
  <c r="AL830" i="2"/>
  <c r="AH830" i="2" s="1"/>
  <c r="AD830" i="2" l="1"/>
  <c r="AI830" i="2"/>
  <c r="AG830" i="2"/>
  <c r="AE830" i="2"/>
  <c r="AC830" i="2" s="1"/>
  <c r="Y831" i="2" l="1"/>
  <c r="AA831" i="2"/>
  <c r="Z831" i="2"/>
  <c r="AB831" i="2"/>
  <c r="AM831" i="2" l="1"/>
  <c r="AI831" i="2" s="1"/>
  <c r="AK831" i="2"/>
  <c r="AF831" i="2" s="1"/>
  <c r="AL831" i="2"/>
  <c r="AG831" i="2" s="1"/>
  <c r="AJ831" i="2" l="1"/>
  <c r="AH831" i="2"/>
  <c r="AD831" i="2" s="1"/>
  <c r="AE831" i="2"/>
  <c r="AC831" i="2" s="1"/>
  <c r="AB832" i="2" l="1"/>
  <c r="Z832" i="2"/>
  <c r="Y832" i="2"/>
  <c r="AA832" i="2"/>
  <c r="AK832" i="2" l="1"/>
  <c r="AE832" i="2" s="1"/>
  <c r="AL832" i="2"/>
  <c r="AG832" i="2" s="1"/>
  <c r="AM832" i="2"/>
  <c r="AI832" i="2" s="1"/>
  <c r="AF832" i="2"/>
  <c r="AC832" i="2" l="1"/>
  <c r="AH832" i="2"/>
  <c r="AD832" i="2" s="1"/>
  <c r="AJ832" i="2"/>
  <c r="Z833" i="2" l="1"/>
  <c r="AB833" i="2"/>
  <c r="AA833" i="2"/>
  <c r="Y833" i="2"/>
  <c r="AL833" i="2" l="1"/>
  <c r="AG833" i="2" s="1"/>
  <c r="AK833" i="2"/>
  <c r="AE833" i="2" s="1"/>
  <c r="AM833" i="2"/>
  <c r="AJ833" i="2" s="1"/>
  <c r="AF833" i="2"/>
  <c r="AH833" i="2" l="1"/>
  <c r="AD833" i="2" s="1"/>
  <c r="AI833" i="2"/>
  <c r="AC833" i="2" s="1"/>
  <c r="AA834" i="2" l="1"/>
  <c r="Y834" i="2"/>
  <c r="AB834" i="2"/>
  <c r="Z834" i="2"/>
  <c r="AH834" i="2" l="1"/>
  <c r="AM834" i="2"/>
  <c r="AJ834" i="2" s="1"/>
  <c r="AL834" i="2"/>
  <c r="AG834" i="2"/>
  <c r="AK834" i="2"/>
  <c r="AF834" i="2" s="1"/>
  <c r="AD834" i="2" l="1"/>
  <c r="AI834" i="2"/>
  <c r="AE834" i="2"/>
  <c r="AC834" i="2" s="1"/>
  <c r="AA835" i="2" l="1"/>
  <c r="Y835" i="2"/>
  <c r="AB835" i="2"/>
  <c r="Z835" i="2"/>
  <c r="AM835" i="2" l="1"/>
  <c r="AJ835" i="2" s="1"/>
  <c r="AK835" i="2"/>
  <c r="AF835" i="2" s="1"/>
  <c r="AD835" i="2" s="1"/>
  <c r="AL835" i="2"/>
  <c r="AH835" i="2" s="1"/>
  <c r="AI835" i="2"/>
  <c r="AB836" i="2" l="1"/>
  <c r="Z836" i="2"/>
  <c r="AG835" i="2"/>
  <c r="AE835" i="2"/>
  <c r="AC835" i="2" s="1"/>
  <c r="AA836" i="2" l="1"/>
  <c r="Y836" i="2"/>
  <c r="AK836" i="2" l="1"/>
  <c r="AF836" i="2" s="1"/>
  <c r="AL836" i="2"/>
  <c r="AH836" i="2" s="1"/>
  <c r="AM836" i="2"/>
  <c r="AJ836" i="2" s="1"/>
  <c r="AI836" i="2" l="1"/>
  <c r="AD836" i="2"/>
  <c r="AE836" i="2"/>
  <c r="AG836" i="2"/>
  <c r="AC836" i="2" l="1"/>
  <c r="Z837" i="2"/>
  <c r="AB837" i="2"/>
  <c r="AA837" i="2" l="1"/>
  <c r="Y837" i="2"/>
  <c r="AL837" i="2" l="1"/>
  <c r="AH837" i="2" s="1"/>
  <c r="AI837" i="2"/>
  <c r="AM837" i="2"/>
  <c r="AJ837" i="2" s="1"/>
  <c r="AK837" i="2"/>
  <c r="AF837" i="2" s="1"/>
  <c r="AE837" i="2" l="1"/>
  <c r="AD837" i="2"/>
  <c r="AG837" i="2"/>
  <c r="AB838" i="2" l="1"/>
  <c r="Z838" i="2"/>
  <c r="AC837" i="2"/>
  <c r="AA838" i="2" l="1"/>
  <c r="Y838" i="2"/>
  <c r="AM838" i="2" l="1"/>
  <c r="AJ838" i="2" s="1"/>
  <c r="AL838" i="2"/>
  <c r="AH838" i="2" s="1"/>
  <c r="AK838" i="2"/>
  <c r="AF838" i="2" s="1"/>
  <c r="AD838" i="2" s="1"/>
  <c r="Z839" i="2" l="1"/>
  <c r="AB839" i="2"/>
  <c r="AI838" i="2"/>
  <c r="AG838" i="2"/>
  <c r="AE838" i="2"/>
  <c r="AC838" i="2" l="1"/>
  <c r="Y839" i="2" l="1"/>
  <c r="AA839" i="2"/>
  <c r="AG839" i="2" l="1"/>
  <c r="AK839" i="2"/>
  <c r="AF839" i="2" s="1"/>
  <c r="AD839" i="2" s="1"/>
  <c r="AM839" i="2"/>
  <c r="AJ839" i="2" s="1"/>
  <c r="AL839" i="2"/>
  <c r="AH839" i="2" s="1"/>
  <c r="AE839" i="2"/>
  <c r="AI839" i="2" l="1"/>
  <c r="AC839" i="2" s="1"/>
  <c r="AB840" i="2"/>
  <c r="Z840" i="2"/>
  <c r="AA840" i="2" l="1"/>
  <c r="Y840" i="2"/>
  <c r="AK840" i="2" l="1"/>
  <c r="AF840" i="2" s="1"/>
  <c r="AL840" i="2"/>
  <c r="AH840" i="2" s="1"/>
  <c r="AM840" i="2"/>
  <c r="AJ840" i="2" s="1"/>
  <c r="AD840" i="2" l="1"/>
  <c r="AI840" i="2"/>
  <c r="AE840" i="2"/>
  <c r="AG840" i="2"/>
  <c r="AC840" i="2" l="1"/>
  <c r="Z841" i="2"/>
  <c r="AB841" i="2"/>
  <c r="Y841" i="2" l="1"/>
  <c r="AA841" i="2"/>
  <c r="AL841" i="2" l="1"/>
  <c r="AH841" i="2" s="1"/>
  <c r="AG841" i="2"/>
  <c r="AE841" i="2"/>
  <c r="AI841" i="2"/>
  <c r="AM841" i="2"/>
  <c r="AJ841" i="2" s="1"/>
  <c r="AK841" i="2"/>
  <c r="AF841" i="2" s="1"/>
  <c r="AD841" i="2" s="1"/>
  <c r="AB842" i="2" l="1"/>
  <c r="Z842" i="2"/>
  <c r="AC841" i="2"/>
  <c r="Y842" i="2" l="1"/>
  <c r="AA842" i="2"/>
  <c r="AM842" i="2" l="1"/>
  <c r="AJ842" i="2" s="1"/>
  <c r="AK842" i="2"/>
  <c r="AF842" i="2" s="1"/>
  <c r="AL842" i="2"/>
  <c r="AH842" i="2" s="1"/>
  <c r="AD842" i="2" l="1"/>
  <c r="AI842" i="2"/>
  <c r="AG842" i="2"/>
  <c r="AE842" i="2"/>
  <c r="AC842" i="2" s="1"/>
  <c r="AA843" i="2" l="1"/>
  <c r="Y843" i="2"/>
  <c r="AB843" i="2"/>
  <c r="Z843" i="2"/>
  <c r="AK843" i="2" l="1"/>
  <c r="AE843" i="2" s="1"/>
  <c r="AM843" i="2"/>
  <c r="AI843" i="2" s="1"/>
  <c r="AL843" i="2"/>
  <c r="AG843" i="2" s="1"/>
  <c r="AJ843" i="2"/>
  <c r="AC843" i="2" l="1"/>
  <c r="AF843" i="2"/>
  <c r="AH843" i="2"/>
  <c r="AD843" i="2" l="1"/>
  <c r="Y844" i="2"/>
  <c r="AA844" i="2"/>
  <c r="Z844" i="2" l="1"/>
  <c r="AK844" i="2" s="1"/>
  <c r="AE844" i="2" s="1"/>
  <c r="AB844" i="2"/>
  <c r="AL844" i="2" l="1"/>
  <c r="AG844" i="2" s="1"/>
  <c r="AC844" i="2" s="1"/>
  <c r="AM844" i="2"/>
  <c r="AI844" i="2" s="1"/>
  <c r="AF844" i="2"/>
  <c r="AJ844" i="2"/>
  <c r="AA845" i="2" l="1"/>
  <c r="Y845" i="2"/>
  <c r="AH844" i="2"/>
  <c r="AD844" i="2" s="1"/>
  <c r="Z845" i="2" l="1"/>
  <c r="AB845" i="2"/>
  <c r="AL845" i="2"/>
  <c r="AG845" i="2" s="1"/>
  <c r="AM845" i="2"/>
  <c r="AI845" i="2" s="1"/>
  <c r="AK845" i="2"/>
  <c r="AE845" i="2" s="1"/>
  <c r="AC845" i="2" l="1"/>
  <c r="AH845" i="2"/>
  <c r="AF845" i="2"/>
  <c r="AD845" i="2" s="1"/>
  <c r="AB846" i="2" s="1"/>
  <c r="AJ845" i="2"/>
  <c r="Y846" i="2" l="1"/>
  <c r="AA846" i="2"/>
  <c r="Z846" i="2"/>
  <c r="AM846" i="2" l="1"/>
  <c r="AJ846" i="2" s="1"/>
  <c r="AL846" i="2"/>
  <c r="AG846" i="2" s="1"/>
  <c r="AK846" i="2"/>
  <c r="AF846" i="2" s="1"/>
  <c r="AH846" i="2" l="1"/>
  <c r="AD846" i="2" s="1"/>
  <c r="AI846" i="2"/>
  <c r="AE846" i="2"/>
  <c r="AC846" i="2" s="1"/>
  <c r="AB847" i="2" l="1"/>
  <c r="Z847" i="2"/>
  <c r="Y847" i="2"/>
  <c r="AA847" i="2"/>
  <c r="AM847" i="2" l="1"/>
  <c r="AI847" i="2" s="1"/>
  <c r="AK847" i="2"/>
  <c r="AF847" i="2" s="1"/>
  <c r="AL847" i="2"/>
  <c r="AG847" i="2" s="1"/>
  <c r="AH847" i="2" l="1"/>
  <c r="AD847" i="2" s="1"/>
  <c r="AE847" i="2"/>
  <c r="AC847" i="2" s="1"/>
  <c r="AJ847" i="2"/>
  <c r="AB848" i="2" l="1"/>
  <c r="Z848" i="2"/>
  <c r="Y848" i="2"/>
  <c r="AA848" i="2"/>
  <c r="AK848" i="2" l="1"/>
  <c r="AE848" i="2" s="1"/>
  <c r="AL848" i="2"/>
  <c r="AG848" i="2" s="1"/>
  <c r="AM848" i="2"/>
  <c r="AI848" i="2" s="1"/>
  <c r="AF848" i="2"/>
  <c r="AC848" i="2" l="1"/>
  <c r="AH848" i="2"/>
  <c r="AD848" i="2" s="1"/>
  <c r="AJ848" i="2"/>
  <c r="Z849" i="2" l="1"/>
  <c r="AB849" i="2"/>
  <c r="AA849" i="2"/>
  <c r="Y849" i="2"/>
  <c r="AL849" i="2" l="1"/>
  <c r="AK849" i="2"/>
  <c r="AE849" i="2" s="1"/>
  <c r="AC849" i="2" s="1"/>
  <c r="AI849" i="2"/>
  <c r="AM849" i="2"/>
  <c r="AG849" i="2"/>
  <c r="AH849" i="2"/>
  <c r="AF849" i="2"/>
  <c r="AD849" i="2" s="1"/>
  <c r="AB850" i="2" s="1"/>
  <c r="AJ849" i="2"/>
  <c r="AA850" i="2" l="1"/>
  <c r="Y850" i="2"/>
  <c r="Z850" i="2"/>
  <c r="AM850" i="2" l="1"/>
  <c r="AI850" i="2" s="1"/>
  <c r="AL850" i="2"/>
  <c r="AH850" i="2" s="1"/>
  <c r="AK850" i="2"/>
  <c r="AE850" i="2" s="1"/>
  <c r="AJ850" i="2" l="1"/>
  <c r="AG850" i="2"/>
  <c r="AC850" i="2" s="1"/>
  <c r="AF850" i="2"/>
  <c r="AD850" i="2" s="1"/>
  <c r="AA851" i="2" l="1"/>
  <c r="Y851" i="2"/>
  <c r="AB851" i="2"/>
  <c r="Z851" i="2"/>
  <c r="AM851" i="2" l="1"/>
  <c r="AI851" i="2" s="1"/>
  <c r="AG851" i="2"/>
  <c r="AK851" i="2"/>
  <c r="AF851" i="2" s="1"/>
  <c r="AL851" i="2"/>
  <c r="AH851" i="2" s="1"/>
  <c r="AE851" i="2"/>
  <c r="AC851" i="2" l="1"/>
  <c r="AJ851" i="2"/>
  <c r="AD851" i="2" s="1"/>
  <c r="AB852" i="2" l="1"/>
  <c r="Z852" i="2"/>
  <c r="AA852" i="2"/>
  <c r="Y852" i="2"/>
  <c r="AK852" i="2" l="1"/>
  <c r="AE852" i="2" s="1"/>
  <c r="AL852" i="2"/>
  <c r="AG852" i="2" s="1"/>
  <c r="AM852" i="2"/>
  <c r="AJ852" i="2" s="1"/>
  <c r="AH852" i="2" l="1"/>
  <c r="AF852" i="2"/>
  <c r="AD852" i="2" s="1"/>
  <c r="AI852" i="2"/>
  <c r="AC852" i="2" s="1"/>
  <c r="AA853" i="2" l="1"/>
  <c r="Y853" i="2"/>
  <c r="AB853" i="2"/>
  <c r="Z853" i="2"/>
  <c r="AL853" i="2" l="1"/>
  <c r="AH853" i="2" s="1"/>
  <c r="AK853" i="2"/>
  <c r="AF853" i="2" s="1"/>
  <c r="AM853" i="2"/>
  <c r="AJ853" i="2" s="1"/>
  <c r="AD853" i="2" l="1"/>
  <c r="AI853" i="2"/>
  <c r="AG853" i="2"/>
  <c r="AE853" i="2"/>
  <c r="AC853" i="2" s="1"/>
  <c r="AA854" i="2" l="1"/>
  <c r="Y854" i="2"/>
  <c r="Z854" i="2"/>
  <c r="AB854" i="2"/>
  <c r="AM854" i="2" l="1"/>
  <c r="AI854" i="2" s="1"/>
  <c r="AL854" i="2"/>
  <c r="AH854" i="2" s="1"/>
  <c r="AK854" i="2"/>
  <c r="AE854" i="2" s="1"/>
  <c r="AJ854" i="2" l="1"/>
  <c r="AG854" i="2"/>
  <c r="AC854" i="2" s="1"/>
  <c r="AF854" i="2"/>
  <c r="AD854" i="2" s="1"/>
  <c r="AA855" i="2" l="1"/>
  <c r="Y855" i="2"/>
  <c r="Z855" i="2"/>
  <c r="AB855" i="2"/>
  <c r="AH855" i="2" l="1"/>
  <c r="AG855" i="2"/>
  <c r="AK855" i="2"/>
  <c r="AF855" i="2" s="1"/>
  <c r="AD855" i="2" s="1"/>
  <c r="AL855" i="2"/>
  <c r="AM855" i="2"/>
  <c r="AJ855" i="2" s="1"/>
  <c r="AB856" i="2" l="1"/>
  <c r="Z856" i="2"/>
  <c r="AI855" i="2"/>
  <c r="AE855" i="2"/>
  <c r="AC855" i="2" s="1"/>
  <c r="Y856" i="2" l="1"/>
  <c r="AA856" i="2"/>
  <c r="AK856" i="2" l="1"/>
  <c r="AF856" i="2" s="1"/>
  <c r="AL856" i="2"/>
  <c r="AH856" i="2" s="1"/>
  <c r="AM856" i="2"/>
  <c r="AJ856" i="2" s="1"/>
  <c r="AD856" i="2" l="1"/>
  <c r="AE856" i="2"/>
  <c r="AG856" i="2"/>
  <c r="AI856" i="2"/>
  <c r="AC856" i="2" l="1"/>
  <c r="AB857" i="2"/>
  <c r="Z857" i="2"/>
  <c r="AA857" i="2" l="1"/>
  <c r="Y857" i="2"/>
  <c r="AL857" i="2" l="1"/>
  <c r="AH857" i="2" s="1"/>
  <c r="AM857" i="2"/>
  <c r="AJ857" i="2" s="1"/>
  <c r="AG857" i="2"/>
  <c r="AK857" i="2"/>
  <c r="AF857" i="2" s="1"/>
  <c r="AD857" i="2" s="1"/>
  <c r="AI857" i="2" l="1"/>
  <c r="AB858" i="2"/>
  <c r="Z858" i="2"/>
  <c r="AE857" i="2"/>
  <c r="AC857" i="2" s="1"/>
  <c r="Y858" i="2" l="1"/>
  <c r="AA858" i="2"/>
  <c r="AM858" i="2" l="1"/>
  <c r="AJ858" i="2" s="1"/>
  <c r="AL858" i="2"/>
  <c r="AH858" i="2" s="1"/>
  <c r="AG858" i="2"/>
  <c r="AK858" i="2"/>
  <c r="AF858" i="2" s="1"/>
  <c r="AD858" i="2" s="1"/>
  <c r="AB859" i="2" l="1"/>
  <c r="Z859" i="2"/>
  <c r="AI858" i="2"/>
  <c r="AE858" i="2"/>
  <c r="AC858" i="2" s="1"/>
  <c r="AA859" i="2" l="1"/>
  <c r="Y859" i="2"/>
  <c r="AK859" i="2" l="1"/>
  <c r="AF859" i="2" s="1"/>
  <c r="AD859" i="2" s="1"/>
  <c r="AL859" i="2"/>
  <c r="AH859" i="2" s="1"/>
  <c r="AM859" i="2"/>
  <c r="AJ859" i="2" s="1"/>
  <c r="Z860" i="2" l="1"/>
  <c r="AB860" i="2"/>
  <c r="AG859" i="2"/>
  <c r="AI859" i="2"/>
  <c r="AE859" i="2"/>
  <c r="AC859" i="2" l="1"/>
  <c r="Y860" i="2" l="1"/>
  <c r="AA860" i="2"/>
  <c r="AK860" i="2" l="1"/>
  <c r="AF860" i="2" s="1"/>
  <c r="AL860" i="2"/>
  <c r="AH860" i="2" s="1"/>
  <c r="AM860" i="2"/>
  <c r="AJ860" i="2" s="1"/>
  <c r="AD860" i="2" l="1"/>
  <c r="AI860" i="2"/>
  <c r="AG860" i="2"/>
  <c r="AE860" i="2"/>
  <c r="AC860" i="2" s="1"/>
  <c r="AA861" i="2" l="1"/>
  <c r="Y861" i="2"/>
  <c r="AB861" i="2"/>
  <c r="Z861" i="2"/>
  <c r="AL861" i="2" l="1"/>
  <c r="AH861" i="2" s="1"/>
  <c r="AK861" i="2"/>
  <c r="AF861" i="2" s="1"/>
  <c r="AD861" i="2" s="1"/>
  <c r="AM861" i="2"/>
  <c r="AI861" i="2" s="1"/>
  <c r="AG861" i="2"/>
  <c r="AJ861" i="2"/>
  <c r="AB862" i="2" l="1"/>
  <c r="Z862" i="2"/>
  <c r="AE861" i="2"/>
  <c r="AC861" i="2" s="1"/>
  <c r="AA862" i="2" l="1"/>
  <c r="Y862" i="2"/>
  <c r="AM862" i="2" l="1"/>
  <c r="AJ862" i="2" s="1"/>
  <c r="AL862" i="2"/>
  <c r="AH862" i="2" s="1"/>
  <c r="AK862" i="2"/>
  <c r="AF862" i="2" s="1"/>
  <c r="AD862" i="2" s="1"/>
  <c r="AB863" i="2" l="1"/>
  <c r="Z863" i="2"/>
  <c r="AG862" i="2"/>
  <c r="AI862" i="2"/>
  <c r="AE862" i="2"/>
  <c r="AC862" i="2" l="1"/>
  <c r="AA863" i="2" l="1"/>
  <c r="Y863" i="2"/>
  <c r="AK863" i="2" l="1"/>
  <c r="AF863" i="2" s="1"/>
  <c r="AD863" i="2" s="1"/>
  <c r="AL863" i="2"/>
  <c r="AH863" i="2" s="1"/>
  <c r="AM863" i="2"/>
  <c r="AJ863" i="2" s="1"/>
  <c r="AG863" i="2" l="1"/>
  <c r="AE863" i="2"/>
  <c r="AC863" i="2" s="1"/>
  <c r="AB864" i="2"/>
  <c r="Z864" i="2"/>
  <c r="AI863" i="2"/>
  <c r="Y864" i="2" l="1"/>
  <c r="AA864" i="2"/>
  <c r="AK864" i="2" l="1"/>
  <c r="AF864" i="2" s="1"/>
  <c r="AL864" i="2"/>
  <c r="AH864" i="2" s="1"/>
  <c r="AM864" i="2"/>
  <c r="AJ864" i="2" s="1"/>
  <c r="AD864" i="2" l="1"/>
  <c r="AE864" i="2"/>
  <c r="AG864" i="2"/>
  <c r="AI864" i="2"/>
  <c r="AC864" i="2" l="1"/>
  <c r="AB865" i="2"/>
  <c r="Z865" i="2"/>
  <c r="AA865" i="2" l="1"/>
  <c r="Y865" i="2"/>
  <c r="AL865" i="2" l="1"/>
  <c r="AH865" i="2" s="1"/>
  <c r="AK865" i="2"/>
  <c r="AF865" i="2" s="1"/>
  <c r="AE865" i="2"/>
  <c r="AI865" i="2"/>
  <c r="AM865" i="2"/>
  <c r="AJ865" i="2" s="1"/>
  <c r="AG865" i="2"/>
  <c r="AC865" i="2" l="1"/>
  <c r="AD865" i="2"/>
  <c r="AB866" i="2" l="1"/>
  <c r="Z866" i="2"/>
  <c r="Y866" i="2"/>
  <c r="AA866" i="2"/>
  <c r="AM866" i="2" l="1"/>
  <c r="AI866" i="2" s="1"/>
  <c r="AK866" i="2"/>
  <c r="AE866" i="2" s="1"/>
  <c r="AL866" i="2"/>
  <c r="AH866" i="2" s="1"/>
  <c r="AF866" i="2" l="1"/>
  <c r="AJ866" i="2"/>
  <c r="AG866" i="2"/>
  <c r="AC866" i="2" s="1"/>
  <c r="AA867" i="2" l="1"/>
  <c r="Y867" i="2"/>
  <c r="AD866" i="2"/>
  <c r="AB867" i="2" l="1"/>
  <c r="Z867" i="2"/>
  <c r="AK867" i="2"/>
  <c r="AE867" i="2" s="1"/>
  <c r="AL867" i="2"/>
  <c r="AG867" i="2" s="1"/>
  <c r="AF867" i="2" l="1"/>
  <c r="AH867" i="2"/>
  <c r="AM867" i="2"/>
  <c r="AI867" i="2" s="1"/>
  <c r="AC867" i="2" s="1"/>
  <c r="AA868" i="2" l="1"/>
  <c r="Y868" i="2"/>
  <c r="AJ867" i="2"/>
  <c r="AD867" i="2" s="1"/>
  <c r="AB868" i="2" l="1"/>
  <c r="Z868" i="2"/>
  <c r="AK868" i="2"/>
  <c r="AE868" i="2" s="1"/>
  <c r="AM868" i="2"/>
  <c r="AI868" i="2" s="1"/>
  <c r="AF868" i="2" l="1"/>
  <c r="AJ868" i="2"/>
  <c r="AL868" i="2"/>
  <c r="AG868" i="2" s="1"/>
  <c r="AC868" i="2" s="1"/>
  <c r="Y869" i="2" l="1"/>
  <c r="AA869" i="2"/>
  <c r="AH868" i="2"/>
  <c r="AD868" i="2" s="1"/>
  <c r="Z869" i="2" l="1"/>
  <c r="AB869" i="2"/>
  <c r="AL869" i="2"/>
  <c r="AG869" i="2" s="1"/>
  <c r="AE869" i="2"/>
  <c r="AM869" i="2"/>
  <c r="AI869" i="2" s="1"/>
  <c r="AK869" i="2"/>
  <c r="AC869" i="2" l="1"/>
  <c r="AH869" i="2"/>
  <c r="AF869" i="2"/>
  <c r="AD869" i="2" s="1"/>
  <c r="AB870" i="2" s="1"/>
  <c r="AJ869" i="2"/>
  <c r="Y870" i="2" l="1"/>
  <c r="AA870" i="2"/>
  <c r="Z870" i="2"/>
  <c r="AH870" i="2" l="1"/>
  <c r="AM870" i="2"/>
  <c r="AI870" i="2" s="1"/>
  <c r="AL870" i="2"/>
  <c r="AG870" i="2"/>
  <c r="AK870" i="2"/>
  <c r="AF870" i="2" s="1"/>
  <c r="AE870" i="2" l="1"/>
  <c r="AC870" i="2" s="1"/>
  <c r="AJ870" i="2"/>
  <c r="AD870" i="2" s="1"/>
  <c r="AB871" i="2" l="1"/>
  <c r="Z871" i="2"/>
  <c r="AA871" i="2"/>
  <c r="Y871" i="2"/>
  <c r="AG871" i="2" l="1"/>
  <c r="AK871" i="2"/>
  <c r="AF871" i="2" s="1"/>
  <c r="AD871" i="2" s="1"/>
  <c r="AM871" i="2"/>
  <c r="AI871" i="2" s="1"/>
  <c r="AL871" i="2"/>
  <c r="AJ871" i="2"/>
  <c r="AH871" i="2"/>
  <c r="AB872" i="2" l="1"/>
  <c r="Z872" i="2"/>
  <c r="AE871" i="2"/>
  <c r="AC871" i="2" s="1"/>
  <c r="Y872" i="2" l="1"/>
  <c r="AA872" i="2"/>
  <c r="AK872" i="2" l="1"/>
  <c r="AF872" i="2" s="1"/>
  <c r="AL872" i="2"/>
  <c r="AH872" i="2" s="1"/>
  <c r="AM872" i="2"/>
  <c r="AJ872" i="2" s="1"/>
  <c r="AI872" i="2" l="1"/>
  <c r="AG872" i="2"/>
  <c r="AD872" i="2"/>
  <c r="AE872" i="2"/>
  <c r="AC872" i="2" s="1"/>
  <c r="AA873" i="2" l="1"/>
  <c r="Y873" i="2"/>
  <c r="Z873" i="2"/>
  <c r="AB873" i="2"/>
  <c r="AJ873" i="2" l="1"/>
  <c r="AL873" i="2"/>
  <c r="AH873" i="2" s="1"/>
  <c r="AG873" i="2"/>
  <c r="AM873" i="2"/>
  <c r="AI873" i="2" s="1"/>
  <c r="AK873" i="2"/>
  <c r="AF873" i="2" s="1"/>
  <c r="AD873" i="2" l="1"/>
  <c r="AE873" i="2"/>
  <c r="AC873" i="2" s="1"/>
  <c r="AA874" i="2" l="1"/>
  <c r="Y874" i="2"/>
  <c r="AB874" i="2"/>
  <c r="Z874" i="2"/>
  <c r="AM874" i="2" l="1"/>
  <c r="AI874" i="2" s="1"/>
  <c r="AL874" i="2"/>
  <c r="AH874" i="2" s="1"/>
  <c r="AG874" i="2"/>
  <c r="AK874" i="2"/>
  <c r="AF874" i="2" s="1"/>
  <c r="AJ874" i="2" l="1"/>
  <c r="AD874" i="2" s="1"/>
  <c r="AE874" i="2"/>
  <c r="AC874" i="2" s="1"/>
  <c r="AB875" i="2" l="1"/>
  <c r="Z875" i="2"/>
  <c r="AA875" i="2"/>
  <c r="Y875" i="2"/>
  <c r="AM875" i="2" l="1"/>
  <c r="AI875" i="2" s="1"/>
  <c r="AG875" i="2"/>
  <c r="AK875" i="2"/>
  <c r="AE875" i="2" s="1"/>
  <c r="AC875" i="2" s="1"/>
  <c r="AL875" i="2"/>
  <c r="AH875" i="2"/>
  <c r="Y876" i="2" l="1"/>
  <c r="AA876" i="2"/>
  <c r="AF875" i="2"/>
  <c r="AJ875" i="2"/>
  <c r="AD875" i="2" l="1"/>
  <c r="AB876" i="2" l="1"/>
  <c r="Z876" i="2"/>
  <c r="AH876" i="2" l="1"/>
  <c r="AL876" i="2"/>
  <c r="AG876" i="2" s="1"/>
  <c r="AM876" i="2"/>
  <c r="AI876" i="2" s="1"/>
  <c r="AK876" i="2"/>
  <c r="AE876" i="2" s="1"/>
  <c r="AC876" i="2" s="1"/>
  <c r="AF876" i="2" l="1"/>
  <c r="AA877" i="2"/>
  <c r="Y877" i="2"/>
  <c r="AJ876" i="2"/>
  <c r="AD876" i="2" l="1"/>
  <c r="Z877" i="2" l="1"/>
  <c r="AB877" i="2"/>
  <c r="AL877" i="2" l="1"/>
  <c r="AG877" i="2" s="1"/>
  <c r="AM877" i="2"/>
  <c r="AI877" i="2" s="1"/>
  <c r="AK877" i="2"/>
  <c r="AE877" i="2" s="1"/>
  <c r="AC877" i="2" s="1"/>
  <c r="Y878" i="2" l="1"/>
  <c r="AA878" i="2"/>
  <c r="AF877" i="2"/>
  <c r="AD877" i="2" s="1"/>
  <c r="AH877" i="2"/>
  <c r="AJ877" i="2"/>
  <c r="AB878" i="2" l="1"/>
  <c r="Z878" i="2"/>
  <c r="AL878" i="2"/>
  <c r="AG878" i="2" s="1"/>
  <c r="AH878" i="2" l="1"/>
  <c r="AJ878" i="2"/>
  <c r="AM878" i="2"/>
  <c r="AI878" i="2" s="1"/>
  <c r="AK878" i="2"/>
  <c r="AE878" i="2" s="1"/>
  <c r="AC878" i="2" s="1"/>
  <c r="Y879" i="2" l="1"/>
  <c r="AA879" i="2"/>
  <c r="AF878" i="2"/>
  <c r="AD878" i="2" s="1"/>
  <c r="Z879" i="2" l="1"/>
  <c r="AB879" i="2"/>
  <c r="AG879" i="2"/>
  <c r="AK879" i="2"/>
  <c r="AE879" i="2" s="1"/>
  <c r="AC879" i="2" s="1"/>
  <c r="AM879" i="2"/>
  <c r="AI879" i="2" s="1"/>
  <c r="AL879" i="2"/>
  <c r="Y880" i="2" l="1"/>
  <c r="AA880" i="2"/>
  <c r="AF879" i="2"/>
  <c r="AD879" i="2" s="1"/>
  <c r="Z880" i="2" s="1"/>
  <c r="AJ879" i="2"/>
  <c r="AH879" i="2"/>
  <c r="AJ880" i="2" l="1"/>
  <c r="AB880" i="2"/>
  <c r="AG880" i="2"/>
  <c r="AK880" i="2"/>
  <c r="AE880" i="2" s="1"/>
  <c r="AC880" i="2" s="1"/>
  <c r="AL880" i="2"/>
  <c r="AH880" i="2" s="1"/>
  <c r="AI880" i="2"/>
  <c r="AM880" i="2"/>
  <c r="AA881" i="2" l="1"/>
  <c r="Y881" i="2"/>
  <c r="AF880" i="2"/>
  <c r="AD880" i="2" s="1"/>
  <c r="Z881" i="2" s="1"/>
  <c r="AJ881" i="2" l="1"/>
  <c r="AB881" i="2"/>
  <c r="AL881" i="2"/>
  <c r="AH881" i="2" s="1"/>
  <c r="AK881" i="2"/>
  <c r="AF881" i="2" s="1"/>
  <c r="AD881" i="2" s="1"/>
  <c r="AE881" i="2"/>
  <c r="AM881" i="2"/>
  <c r="AI881" i="2" s="1"/>
  <c r="AG881" i="2"/>
  <c r="Z882" i="2" l="1"/>
  <c r="AC881" i="2"/>
  <c r="AB882" i="2"/>
  <c r="AA882" i="2" l="1"/>
  <c r="Y882" i="2"/>
  <c r="AM882" i="2" l="1"/>
  <c r="AJ882" i="2" s="1"/>
  <c r="AK882" i="2"/>
  <c r="AF882" i="2" s="1"/>
  <c r="AL882" i="2"/>
  <c r="AH882" i="2" s="1"/>
  <c r="AD882" i="2" l="1"/>
  <c r="AI882" i="2"/>
  <c r="AG882" i="2"/>
  <c r="AE882" i="2"/>
  <c r="AC882" i="2" l="1"/>
  <c r="Z883" i="2"/>
  <c r="AB883" i="2"/>
  <c r="Y883" i="2" l="1"/>
  <c r="AA883" i="2"/>
  <c r="AM883" i="2" l="1"/>
  <c r="AJ883" i="2" s="1"/>
  <c r="AK883" i="2"/>
  <c r="AF883" i="2" s="1"/>
  <c r="AE883" i="2"/>
  <c r="AL883" i="2"/>
  <c r="AH883" i="2" s="1"/>
  <c r="AI883" i="2"/>
  <c r="AG883" i="2" l="1"/>
  <c r="AC883" i="2" s="1"/>
  <c r="AD883" i="2"/>
  <c r="AA884" i="2" l="1"/>
  <c r="Y884" i="2"/>
  <c r="AB884" i="2"/>
  <c r="Z884" i="2"/>
  <c r="AF884" i="2" l="1"/>
  <c r="AK884" i="2"/>
  <c r="AE884" i="2" s="1"/>
  <c r="AL884" i="2"/>
  <c r="AG884" i="2" s="1"/>
  <c r="AM884" i="2"/>
  <c r="AI884" i="2" s="1"/>
  <c r="AC884" i="2" l="1"/>
  <c r="AH884" i="2"/>
  <c r="AD884" i="2" s="1"/>
  <c r="AJ884" i="2"/>
  <c r="Z885" i="2" l="1"/>
  <c r="AB885" i="2"/>
  <c r="AA885" i="2"/>
  <c r="Y885" i="2"/>
  <c r="AL885" i="2" l="1"/>
  <c r="AH885" i="2" s="1"/>
  <c r="AM885" i="2"/>
  <c r="AI885" i="2" s="1"/>
  <c r="AK885" i="2"/>
  <c r="AE885" i="2" s="1"/>
  <c r="AJ885" i="2"/>
  <c r="AG885" i="2" l="1"/>
  <c r="AC885" i="2" s="1"/>
  <c r="AF885" i="2"/>
  <c r="AD885" i="2" s="1"/>
  <c r="AA886" i="2" l="1"/>
  <c r="Y886" i="2"/>
  <c r="Z886" i="2"/>
  <c r="AB886" i="2"/>
  <c r="AH886" i="2" l="1"/>
  <c r="AM886" i="2"/>
  <c r="AJ886" i="2" s="1"/>
  <c r="AL886" i="2"/>
  <c r="AG886" i="2" s="1"/>
  <c r="AK886" i="2"/>
  <c r="AF886" i="2" s="1"/>
  <c r="AD886" i="2" s="1"/>
  <c r="AB887" i="2" l="1"/>
  <c r="Z887" i="2"/>
  <c r="AI886" i="2"/>
  <c r="AE886" i="2"/>
  <c r="AC886" i="2" l="1"/>
  <c r="AA887" i="2" l="1"/>
  <c r="Y887" i="2"/>
  <c r="AM887" i="2" l="1"/>
  <c r="AJ887" i="2" s="1"/>
  <c r="AK887" i="2"/>
  <c r="AF887" i="2" s="1"/>
  <c r="AD887" i="2" s="1"/>
  <c r="AL887" i="2"/>
  <c r="AH887" i="2" s="1"/>
  <c r="AB888" i="2" l="1"/>
  <c r="Z888" i="2"/>
  <c r="AE887" i="2"/>
  <c r="AG887" i="2"/>
  <c r="AI887" i="2"/>
  <c r="AC887" i="2" l="1"/>
  <c r="Y888" i="2" l="1"/>
  <c r="AA888" i="2"/>
  <c r="AK888" i="2" l="1"/>
  <c r="AF888" i="2" s="1"/>
  <c r="AL888" i="2"/>
  <c r="AH888" i="2" s="1"/>
  <c r="AM888" i="2"/>
  <c r="AJ888" i="2" s="1"/>
  <c r="AD888" i="2" l="1"/>
  <c r="AI888" i="2"/>
  <c r="AG888" i="2"/>
  <c r="AE888" i="2"/>
  <c r="AC888" i="2" s="1"/>
  <c r="AA889" i="2" l="1"/>
  <c r="Y889" i="2"/>
  <c r="Z889" i="2"/>
  <c r="AB889" i="2"/>
  <c r="AL889" i="2" l="1"/>
  <c r="AH889" i="2" s="1"/>
  <c r="AK889" i="2"/>
  <c r="AE889" i="2" s="1"/>
  <c r="AM889" i="2"/>
  <c r="AJ889" i="2" s="1"/>
  <c r="AG889" i="2"/>
  <c r="AF889" i="2" l="1"/>
  <c r="AD889" i="2" s="1"/>
  <c r="AI889" i="2"/>
  <c r="AC889" i="2" s="1"/>
  <c r="AA890" i="2" l="1"/>
  <c r="Y890" i="2"/>
  <c r="AB890" i="2"/>
  <c r="Z890" i="2"/>
  <c r="AH890" i="2" l="1"/>
  <c r="AM890" i="2"/>
  <c r="AI890" i="2" s="1"/>
  <c r="AL890" i="2"/>
  <c r="AG890" i="2"/>
  <c r="AK890" i="2"/>
  <c r="AF890" i="2" s="1"/>
  <c r="AE890" i="2" l="1"/>
  <c r="AC890" i="2" s="1"/>
  <c r="AJ890" i="2"/>
  <c r="AD890" i="2" s="1"/>
  <c r="AB891" i="2" l="1"/>
  <c r="Z891" i="2"/>
  <c r="AA891" i="2"/>
  <c r="Y891" i="2"/>
  <c r="AM891" i="2" l="1"/>
  <c r="AG891" i="2"/>
  <c r="AK891" i="2"/>
  <c r="AE891" i="2" s="1"/>
  <c r="AC891" i="2" s="1"/>
  <c r="AL891" i="2"/>
  <c r="AI891" i="2"/>
  <c r="AJ891" i="2"/>
  <c r="AH891" i="2"/>
  <c r="Y892" i="2" l="1"/>
  <c r="AA892" i="2"/>
  <c r="AF891" i="2"/>
  <c r="AD891" i="2" s="1"/>
  <c r="AB892" i="2" l="1"/>
  <c r="Z892" i="2"/>
  <c r="AK892" i="2"/>
  <c r="AE892" i="2" s="1"/>
  <c r="AL892" i="2"/>
  <c r="AG892" i="2" s="1"/>
  <c r="AM892" i="2"/>
  <c r="AI892" i="2" s="1"/>
  <c r="AC892" i="2" l="1"/>
  <c r="AJ892" i="2"/>
  <c r="AH892" i="2"/>
  <c r="AF892" i="2"/>
  <c r="AD892" i="2" l="1"/>
  <c r="AA893" i="2"/>
  <c r="Y893" i="2"/>
  <c r="AL893" i="2" l="1"/>
  <c r="AG893" i="2"/>
  <c r="AE893" i="2"/>
  <c r="AM893" i="2"/>
  <c r="AI893" i="2" s="1"/>
  <c r="AK893" i="2"/>
  <c r="Z893" i="2"/>
  <c r="AB893" i="2"/>
  <c r="AC893" i="2" l="1"/>
  <c r="AH893" i="2"/>
  <c r="AF893" i="2"/>
  <c r="AD893" i="2" s="1"/>
  <c r="AB894" i="2" s="1"/>
  <c r="AJ893" i="2"/>
  <c r="Z894" i="2" l="1"/>
  <c r="AA894" i="2"/>
  <c r="Y894" i="2"/>
  <c r="AM894" i="2" l="1"/>
  <c r="AI894" i="2" s="1"/>
  <c r="AL894" i="2"/>
  <c r="AG894" i="2" s="1"/>
  <c r="AK894" i="2"/>
  <c r="AE894" i="2" s="1"/>
  <c r="AC894" i="2" s="1"/>
  <c r="AH894" i="2"/>
  <c r="AJ894" i="2"/>
  <c r="Y895" i="2" l="1"/>
  <c r="AA895" i="2"/>
  <c r="AF894" i="2"/>
  <c r="AD894" i="2" s="1"/>
  <c r="AB895" i="2" l="1"/>
  <c r="Z895" i="2"/>
  <c r="AM895" i="2" s="1"/>
  <c r="AI895" i="2" s="1"/>
  <c r="AK895" i="2" l="1"/>
  <c r="AE895" i="2" s="1"/>
  <c r="AC895" i="2" s="1"/>
  <c r="AJ895" i="2"/>
  <c r="AL895" i="2"/>
  <c r="AG895" i="2" s="1"/>
  <c r="AF895" i="2" l="1"/>
  <c r="AH895" i="2"/>
  <c r="AA896" i="2"/>
  <c r="Y896" i="2"/>
  <c r="AD895" i="2" l="1"/>
  <c r="AB896" i="2" l="1"/>
  <c r="Z896" i="2"/>
  <c r="AH896" i="2" l="1"/>
  <c r="AF896" i="2"/>
  <c r="AL896" i="2"/>
  <c r="AG896" i="2" s="1"/>
  <c r="AK896" i="2"/>
  <c r="AE896" i="2" s="1"/>
  <c r="AM896" i="2"/>
  <c r="AI896" i="2" s="1"/>
  <c r="AC896" i="2" l="1"/>
  <c r="AJ896" i="2"/>
  <c r="AD896" i="2" s="1"/>
  <c r="Z897" i="2" l="1"/>
  <c r="AB897" i="2"/>
  <c r="Y897" i="2"/>
  <c r="AA897" i="2"/>
  <c r="AL897" i="2" l="1"/>
  <c r="AH897" i="2" s="1"/>
  <c r="AG897" i="2"/>
  <c r="AM897" i="2"/>
  <c r="AI897" i="2" s="1"/>
  <c r="AK897" i="2"/>
  <c r="AE897" i="2" s="1"/>
  <c r="AC897" i="2" s="1"/>
  <c r="AJ897" i="2"/>
  <c r="AA898" i="2" l="1"/>
  <c r="Y898" i="2"/>
  <c r="AF897" i="2"/>
  <c r="AD897" i="2" s="1"/>
  <c r="Z898" i="2" l="1"/>
  <c r="AB898" i="2"/>
  <c r="AJ898" i="2" l="1"/>
  <c r="AK898" i="2"/>
  <c r="AE898" i="2" s="1"/>
  <c r="AM898" i="2"/>
  <c r="AI898" i="2" s="1"/>
  <c r="AL898" i="2"/>
  <c r="AG898" i="2" s="1"/>
  <c r="AF898" i="2" l="1"/>
  <c r="AC898" i="2"/>
  <c r="AH898" i="2"/>
  <c r="Y899" i="2" l="1"/>
  <c r="AA899" i="2"/>
  <c r="AD898" i="2"/>
  <c r="AB899" i="2" l="1"/>
  <c r="Z899" i="2"/>
  <c r="AK899" i="2"/>
  <c r="AE899" i="2" s="1"/>
  <c r="AI899" i="2"/>
  <c r="AL899" i="2"/>
  <c r="AG899" i="2" s="1"/>
  <c r="AM899" i="2"/>
  <c r="AC899" i="2" l="1"/>
  <c r="AF899" i="2"/>
  <c r="AJ899" i="2"/>
  <c r="AH899" i="2"/>
  <c r="AD899" i="2" l="1"/>
  <c r="Y900" i="2"/>
  <c r="AA900" i="2"/>
  <c r="AL900" i="2" l="1"/>
  <c r="AG900" i="2" s="1"/>
  <c r="AM900" i="2"/>
  <c r="AI900" i="2" s="1"/>
  <c r="AB900" i="2"/>
  <c r="Z900" i="2"/>
  <c r="AH900" i="2" l="1"/>
  <c r="AJ900" i="2"/>
  <c r="AF900" i="2"/>
  <c r="AD900" i="2" s="1"/>
  <c r="Z901" i="2" s="1"/>
  <c r="AK900" i="2"/>
  <c r="AE900" i="2" s="1"/>
  <c r="AC900" i="2" s="1"/>
  <c r="AB901" i="2" l="1"/>
  <c r="Y901" i="2"/>
  <c r="AA901" i="2"/>
  <c r="AL901" i="2" l="1"/>
  <c r="AH901" i="2" s="1"/>
  <c r="AK901" i="2"/>
  <c r="AF901" i="2" s="1"/>
  <c r="AD901" i="2" s="1"/>
  <c r="Z902" i="2" s="1"/>
  <c r="AM901" i="2"/>
  <c r="AJ901" i="2" s="1"/>
  <c r="AG901" i="2"/>
  <c r="AE901" i="2" l="1"/>
  <c r="AB902" i="2"/>
  <c r="AI901" i="2"/>
  <c r="AC901" i="2" l="1"/>
  <c r="AA902" i="2" l="1"/>
  <c r="Y902" i="2"/>
  <c r="AM902" i="2" l="1"/>
  <c r="AJ902" i="2" s="1"/>
  <c r="AK902" i="2"/>
  <c r="AF902" i="2" s="1"/>
  <c r="AL902" i="2"/>
  <c r="AH902" i="2" s="1"/>
  <c r="AD902" i="2" l="1"/>
  <c r="AI902" i="2"/>
  <c r="AG902" i="2"/>
  <c r="AE902" i="2"/>
  <c r="AC902" i="2" l="1"/>
  <c r="Z903" i="2"/>
  <c r="AB903" i="2"/>
  <c r="Y903" i="2" l="1"/>
  <c r="AA903" i="2"/>
  <c r="AK903" i="2" l="1"/>
  <c r="AF903" i="2" s="1"/>
  <c r="AE903" i="2"/>
  <c r="AL903" i="2"/>
  <c r="AH903" i="2" s="1"/>
  <c r="AM903" i="2"/>
  <c r="AJ903" i="2" s="1"/>
  <c r="AG903" i="2" l="1"/>
  <c r="AI903" i="2"/>
  <c r="AC903" i="2" s="1"/>
  <c r="AD903" i="2"/>
  <c r="AA904" i="2" l="1"/>
  <c r="Y904" i="2"/>
  <c r="AB904" i="2"/>
  <c r="Z904" i="2"/>
  <c r="AK904" i="2" l="1"/>
  <c r="AF904" i="2" s="1"/>
  <c r="AL904" i="2"/>
  <c r="AG904" i="2" s="1"/>
  <c r="AM904" i="2"/>
  <c r="AJ904" i="2" s="1"/>
  <c r="AD904" i="2" l="1"/>
  <c r="AH904" i="2"/>
  <c r="AI904" i="2"/>
  <c r="AE904" i="2"/>
  <c r="AC904" i="2" s="1"/>
  <c r="Y905" i="2" l="1"/>
  <c r="AA905" i="2"/>
  <c r="AB905" i="2"/>
  <c r="Z905" i="2"/>
  <c r="AF905" i="2" l="1"/>
  <c r="AJ905" i="2"/>
  <c r="AL905" i="2"/>
  <c r="AH905" i="2" s="1"/>
  <c r="AE905" i="2"/>
  <c r="AM905" i="2"/>
  <c r="AI905" i="2" s="1"/>
  <c r="AK905" i="2"/>
  <c r="AG905" i="2" l="1"/>
  <c r="AC905" i="2" s="1"/>
  <c r="AD905" i="2"/>
  <c r="Y906" i="2" l="1"/>
  <c r="AA906" i="2"/>
  <c r="AB906" i="2"/>
  <c r="Z906" i="2"/>
  <c r="AJ906" i="2" l="1"/>
  <c r="AH906" i="2"/>
  <c r="AE906" i="2"/>
  <c r="AI906" i="2"/>
  <c r="AM906" i="2"/>
  <c r="AL906" i="2"/>
  <c r="AG906" i="2"/>
  <c r="AK906" i="2"/>
  <c r="AF906" i="2" s="1"/>
  <c r="AD906" i="2" s="1"/>
  <c r="AB907" i="2" l="1"/>
  <c r="Z907" i="2"/>
  <c r="AC906" i="2"/>
  <c r="AA907" i="2" l="1"/>
  <c r="Y907" i="2"/>
  <c r="AK907" i="2" l="1"/>
  <c r="AF907" i="2" s="1"/>
  <c r="AD907" i="2" s="1"/>
  <c r="AI907" i="2"/>
  <c r="AM907" i="2"/>
  <c r="AJ907" i="2" s="1"/>
  <c r="AL907" i="2"/>
  <c r="AH907" i="2" s="1"/>
  <c r="Z908" i="2" l="1"/>
  <c r="AB908" i="2"/>
  <c r="AG907" i="2"/>
  <c r="AE907" i="2"/>
  <c r="AC907" i="2" s="1"/>
  <c r="Y908" i="2" l="1"/>
  <c r="AA908" i="2"/>
  <c r="AK908" i="2" l="1"/>
  <c r="AF908" i="2" s="1"/>
  <c r="AL908" i="2"/>
  <c r="AH908" i="2" s="1"/>
  <c r="AM908" i="2"/>
  <c r="AJ908" i="2" s="1"/>
  <c r="AG908" i="2" l="1"/>
  <c r="AD908" i="2"/>
  <c r="AI908" i="2"/>
  <c r="AE908" i="2"/>
  <c r="AC908" i="2" s="1"/>
  <c r="AA909" i="2" l="1"/>
  <c r="Y909" i="2"/>
  <c r="AB909" i="2"/>
  <c r="Z909" i="2"/>
  <c r="AF909" i="2" l="1"/>
  <c r="AL909" i="2"/>
  <c r="AH909" i="2" s="1"/>
  <c r="AI909" i="2"/>
  <c r="AM909" i="2"/>
  <c r="AJ909" i="2" s="1"/>
  <c r="AK909" i="2"/>
  <c r="AE909" i="2" s="1"/>
  <c r="AC909" i="2" s="1"/>
  <c r="AG909" i="2"/>
  <c r="AA910" i="2" l="1"/>
  <c r="Y910" i="2"/>
  <c r="AD909" i="2"/>
  <c r="AM910" i="2" l="1"/>
  <c r="AI910" i="2" s="1"/>
  <c r="AK910" i="2"/>
  <c r="AE910" i="2" s="1"/>
  <c r="AL910" i="2"/>
  <c r="AG910" i="2" s="1"/>
  <c r="AB910" i="2"/>
  <c r="Z910" i="2"/>
  <c r="AC910" i="2" l="1"/>
  <c r="AF910" i="2"/>
  <c r="AJ910" i="2"/>
  <c r="AH910" i="2"/>
  <c r="AD910" i="2" l="1"/>
  <c r="Y911" i="2"/>
  <c r="AA911" i="2"/>
  <c r="AL911" i="2" l="1"/>
  <c r="AG911" i="2" s="1"/>
  <c r="AB911" i="2"/>
  <c r="Z911" i="2"/>
  <c r="AJ911" i="2" l="1"/>
  <c r="AH911" i="2"/>
  <c r="AM911" i="2"/>
  <c r="AI911" i="2" s="1"/>
  <c r="AK911" i="2"/>
  <c r="AE911" i="2" s="1"/>
  <c r="AC911" i="2" s="1"/>
  <c r="AA912" i="2" l="1"/>
  <c r="Y912" i="2"/>
  <c r="AF911" i="2"/>
  <c r="AD911" i="2" s="1"/>
  <c r="AK912" i="2" l="1"/>
  <c r="AE912" i="2" s="1"/>
  <c r="AL912" i="2"/>
  <c r="AG912" i="2" s="1"/>
  <c r="AI912" i="2"/>
  <c r="AM912" i="2"/>
  <c r="AB912" i="2"/>
  <c r="Z912" i="2"/>
  <c r="AC912" i="2" l="1"/>
  <c r="AH912" i="2"/>
  <c r="AF912" i="2"/>
  <c r="AJ912" i="2"/>
  <c r="AD912" i="2" l="1"/>
  <c r="AA913" i="2"/>
  <c r="Y913" i="2"/>
  <c r="AM913" i="2" l="1"/>
  <c r="AI913" i="2" s="1"/>
  <c r="Z913" i="2"/>
  <c r="AB913" i="2"/>
  <c r="AF913" i="2" l="1"/>
  <c r="AJ913" i="2"/>
  <c r="AK913" i="2"/>
  <c r="AE913" i="2" s="1"/>
  <c r="AL913" i="2"/>
  <c r="AG913" i="2" s="1"/>
  <c r="AC913" i="2" l="1"/>
  <c r="AH913" i="2"/>
  <c r="AD913" i="2" s="1"/>
  <c r="AB914" i="2" l="1"/>
  <c r="Z914" i="2"/>
  <c r="Y914" i="2"/>
  <c r="AA914" i="2"/>
  <c r="AH914" i="2" l="1"/>
  <c r="AM914" i="2"/>
  <c r="AJ914" i="2" s="1"/>
  <c r="AL914" i="2"/>
  <c r="AG914" i="2"/>
  <c r="AK914" i="2"/>
  <c r="AF914" i="2" s="1"/>
  <c r="AD914" i="2" l="1"/>
  <c r="AI914" i="2"/>
  <c r="AE914" i="2"/>
  <c r="AC914" i="2" s="1"/>
  <c r="AA915" i="2" l="1"/>
  <c r="Y915" i="2"/>
  <c r="AB915" i="2"/>
  <c r="Z915" i="2"/>
  <c r="AI915" i="2" l="1"/>
  <c r="AG915" i="2"/>
  <c r="AK915" i="2"/>
  <c r="AM915" i="2"/>
  <c r="AL915" i="2"/>
  <c r="AE915" i="2"/>
  <c r="AC915" i="2" s="1"/>
  <c r="AA916" i="2" s="1"/>
  <c r="AF915" i="2"/>
  <c r="AJ915" i="2"/>
  <c r="AH915" i="2"/>
  <c r="Y916" i="2" l="1"/>
  <c r="AD915" i="2"/>
  <c r="AB916" i="2" l="1"/>
  <c r="Z916" i="2"/>
  <c r="AK916" i="2"/>
  <c r="AE916" i="2" s="1"/>
  <c r="AF916" i="2" l="1"/>
  <c r="AM916" i="2"/>
  <c r="AI916" i="2" s="1"/>
  <c r="AL916" i="2"/>
  <c r="AG916" i="2" s="1"/>
  <c r="AC916" i="2" s="1"/>
  <c r="AA917" i="2" l="1"/>
  <c r="Y917" i="2"/>
  <c r="AH916" i="2"/>
  <c r="AD916" i="2" s="1"/>
  <c r="AJ916" i="2"/>
  <c r="Z917" i="2" l="1"/>
  <c r="AB917" i="2"/>
  <c r="AL917" i="2"/>
  <c r="AG917" i="2" s="1"/>
  <c r="AM917" i="2"/>
  <c r="AI917" i="2" s="1"/>
  <c r="AK917" i="2"/>
  <c r="AE917" i="2" s="1"/>
  <c r="AC917" i="2" s="1"/>
  <c r="AA918" i="2" l="1"/>
  <c r="Y918" i="2"/>
  <c r="AH917" i="2"/>
  <c r="AF917" i="2"/>
  <c r="AJ917" i="2"/>
  <c r="AD917" i="2" l="1"/>
  <c r="Z918" i="2" l="1"/>
  <c r="AB918" i="2"/>
  <c r="AM918" i="2" l="1"/>
  <c r="AI918" i="2" s="1"/>
  <c r="AK918" i="2"/>
  <c r="AE918" i="2" s="1"/>
  <c r="AC918" i="2" s="1"/>
  <c r="AL918" i="2"/>
  <c r="AG918" i="2" s="1"/>
  <c r="Y919" i="2" l="1"/>
  <c r="AA919" i="2"/>
  <c r="AJ918" i="2"/>
  <c r="AF918" i="2"/>
  <c r="AD918" i="2" s="1"/>
  <c r="AH918" i="2"/>
  <c r="AB919" i="2" l="1"/>
  <c r="Z919" i="2"/>
  <c r="AM919" i="2" s="1"/>
  <c r="AI919" i="2" s="1"/>
  <c r="AJ919" i="2" l="1"/>
  <c r="AK919" i="2"/>
  <c r="AE919" i="2" s="1"/>
  <c r="AL919" i="2"/>
  <c r="AG919" i="2" s="1"/>
  <c r="AH919" i="2" l="1"/>
  <c r="AC919" i="2"/>
  <c r="AF919" i="2"/>
  <c r="AD919" i="2" s="1"/>
  <c r="Z920" i="2" l="1"/>
  <c r="AB920" i="2"/>
  <c r="AA920" i="2"/>
  <c r="Y920" i="2"/>
  <c r="AK920" i="2" l="1"/>
  <c r="AF920" i="2" s="1"/>
  <c r="AL920" i="2"/>
  <c r="AG920" i="2" s="1"/>
  <c r="AE920" i="2"/>
  <c r="AM920" i="2"/>
  <c r="AI920" i="2" s="1"/>
  <c r="AC920" i="2" l="1"/>
  <c r="AJ920" i="2"/>
  <c r="AH920" i="2"/>
  <c r="AD920" i="2" s="1"/>
  <c r="Z921" i="2" l="1"/>
  <c r="AB921" i="2"/>
  <c r="Y921" i="2"/>
  <c r="AA921" i="2"/>
  <c r="AL921" i="2" l="1"/>
  <c r="AG921" i="2"/>
  <c r="AM921" i="2"/>
  <c r="AI921" i="2" s="1"/>
  <c r="AK921" i="2"/>
  <c r="AF921" i="2" s="1"/>
  <c r="AD921" i="2" s="1"/>
  <c r="AH921" i="2"/>
  <c r="AJ921" i="2"/>
  <c r="AB922" i="2" l="1"/>
  <c r="Z922" i="2"/>
  <c r="AE921" i="2"/>
  <c r="AC921" i="2" s="1"/>
  <c r="AA922" i="2" l="1"/>
  <c r="Y922" i="2"/>
  <c r="AM922" i="2" l="1"/>
  <c r="AJ922" i="2" s="1"/>
  <c r="AK922" i="2"/>
  <c r="AF922" i="2" s="1"/>
  <c r="AL922" i="2"/>
  <c r="AH922" i="2" s="1"/>
  <c r="AI922" i="2" l="1"/>
  <c r="AD922" i="2"/>
  <c r="AG922" i="2"/>
  <c r="AE922" i="2"/>
  <c r="AC922" i="2" s="1"/>
  <c r="AB923" i="2" l="1"/>
  <c r="Z923" i="2"/>
  <c r="AA923" i="2"/>
  <c r="Y923" i="2"/>
  <c r="AM923" i="2" l="1"/>
  <c r="AJ923" i="2" s="1"/>
  <c r="AG923" i="2"/>
  <c r="AK923" i="2"/>
  <c r="AF923" i="2" s="1"/>
  <c r="AL923" i="2"/>
  <c r="AH923" i="2" s="1"/>
  <c r="AI923" i="2"/>
  <c r="AD923" i="2" l="1"/>
  <c r="AE923" i="2"/>
  <c r="AC923" i="2" s="1"/>
  <c r="AA924" i="2" l="1"/>
  <c r="Y924" i="2"/>
  <c r="AB924" i="2"/>
  <c r="Z924" i="2"/>
  <c r="AK924" i="2" l="1"/>
  <c r="AL924" i="2"/>
  <c r="AG924" i="2" s="1"/>
  <c r="AE924" i="2"/>
  <c r="AM924" i="2"/>
  <c r="AI924" i="2" s="1"/>
  <c r="AH924" i="2"/>
  <c r="AF924" i="2"/>
  <c r="AJ924" i="2" l="1"/>
  <c r="AD924" i="2"/>
  <c r="AC924" i="2"/>
  <c r="Y925" i="2" l="1"/>
  <c r="AA925" i="2"/>
  <c r="Z925" i="2"/>
  <c r="AB925" i="2"/>
  <c r="AL925" i="2" l="1"/>
  <c r="AH925" i="2" s="1"/>
  <c r="AM925" i="2"/>
  <c r="AI925" i="2" s="1"/>
  <c r="AK925" i="2"/>
  <c r="AE925" i="2" s="1"/>
  <c r="AG925" i="2" l="1"/>
  <c r="AC925" i="2" s="1"/>
  <c r="AJ925" i="2"/>
  <c r="AF925" i="2"/>
  <c r="AD925" i="2" s="1"/>
  <c r="Y926" i="2" l="1"/>
  <c r="AA926" i="2"/>
  <c r="AB926" i="2"/>
  <c r="Z926" i="2"/>
  <c r="AJ926" i="2" l="1"/>
  <c r="AI926" i="2"/>
  <c r="AM926" i="2"/>
  <c r="AL926" i="2"/>
  <c r="AH926" i="2" s="1"/>
  <c r="AG926" i="2"/>
  <c r="AK926" i="2"/>
  <c r="AF926" i="2" s="1"/>
  <c r="AD926" i="2" l="1"/>
  <c r="AE926" i="2"/>
  <c r="AC926" i="2" s="1"/>
  <c r="AA927" i="2" l="1"/>
  <c r="Y927" i="2"/>
  <c r="AB927" i="2"/>
  <c r="Z927" i="2"/>
  <c r="AK927" i="2" l="1"/>
  <c r="AF927" i="2" s="1"/>
  <c r="AE927" i="2"/>
  <c r="AL927" i="2"/>
  <c r="AH927" i="2" s="1"/>
  <c r="AM927" i="2"/>
  <c r="AJ927" i="2" s="1"/>
  <c r="AD927" i="2" l="1"/>
  <c r="AG927" i="2"/>
  <c r="AC927" i="2" s="1"/>
  <c r="AI927" i="2"/>
  <c r="AA928" i="2" l="1"/>
  <c r="Y928" i="2"/>
  <c r="AB928" i="2"/>
  <c r="Z928" i="2"/>
  <c r="AK928" i="2" l="1"/>
  <c r="AE928" i="2" s="1"/>
  <c r="AL928" i="2"/>
  <c r="AG928" i="2" s="1"/>
  <c r="AM928" i="2"/>
  <c r="AJ928" i="2" s="1"/>
  <c r="AH928" i="2" l="1"/>
  <c r="AI928" i="2"/>
  <c r="AC928" i="2" s="1"/>
  <c r="AF928" i="2"/>
  <c r="AD928" i="2" s="1"/>
  <c r="Y929" i="2" l="1"/>
  <c r="AA929" i="2"/>
  <c r="AB929" i="2"/>
  <c r="Z929" i="2"/>
  <c r="AJ929" i="2" l="1"/>
  <c r="AL929" i="2"/>
  <c r="AH929" i="2" s="1"/>
  <c r="AE929" i="2"/>
  <c r="AM929" i="2"/>
  <c r="AI929" i="2" s="1"/>
  <c r="AK929" i="2"/>
  <c r="AF929" i="2" s="1"/>
  <c r="AD929" i="2" l="1"/>
  <c r="AG929" i="2"/>
  <c r="AC929" i="2" s="1"/>
  <c r="AA930" i="2" l="1"/>
  <c r="Y930" i="2"/>
  <c r="AB930" i="2"/>
  <c r="Z930" i="2"/>
  <c r="AM930" i="2" l="1"/>
  <c r="AJ930" i="2" s="1"/>
  <c r="AL930" i="2"/>
  <c r="AH930" i="2" s="1"/>
  <c r="AG930" i="2"/>
  <c r="AK930" i="2"/>
  <c r="AF930" i="2" s="1"/>
  <c r="AD930" i="2" l="1"/>
  <c r="AI930" i="2"/>
  <c r="AE930" i="2"/>
  <c r="AC930" i="2" s="1"/>
  <c r="AA931" i="2" l="1"/>
  <c r="Y931" i="2"/>
  <c r="AB931" i="2"/>
  <c r="Z931" i="2"/>
  <c r="AM931" i="2" l="1"/>
  <c r="AJ931" i="2" s="1"/>
  <c r="AK931" i="2"/>
  <c r="AF931" i="2" s="1"/>
  <c r="AL931" i="2"/>
  <c r="AG931" i="2" s="1"/>
  <c r="AI931" i="2"/>
  <c r="AH931" i="2" l="1"/>
  <c r="AD931" i="2" s="1"/>
  <c r="AE931" i="2"/>
  <c r="AC931" i="2" s="1"/>
  <c r="Z932" i="2" l="1"/>
  <c r="AB932" i="2"/>
  <c r="Y932" i="2"/>
  <c r="AA932" i="2"/>
  <c r="AK932" i="2" l="1"/>
  <c r="AE932" i="2" s="1"/>
  <c r="AL932" i="2"/>
  <c r="AG932" i="2" s="1"/>
  <c r="AM932" i="2"/>
  <c r="AI932" i="2" s="1"/>
  <c r="AJ932" i="2"/>
  <c r="AH932" i="2"/>
  <c r="AC932" i="2" l="1"/>
  <c r="AF932" i="2"/>
  <c r="AD932" i="2" s="1"/>
  <c r="AB933" i="2" l="1"/>
  <c r="Z933" i="2"/>
  <c r="AA933" i="2"/>
  <c r="Y933" i="2"/>
  <c r="AL933" i="2" l="1"/>
  <c r="AH933" i="2" s="1"/>
  <c r="AM933" i="2"/>
  <c r="AI933" i="2" s="1"/>
  <c r="AK933" i="2"/>
  <c r="AE933" i="2" s="1"/>
  <c r="AC933" i="2" s="1"/>
  <c r="AG933" i="2"/>
  <c r="Y934" i="2" l="1"/>
  <c r="AA934" i="2"/>
  <c r="AJ933" i="2"/>
  <c r="AF933" i="2"/>
  <c r="AD933" i="2" s="1"/>
  <c r="AB934" i="2" l="1"/>
  <c r="Z934" i="2"/>
  <c r="AE934" i="2"/>
  <c r="AL934" i="2"/>
  <c r="AG934" i="2" s="1"/>
  <c r="AK934" i="2"/>
  <c r="AF934" i="2" l="1"/>
  <c r="AH934" i="2"/>
  <c r="AM934" i="2"/>
  <c r="AI934" i="2" s="1"/>
  <c r="AC934" i="2" s="1"/>
  <c r="AA935" i="2" l="1"/>
  <c r="Y935" i="2"/>
  <c r="AJ934" i="2"/>
  <c r="AD934" i="2" s="1"/>
  <c r="AB935" i="2" l="1"/>
  <c r="Z935" i="2"/>
  <c r="AK935" i="2" s="1"/>
  <c r="AE935" i="2" s="1"/>
  <c r="AL935" i="2"/>
  <c r="AG935" i="2" s="1"/>
  <c r="AF935" i="2" l="1"/>
  <c r="AJ935" i="2"/>
  <c r="AH935" i="2"/>
  <c r="AM935" i="2"/>
  <c r="AI935" i="2" s="1"/>
  <c r="AC935" i="2" s="1"/>
  <c r="AA936" i="2" l="1"/>
  <c r="Y936" i="2"/>
  <c r="AD935" i="2"/>
  <c r="AB936" i="2" l="1"/>
  <c r="Z936" i="2"/>
  <c r="AK936" i="2"/>
  <c r="AE936" i="2" s="1"/>
  <c r="AF936" i="2" l="1"/>
  <c r="AM936" i="2"/>
  <c r="AI936" i="2" s="1"/>
  <c r="AL936" i="2"/>
  <c r="AG936" i="2" s="1"/>
  <c r="AC936" i="2" s="1"/>
  <c r="Y937" i="2" l="1"/>
  <c r="AA937" i="2"/>
  <c r="AH936" i="2"/>
  <c r="AD936" i="2" s="1"/>
  <c r="AJ936" i="2"/>
  <c r="Z937" i="2" l="1"/>
  <c r="AB937" i="2"/>
  <c r="AL937" i="2"/>
  <c r="AG937" i="2" s="1"/>
  <c r="AM937" i="2"/>
  <c r="AI937" i="2" s="1"/>
  <c r="AK937" i="2"/>
  <c r="AE937" i="2" s="1"/>
  <c r="AC937" i="2" l="1"/>
  <c r="AH937" i="2"/>
  <c r="AF937" i="2"/>
  <c r="AJ937" i="2"/>
  <c r="AD937" i="2" l="1"/>
  <c r="Y938" i="2"/>
  <c r="AA938" i="2"/>
  <c r="AB938" i="2" l="1"/>
  <c r="Z938" i="2"/>
  <c r="AK938" i="2" l="1"/>
  <c r="AE938" i="2" s="1"/>
  <c r="AM938" i="2"/>
  <c r="AI938" i="2" s="1"/>
  <c r="AL938" i="2"/>
  <c r="AG938" i="2" s="1"/>
  <c r="AJ938" i="2" l="1"/>
  <c r="AH938" i="2"/>
  <c r="AC938" i="2"/>
  <c r="AF938" i="2"/>
  <c r="AD938" i="2" s="1"/>
  <c r="AB939" i="2" l="1"/>
  <c r="Z939" i="2"/>
  <c r="Y939" i="2"/>
  <c r="AA939" i="2"/>
  <c r="AM939" i="2" l="1"/>
  <c r="AI939" i="2" s="1"/>
  <c r="AG939" i="2"/>
  <c r="AK939" i="2"/>
  <c r="AF939" i="2" s="1"/>
  <c r="AD939" i="2" s="1"/>
  <c r="AL939" i="2"/>
  <c r="AJ939" i="2"/>
  <c r="AH939" i="2"/>
  <c r="AB940" i="2" l="1"/>
  <c r="Z940" i="2"/>
  <c r="AE939" i="2"/>
  <c r="AC939" i="2" s="1"/>
  <c r="Y940" i="2" l="1"/>
  <c r="AA940" i="2"/>
  <c r="AK940" i="2" l="1"/>
  <c r="AF940" i="2" s="1"/>
  <c r="AL940" i="2"/>
  <c r="AH940" i="2" s="1"/>
  <c r="AM940" i="2"/>
  <c r="AJ940" i="2" s="1"/>
  <c r="AI940" i="2" l="1"/>
  <c r="AD940" i="2"/>
  <c r="AE940" i="2"/>
  <c r="AG940" i="2"/>
  <c r="AC940" i="2" l="1"/>
  <c r="Z941" i="2"/>
  <c r="AB941" i="2"/>
  <c r="AA941" i="2" l="1"/>
  <c r="Y941" i="2"/>
  <c r="AL941" i="2" l="1"/>
  <c r="AH941" i="2" s="1"/>
  <c r="AE941" i="2"/>
  <c r="AI941" i="2"/>
  <c r="AM941" i="2"/>
  <c r="AJ941" i="2" s="1"/>
  <c r="AK941" i="2"/>
  <c r="AF941" i="2" s="1"/>
  <c r="AD941" i="2" l="1"/>
  <c r="AG941" i="2"/>
  <c r="AC941" i="2" s="1"/>
  <c r="Y942" i="2" l="1"/>
  <c r="AA942" i="2"/>
  <c r="AB942" i="2"/>
  <c r="Z942" i="2"/>
  <c r="AI942" i="2" l="1"/>
  <c r="AM942" i="2"/>
  <c r="AJ942" i="2" s="1"/>
  <c r="AL942" i="2"/>
  <c r="AH942" i="2" s="1"/>
  <c r="AG942" i="2"/>
  <c r="AK942" i="2"/>
  <c r="AF942" i="2" s="1"/>
  <c r="AD942" i="2" l="1"/>
  <c r="AE942" i="2"/>
  <c r="AC942" i="2" s="1"/>
  <c r="AA943" i="2" l="1"/>
  <c r="Y943" i="2"/>
  <c r="AB943" i="2"/>
  <c r="Z943" i="2"/>
  <c r="AM943" i="2" l="1"/>
  <c r="AJ943" i="2" s="1"/>
  <c r="AG943" i="2"/>
  <c r="AK943" i="2"/>
  <c r="AE943" i="2" s="1"/>
  <c r="AC943" i="2" s="1"/>
  <c r="AL943" i="2"/>
  <c r="AI943" i="2"/>
  <c r="AF943" i="2"/>
  <c r="AH943" i="2"/>
  <c r="Y944" i="2" l="1"/>
  <c r="AA944" i="2"/>
  <c r="AD943" i="2"/>
  <c r="Z944" i="2" l="1"/>
  <c r="AB944" i="2"/>
  <c r="AK944" i="2"/>
  <c r="AL944" i="2"/>
  <c r="AG944" i="2" s="1"/>
  <c r="AE944" i="2"/>
  <c r="AM944" i="2"/>
  <c r="AI944" i="2" s="1"/>
  <c r="AC944" i="2" l="1"/>
  <c r="AH944" i="2"/>
  <c r="AJ944" i="2"/>
  <c r="AF944" i="2"/>
  <c r="AD944" i="2" l="1"/>
  <c r="Y945" i="2"/>
  <c r="AA945" i="2"/>
  <c r="AB945" i="2" l="1"/>
  <c r="Z945" i="2"/>
  <c r="AJ945" i="2" l="1"/>
  <c r="AM945" i="2"/>
  <c r="AI945" i="2" s="1"/>
  <c r="AL945" i="2"/>
  <c r="AG945" i="2" s="1"/>
  <c r="AK945" i="2"/>
  <c r="AE945" i="2" s="1"/>
  <c r="AC945" i="2" s="1"/>
  <c r="AF945" i="2" l="1"/>
  <c r="AA946" i="2"/>
  <c r="Y946" i="2"/>
  <c r="AH945" i="2"/>
  <c r="AD945" i="2" l="1"/>
  <c r="Z946" i="2" l="1"/>
  <c r="AB946" i="2"/>
  <c r="AJ946" i="2" l="1"/>
  <c r="AM946" i="2"/>
  <c r="AI946" i="2" s="1"/>
  <c r="AK946" i="2"/>
  <c r="AE946" i="2" s="1"/>
  <c r="AL946" i="2"/>
  <c r="AG946" i="2" s="1"/>
  <c r="AC946" i="2" l="1"/>
  <c r="AF946" i="2"/>
  <c r="AH946" i="2"/>
  <c r="AD946" i="2" l="1"/>
  <c r="Y947" i="2"/>
  <c r="AA947" i="2"/>
  <c r="AK947" i="2" l="1"/>
  <c r="AE947" i="2" s="1"/>
  <c r="AB947" i="2"/>
  <c r="Z947" i="2"/>
  <c r="AF947" i="2" l="1"/>
  <c r="AL947" i="2"/>
  <c r="AG947" i="2" s="1"/>
  <c r="AC947" i="2" s="1"/>
  <c r="AM947" i="2"/>
  <c r="AI947" i="2" s="1"/>
  <c r="Y948" i="2" l="1"/>
  <c r="AA948" i="2"/>
  <c r="AJ947" i="2"/>
  <c r="AH947" i="2"/>
  <c r="AD947" i="2" s="1"/>
  <c r="Z948" i="2" l="1"/>
  <c r="AB948" i="2"/>
  <c r="AK948" i="2"/>
  <c r="AE948" i="2" s="1"/>
  <c r="AC948" i="2" s="1"/>
  <c r="AL948" i="2"/>
  <c r="AG948" i="2" s="1"/>
  <c r="AM948" i="2"/>
  <c r="AI948" i="2" s="1"/>
  <c r="AA949" i="2" l="1"/>
  <c r="Y949" i="2"/>
  <c r="AJ948" i="2"/>
  <c r="AH948" i="2"/>
  <c r="AF948" i="2"/>
  <c r="AD948" i="2" s="1"/>
  <c r="AB949" i="2" s="1"/>
  <c r="Z949" i="2" l="1"/>
  <c r="AL949" i="2"/>
  <c r="AG949" i="2" s="1"/>
  <c r="AM949" i="2"/>
  <c r="AI949" i="2" s="1"/>
  <c r="AK949" i="2"/>
  <c r="AE949" i="2" s="1"/>
  <c r="AC949" i="2" s="1"/>
  <c r="Y950" i="2" l="1"/>
  <c r="AA950" i="2"/>
  <c r="AH949" i="2"/>
  <c r="AF949" i="2"/>
  <c r="AD949" i="2" s="1"/>
  <c r="AB950" i="2" s="1"/>
  <c r="AJ949" i="2"/>
  <c r="Z950" i="2" l="1"/>
  <c r="AM950" i="2"/>
  <c r="AI950" i="2" s="1"/>
  <c r="AL950" i="2"/>
  <c r="AG950" i="2" s="1"/>
  <c r="AK950" i="2"/>
  <c r="AE950" i="2" s="1"/>
  <c r="AC950" i="2" s="1"/>
  <c r="AA951" i="2" l="1"/>
  <c r="Y951" i="2"/>
  <c r="AF950" i="2"/>
  <c r="AJ950" i="2"/>
  <c r="AH950" i="2"/>
  <c r="AD950" i="2" l="1"/>
  <c r="AB951" i="2" l="1"/>
  <c r="Z951" i="2"/>
  <c r="AK951" i="2" l="1"/>
  <c r="AE951" i="2" s="1"/>
  <c r="AM951" i="2"/>
  <c r="AI951" i="2" s="1"/>
  <c r="AL951" i="2"/>
  <c r="AG951" i="2" s="1"/>
  <c r="AH951" i="2" l="1"/>
  <c r="AJ951" i="2"/>
  <c r="AC951" i="2"/>
  <c r="AF951" i="2"/>
  <c r="AD951" i="2" s="1"/>
  <c r="Z952" i="2" l="1"/>
  <c r="AB952" i="2"/>
  <c r="AA952" i="2"/>
  <c r="Y952" i="2"/>
  <c r="AK952" i="2" l="1"/>
  <c r="AE952" i="2" s="1"/>
  <c r="AL952" i="2"/>
  <c r="AG952" i="2" s="1"/>
  <c r="AM952" i="2"/>
  <c r="AI952" i="2" s="1"/>
  <c r="AJ952" i="2"/>
  <c r="AH952" i="2"/>
  <c r="AC952" i="2" l="1"/>
  <c r="AF952" i="2"/>
  <c r="AD952" i="2" s="1"/>
  <c r="AB953" i="2" l="1"/>
  <c r="Z953" i="2"/>
  <c r="AA953" i="2"/>
  <c r="Y953" i="2"/>
  <c r="AL953" i="2" l="1"/>
  <c r="AG953" i="2" s="1"/>
  <c r="AE953" i="2"/>
  <c r="AI953" i="2"/>
  <c r="AM953" i="2"/>
  <c r="AK953" i="2"/>
  <c r="AF953" i="2" s="1"/>
  <c r="AD953" i="2" s="1"/>
  <c r="AH953" i="2"/>
  <c r="AJ953" i="2"/>
  <c r="AB954" i="2" l="1"/>
  <c r="Z954" i="2"/>
  <c r="AC953" i="2"/>
  <c r="AA954" i="2" l="1"/>
  <c r="Y954" i="2"/>
  <c r="AM954" i="2" l="1"/>
  <c r="AJ954" i="2" s="1"/>
  <c r="AL954" i="2"/>
  <c r="AH954" i="2" s="1"/>
  <c r="AK954" i="2"/>
  <c r="AF954" i="2" s="1"/>
  <c r="AD954" i="2" l="1"/>
  <c r="AG954" i="2"/>
  <c r="AI954" i="2"/>
  <c r="AE954" i="2"/>
  <c r="AC954" i="2" l="1"/>
  <c r="Z955" i="2"/>
  <c r="AB955" i="2"/>
  <c r="Y955" i="2" l="1"/>
  <c r="AA955" i="2"/>
  <c r="AM955" i="2" l="1"/>
  <c r="AJ955" i="2" s="1"/>
  <c r="AG955" i="2"/>
  <c r="AK955" i="2"/>
  <c r="AF955" i="2" s="1"/>
  <c r="AD955" i="2" s="1"/>
  <c r="AL955" i="2"/>
  <c r="AH955" i="2" s="1"/>
  <c r="AE955" i="2" l="1"/>
  <c r="AB956" i="2"/>
  <c r="Z956" i="2"/>
  <c r="AI955" i="2"/>
  <c r="AC955" i="2" l="1"/>
  <c r="Y956" i="2" l="1"/>
  <c r="AA956" i="2"/>
  <c r="AG956" i="2" l="1"/>
  <c r="AK956" i="2"/>
  <c r="AF956" i="2" s="1"/>
  <c r="AL956" i="2"/>
  <c r="AH956" i="2" s="1"/>
  <c r="AI956" i="2"/>
  <c r="AM956" i="2"/>
  <c r="AJ956" i="2" s="1"/>
  <c r="AD956" i="2" l="1"/>
  <c r="AE956" i="2"/>
  <c r="AC956" i="2" s="1"/>
  <c r="AA957" i="2" l="1"/>
  <c r="Y957" i="2"/>
  <c r="Z957" i="2"/>
  <c r="AB957" i="2"/>
  <c r="AL957" i="2" l="1"/>
  <c r="AE957" i="2"/>
  <c r="AM957" i="2"/>
  <c r="AI957" i="2" s="1"/>
  <c r="AK957" i="2"/>
  <c r="AG957" i="2"/>
  <c r="AH957" i="2"/>
  <c r="AF957" i="2"/>
  <c r="AD957" i="2" s="1"/>
  <c r="Z958" i="2" s="1"/>
  <c r="AJ957" i="2"/>
  <c r="AB958" i="2" l="1"/>
  <c r="AC957" i="2"/>
  <c r="AA958" i="2" l="1"/>
  <c r="Y958" i="2"/>
  <c r="AM958" i="2" l="1"/>
  <c r="AJ958" i="2" s="1"/>
  <c r="AL958" i="2"/>
  <c r="AH958" i="2" s="1"/>
  <c r="AK958" i="2"/>
  <c r="AF958" i="2" s="1"/>
  <c r="AD958" i="2" l="1"/>
  <c r="AG958" i="2"/>
  <c r="AI958" i="2"/>
  <c r="AE958" i="2"/>
  <c r="AC958" i="2" s="1"/>
  <c r="Y959" i="2" l="1"/>
  <c r="AA959" i="2"/>
  <c r="Z959" i="2"/>
  <c r="AB959" i="2"/>
  <c r="AM959" i="2" l="1"/>
  <c r="AI959" i="2" s="1"/>
  <c r="AK959" i="2"/>
  <c r="AF959" i="2" s="1"/>
  <c r="AL959" i="2"/>
  <c r="AG959" i="2" s="1"/>
  <c r="AJ959" i="2" l="1"/>
  <c r="AE959" i="2"/>
  <c r="AC959" i="2" s="1"/>
  <c r="AH959" i="2"/>
  <c r="AD959" i="2" s="1"/>
  <c r="Z960" i="2" l="1"/>
  <c r="AB960" i="2"/>
  <c r="AA960" i="2"/>
  <c r="Y960" i="2"/>
  <c r="AG960" i="2" l="1"/>
  <c r="AK960" i="2"/>
  <c r="AF960" i="2" s="1"/>
  <c r="AL960" i="2"/>
  <c r="AM960" i="2"/>
  <c r="AJ960" i="2" s="1"/>
  <c r="AH960" i="2"/>
  <c r="AD960" i="2" l="1"/>
  <c r="AI960" i="2"/>
  <c r="AE960" i="2"/>
  <c r="AC960" i="2" s="1"/>
  <c r="AA961" i="2" l="1"/>
  <c r="Y961" i="2"/>
  <c r="AB961" i="2"/>
  <c r="Z961" i="2"/>
  <c r="AL961" i="2" l="1"/>
  <c r="AK961" i="2"/>
  <c r="AF961" i="2" s="1"/>
  <c r="AD961" i="2" s="1"/>
  <c r="AE961" i="2"/>
  <c r="AI961" i="2"/>
  <c r="AM961" i="2"/>
  <c r="AG961" i="2"/>
  <c r="AH961" i="2"/>
  <c r="AJ961" i="2"/>
  <c r="Z962" i="2" l="1"/>
  <c r="AB962" i="2"/>
  <c r="AC961" i="2"/>
  <c r="AA962" i="2" l="1"/>
  <c r="Y962" i="2"/>
  <c r="AM962" i="2" l="1"/>
  <c r="AJ962" i="2" s="1"/>
  <c r="AL962" i="2"/>
  <c r="AH962" i="2" s="1"/>
  <c r="AK962" i="2"/>
  <c r="AF962" i="2" s="1"/>
  <c r="AD962" i="2" s="1"/>
  <c r="AB963" i="2" l="1"/>
  <c r="Z963" i="2"/>
  <c r="AG962" i="2"/>
  <c r="AI962" i="2"/>
  <c r="AE962" i="2"/>
  <c r="AC962" i="2" l="1"/>
  <c r="AA963" i="2" l="1"/>
  <c r="Y963" i="2"/>
  <c r="AK963" i="2" l="1"/>
  <c r="AF963" i="2" s="1"/>
  <c r="AD963" i="2" s="1"/>
  <c r="AL963" i="2"/>
  <c r="AH963" i="2" s="1"/>
  <c r="AM963" i="2"/>
  <c r="AJ963" i="2" s="1"/>
  <c r="Z964" i="2" l="1"/>
  <c r="AB964" i="2"/>
  <c r="AG963" i="2"/>
  <c r="AI963" i="2"/>
  <c r="AE963" i="2"/>
  <c r="AC963" i="2" s="1"/>
  <c r="Y964" i="2" l="1"/>
  <c r="AA964" i="2"/>
  <c r="AK964" i="2" l="1"/>
  <c r="AF964" i="2" s="1"/>
  <c r="AL964" i="2"/>
  <c r="AH964" i="2" s="1"/>
  <c r="AM964" i="2"/>
  <c r="AJ964" i="2" s="1"/>
  <c r="AI964" i="2" l="1"/>
  <c r="AD964" i="2"/>
  <c r="AE964" i="2"/>
  <c r="AG964" i="2"/>
  <c r="AC964" i="2" l="1"/>
  <c r="AB965" i="2"/>
  <c r="Z965" i="2"/>
  <c r="AA965" i="2" l="1"/>
  <c r="Y965" i="2"/>
  <c r="AL965" i="2" l="1"/>
  <c r="AH965" i="2" s="1"/>
  <c r="AM965" i="2"/>
  <c r="AJ965" i="2" s="1"/>
  <c r="AK965" i="2"/>
  <c r="AF965" i="2" s="1"/>
  <c r="AG965" i="2"/>
  <c r="AI965" i="2" l="1"/>
  <c r="AE965" i="2"/>
  <c r="AC965" i="2" s="1"/>
  <c r="AD965" i="2"/>
  <c r="AB966" i="2" l="1"/>
  <c r="Z966" i="2"/>
  <c r="Y966" i="2"/>
  <c r="AA966" i="2"/>
  <c r="AM966" i="2" l="1"/>
  <c r="AJ966" i="2" s="1"/>
  <c r="AK966" i="2"/>
  <c r="AE966" i="2" s="1"/>
  <c r="AL966" i="2"/>
  <c r="AG966" i="2" s="1"/>
  <c r="AF966" i="2"/>
  <c r="AC966" i="2" l="1"/>
  <c r="AH966" i="2"/>
  <c r="AD966" i="2" s="1"/>
  <c r="AI966" i="2"/>
  <c r="AB967" i="2" l="1"/>
  <c r="Z967" i="2"/>
  <c r="Y967" i="2"/>
  <c r="AA967" i="2"/>
  <c r="AE967" i="2" l="1"/>
  <c r="AC967" i="2" s="1"/>
  <c r="AA968" i="2" s="1"/>
  <c r="AG967" i="2"/>
  <c r="AK967" i="2"/>
  <c r="AM967" i="2"/>
  <c r="AL967" i="2"/>
  <c r="AI967" i="2"/>
  <c r="AF967" i="2"/>
  <c r="AJ967" i="2"/>
  <c r="AH967" i="2"/>
  <c r="Y968" i="2" l="1"/>
  <c r="AD967" i="2"/>
  <c r="AB968" i="2" l="1"/>
  <c r="Z968" i="2"/>
  <c r="AG968" i="2"/>
  <c r="AK968" i="2"/>
  <c r="AE968" i="2" s="1"/>
  <c r="AL968" i="2"/>
  <c r="AH968" i="2" l="1"/>
  <c r="AF968" i="2"/>
  <c r="AM968" i="2"/>
  <c r="AI968" i="2" s="1"/>
  <c r="AC968" i="2" s="1"/>
  <c r="AA969" i="2" l="1"/>
  <c r="Y969" i="2"/>
  <c r="AJ968" i="2"/>
  <c r="AD968" i="2"/>
  <c r="AB969" i="2" l="1"/>
  <c r="Z969" i="2"/>
  <c r="AL969" i="2"/>
  <c r="AG969" i="2" s="1"/>
  <c r="AM969" i="2"/>
  <c r="AI969" i="2" s="1"/>
  <c r="AH969" i="2" l="1"/>
  <c r="AJ969" i="2"/>
  <c r="AK969" i="2"/>
  <c r="AE969" i="2" s="1"/>
  <c r="AC969" i="2" s="1"/>
  <c r="AA970" i="2" l="1"/>
  <c r="Y970" i="2"/>
  <c r="AF969" i="2"/>
  <c r="AD969" i="2" s="1"/>
  <c r="AB970" i="2" l="1"/>
  <c r="Z970" i="2"/>
  <c r="AH970" i="2" l="1"/>
  <c r="AL970" i="2"/>
  <c r="AG970" i="2" s="1"/>
  <c r="AK970" i="2"/>
  <c r="AE970" i="2" s="1"/>
  <c r="AC970" i="2" s="1"/>
  <c r="AM970" i="2"/>
  <c r="AI970" i="2" s="1"/>
  <c r="AA971" i="2" l="1"/>
  <c r="Y971" i="2"/>
  <c r="AJ970" i="2"/>
  <c r="AF970" i="2"/>
  <c r="AD970" i="2" s="1"/>
  <c r="Z971" i="2" l="1"/>
  <c r="AB971" i="2"/>
  <c r="AM971" i="2"/>
  <c r="AI971" i="2" s="1"/>
  <c r="AK971" i="2"/>
  <c r="AE971" i="2"/>
  <c r="AL971" i="2"/>
  <c r="AG971" i="2" s="1"/>
  <c r="AC971" i="2" l="1"/>
  <c r="AF971" i="2"/>
  <c r="AJ971" i="2"/>
  <c r="AH971" i="2"/>
  <c r="AD971" i="2" l="1"/>
  <c r="Y972" i="2"/>
  <c r="AA972" i="2"/>
  <c r="AK972" i="2" l="1"/>
  <c r="AE972" i="2" s="1"/>
  <c r="AL972" i="2"/>
  <c r="AG972" i="2" s="1"/>
  <c r="AM972" i="2"/>
  <c r="AI972" i="2" s="1"/>
  <c r="Z972" i="2"/>
  <c r="AB972" i="2"/>
  <c r="AC972" i="2" l="1"/>
  <c r="AJ972" i="2"/>
  <c r="AH972" i="2"/>
  <c r="AF972" i="2"/>
  <c r="AD972" i="2" l="1"/>
  <c r="AA973" i="2"/>
  <c r="Y973" i="2"/>
  <c r="AB973" i="2" l="1"/>
  <c r="Z973" i="2"/>
  <c r="AK973" i="2" s="1"/>
  <c r="AE973" i="2" s="1"/>
  <c r="AF973" i="2" l="1"/>
  <c r="AJ973" i="2"/>
  <c r="AM973" i="2"/>
  <c r="AI973" i="2" s="1"/>
  <c r="AL973" i="2"/>
  <c r="AG973" i="2" s="1"/>
  <c r="AC973" i="2" s="1"/>
  <c r="Y974" i="2" l="1"/>
  <c r="AA974" i="2"/>
  <c r="AH973" i="2"/>
  <c r="AD973" i="2" s="1"/>
  <c r="Z974" i="2" l="1"/>
  <c r="AB974" i="2"/>
  <c r="AM974" i="2"/>
  <c r="AI974" i="2" s="1"/>
  <c r="AL974" i="2"/>
  <c r="AG974" i="2" s="1"/>
  <c r="AK974" i="2"/>
  <c r="AE974" i="2" s="1"/>
  <c r="AC974" i="2" l="1"/>
  <c r="AF974" i="2"/>
  <c r="AJ974" i="2"/>
  <c r="AH974" i="2"/>
  <c r="AD974" i="2" l="1"/>
  <c r="AA975" i="2"/>
  <c r="Y975" i="2"/>
  <c r="AL975" i="2" l="1"/>
  <c r="AG975" i="2" s="1"/>
  <c r="AB975" i="2"/>
  <c r="Z975" i="2"/>
  <c r="AH975" i="2" l="1"/>
  <c r="AM975" i="2"/>
  <c r="AI975" i="2" s="1"/>
  <c r="AK975" i="2"/>
  <c r="AE975" i="2" s="1"/>
  <c r="AC975" i="2" s="1"/>
  <c r="AA976" i="2" l="1"/>
  <c r="Y976" i="2"/>
  <c r="AJ975" i="2"/>
  <c r="AF975" i="2"/>
  <c r="AD975" i="2" s="1"/>
  <c r="AB976" i="2" l="1"/>
  <c r="Z976" i="2"/>
  <c r="AK976" i="2"/>
  <c r="AE976" i="2" s="1"/>
  <c r="AM976" i="2"/>
  <c r="AI976" i="2" s="1"/>
  <c r="AF976" i="2" l="1"/>
  <c r="AH976" i="2"/>
  <c r="AJ976" i="2"/>
  <c r="AL976" i="2"/>
  <c r="AG976" i="2" s="1"/>
  <c r="AC976" i="2" s="1"/>
  <c r="Y977" i="2" l="1"/>
  <c r="AA977" i="2"/>
  <c r="AD976" i="2"/>
  <c r="Z977" i="2" l="1"/>
  <c r="AB977" i="2"/>
  <c r="AL977" i="2"/>
  <c r="AG977" i="2" s="1"/>
  <c r="AM977" i="2"/>
  <c r="AI977" i="2" s="1"/>
  <c r="AH977" i="2" l="1"/>
  <c r="AJ977" i="2"/>
  <c r="AK977" i="2"/>
  <c r="AE977" i="2" s="1"/>
  <c r="AC977" i="2" s="1"/>
  <c r="AA978" i="2" l="1"/>
  <c r="Y978" i="2"/>
  <c r="AF977" i="2"/>
  <c r="AD977" i="2" s="1"/>
  <c r="AB978" i="2" l="1"/>
  <c r="Z978" i="2"/>
  <c r="AI978" i="2"/>
  <c r="AM978" i="2"/>
  <c r="AL978" i="2"/>
  <c r="AG978" i="2"/>
  <c r="AK978" i="2"/>
  <c r="AE978" i="2" s="1"/>
  <c r="AC978" i="2" s="1"/>
  <c r="AA979" i="2" l="1"/>
  <c r="Y979" i="2"/>
  <c r="AF978" i="2"/>
  <c r="AJ978" i="2"/>
  <c r="AH978" i="2"/>
  <c r="AD978" i="2" l="1"/>
  <c r="Z979" i="2" l="1"/>
  <c r="AB979" i="2"/>
  <c r="AK979" i="2" l="1"/>
  <c r="AE979" i="2" s="1"/>
  <c r="AL979" i="2"/>
  <c r="AG979" i="2" s="1"/>
  <c r="AM979" i="2"/>
  <c r="AI979" i="2" s="1"/>
  <c r="AJ979" i="2" l="1"/>
  <c r="AC979" i="2"/>
  <c r="AF979" i="2"/>
  <c r="AH979" i="2"/>
  <c r="AD979" i="2" l="1"/>
  <c r="AA980" i="2"/>
  <c r="Y980" i="2"/>
  <c r="AB980" i="2" l="1"/>
  <c r="Z980" i="2"/>
  <c r="AJ980" i="2" l="1"/>
  <c r="AM980" i="2"/>
  <c r="AI980" i="2" s="1"/>
  <c r="AK980" i="2"/>
  <c r="AE980" i="2" s="1"/>
  <c r="AL980" i="2"/>
  <c r="AG980" i="2" s="1"/>
  <c r="AH980" i="2" l="1"/>
  <c r="AC980" i="2"/>
  <c r="AF980" i="2"/>
  <c r="AD980" i="2" s="1"/>
  <c r="Y981" i="2" l="1"/>
  <c r="AA981" i="2"/>
  <c r="Z981" i="2"/>
  <c r="AB981" i="2"/>
  <c r="AF981" i="2" l="1"/>
  <c r="AL981" i="2"/>
  <c r="AH981" i="2" s="1"/>
  <c r="AG981" i="2"/>
  <c r="AM981" i="2"/>
  <c r="AJ981" i="2" s="1"/>
  <c r="AK981" i="2"/>
  <c r="AE981" i="2" s="1"/>
  <c r="AD981" i="2" l="1"/>
  <c r="AI981" i="2"/>
  <c r="AC981" i="2" s="1"/>
  <c r="AA982" i="2" l="1"/>
  <c r="Y982" i="2"/>
  <c r="Z982" i="2"/>
  <c r="AB982" i="2"/>
  <c r="AM982" i="2" l="1"/>
  <c r="AJ982" i="2" s="1"/>
  <c r="AK982" i="2"/>
  <c r="AF982" i="2" s="1"/>
  <c r="AD982" i="2" s="1"/>
  <c r="AL982" i="2"/>
  <c r="AH982" i="2" s="1"/>
  <c r="AB983" i="2" l="1"/>
  <c r="Z983" i="2"/>
  <c r="AI982" i="2"/>
  <c r="AG982" i="2"/>
  <c r="AE982" i="2"/>
  <c r="AC982" i="2" l="1"/>
  <c r="Y983" i="2" l="1"/>
  <c r="AA983" i="2"/>
  <c r="AG983" i="2" l="1"/>
  <c r="AK983" i="2"/>
  <c r="AF983" i="2" s="1"/>
  <c r="AL983" i="2"/>
  <c r="AH983" i="2" s="1"/>
  <c r="AM983" i="2"/>
  <c r="AJ983" i="2" s="1"/>
  <c r="AD983" i="2" l="1"/>
  <c r="AE983" i="2"/>
  <c r="AI983" i="2"/>
  <c r="AC983" i="2" l="1"/>
  <c r="Z984" i="2"/>
  <c r="AB984" i="2"/>
  <c r="AA984" i="2" l="1"/>
  <c r="Y984" i="2"/>
  <c r="AK984" i="2" l="1"/>
  <c r="AF984" i="2" s="1"/>
  <c r="AL984" i="2"/>
  <c r="AH984" i="2" s="1"/>
  <c r="AE984" i="2"/>
  <c r="AM984" i="2"/>
  <c r="AJ984" i="2" s="1"/>
  <c r="AD984" i="2" l="1"/>
  <c r="AI984" i="2"/>
  <c r="AG984" i="2"/>
  <c r="AC984" i="2" s="1"/>
  <c r="Y985" i="2" l="1"/>
  <c r="AA985" i="2"/>
  <c r="AB985" i="2"/>
  <c r="Z985" i="2"/>
  <c r="AJ985" i="2" l="1"/>
  <c r="AL985" i="2"/>
  <c r="AH985" i="2" s="1"/>
  <c r="AM985" i="2"/>
  <c r="AI985" i="2" s="1"/>
  <c r="AK985" i="2"/>
  <c r="AF985" i="2" s="1"/>
  <c r="AD985" i="2" s="1"/>
  <c r="AB986" i="2" l="1"/>
  <c r="Z986" i="2"/>
  <c r="AE985" i="2"/>
  <c r="AG985" i="2"/>
  <c r="AC985" i="2" l="1"/>
  <c r="AA986" i="2" l="1"/>
  <c r="Y986" i="2"/>
  <c r="AM986" i="2" l="1"/>
  <c r="AJ986" i="2" s="1"/>
  <c r="AK986" i="2"/>
  <c r="AF986" i="2" s="1"/>
  <c r="AL986" i="2"/>
  <c r="AH986" i="2" s="1"/>
  <c r="AD986" i="2" l="1"/>
  <c r="AI986" i="2"/>
  <c r="AG986" i="2"/>
  <c r="AE986" i="2"/>
  <c r="AC986" i="2" l="1"/>
  <c r="Z987" i="2"/>
  <c r="AB987" i="2"/>
  <c r="Y987" i="2" l="1"/>
  <c r="AA987" i="2"/>
  <c r="AG987" i="2" l="1"/>
  <c r="AK987" i="2"/>
  <c r="AF987" i="2" s="1"/>
  <c r="AD987" i="2" s="1"/>
  <c r="AL987" i="2"/>
  <c r="AH987" i="2" s="1"/>
  <c r="AM987" i="2"/>
  <c r="AJ987" i="2" s="1"/>
  <c r="AI987" i="2"/>
  <c r="AB988" i="2" l="1"/>
  <c r="Z988" i="2"/>
  <c r="AE987" i="2"/>
  <c r="AC987" i="2" s="1"/>
  <c r="AA988" i="2" l="1"/>
  <c r="Y988" i="2"/>
  <c r="AK988" i="2" l="1"/>
  <c r="AF988" i="2" s="1"/>
  <c r="AL988" i="2"/>
  <c r="AH988" i="2" s="1"/>
  <c r="AE988" i="2"/>
  <c r="AM988" i="2"/>
  <c r="AJ988" i="2" s="1"/>
  <c r="AD988" i="2" l="1"/>
  <c r="AI988" i="2"/>
  <c r="AG988" i="2"/>
  <c r="AC988" i="2" s="1"/>
  <c r="AA989" i="2" l="1"/>
  <c r="Y989" i="2"/>
  <c r="Z989" i="2"/>
  <c r="AB989" i="2"/>
  <c r="AL989" i="2" l="1"/>
  <c r="AM989" i="2"/>
  <c r="AJ989" i="2" s="1"/>
  <c r="AK989" i="2"/>
  <c r="AF989" i="2" s="1"/>
  <c r="AD989" i="2" s="1"/>
  <c r="AG989" i="2"/>
  <c r="AH989" i="2"/>
  <c r="AB990" i="2" l="1"/>
  <c r="Z990" i="2"/>
  <c r="AI989" i="2"/>
  <c r="AE989" i="2"/>
  <c r="AC989" i="2" s="1"/>
  <c r="Y990" i="2" l="1"/>
  <c r="AA990" i="2"/>
  <c r="AM990" i="2" l="1"/>
  <c r="AJ990" i="2" s="1"/>
  <c r="AK990" i="2"/>
  <c r="AF990" i="2" s="1"/>
  <c r="AL990" i="2"/>
  <c r="AH990" i="2" s="1"/>
  <c r="AI990" i="2" l="1"/>
  <c r="AG990" i="2"/>
  <c r="AE990" i="2"/>
  <c r="AC990" i="2" s="1"/>
  <c r="AD990" i="2"/>
  <c r="AA991" i="2" l="1"/>
  <c r="Y991" i="2"/>
  <c r="AB991" i="2"/>
  <c r="Z991" i="2"/>
  <c r="AG991" i="2" l="1"/>
  <c r="AK991" i="2"/>
  <c r="AF991" i="2" s="1"/>
  <c r="AL991" i="2"/>
  <c r="AH991" i="2" s="1"/>
  <c r="AM991" i="2"/>
  <c r="AJ991" i="2" s="1"/>
  <c r="AI991" i="2"/>
  <c r="AD991" i="2" l="1"/>
  <c r="AE991" i="2"/>
  <c r="AC991" i="2" s="1"/>
  <c r="AA992" i="2" l="1"/>
  <c r="Y992" i="2"/>
  <c r="AB992" i="2"/>
  <c r="Z992" i="2"/>
  <c r="AK992" i="2" l="1"/>
  <c r="AL992" i="2"/>
  <c r="AG992" i="2" s="1"/>
  <c r="AE992" i="2"/>
  <c r="AM992" i="2"/>
  <c r="AI992" i="2" s="1"/>
  <c r="AF992" i="2"/>
  <c r="AJ992" i="2"/>
  <c r="AC992" i="2" l="1"/>
  <c r="AH992" i="2"/>
  <c r="AD992" i="2" s="1"/>
  <c r="AB993" i="2" l="1"/>
  <c r="Z993" i="2"/>
  <c r="AA993" i="2"/>
  <c r="Y993" i="2"/>
  <c r="AL993" i="2" l="1"/>
  <c r="AH993" i="2" s="1"/>
  <c r="AM993" i="2"/>
  <c r="AJ993" i="2" s="1"/>
  <c r="AK993" i="2"/>
  <c r="AF993" i="2" s="1"/>
  <c r="AD993" i="2" s="1"/>
  <c r="AB994" i="2" l="1"/>
  <c r="Z994" i="2"/>
  <c r="AI993" i="2"/>
  <c r="AG993" i="2"/>
  <c r="AE993" i="2"/>
  <c r="AC993" i="2" l="1"/>
  <c r="Y994" i="2" l="1"/>
  <c r="AA994" i="2"/>
  <c r="AM994" i="2" l="1"/>
  <c r="AJ994" i="2" s="1"/>
  <c r="AK994" i="2"/>
  <c r="AF994" i="2" s="1"/>
  <c r="AD994" i="2" s="1"/>
  <c r="AL994" i="2"/>
  <c r="AH994" i="2" s="1"/>
  <c r="AI994" i="2" l="1"/>
  <c r="AG994" i="2"/>
  <c r="AE994" i="2"/>
  <c r="AB995" i="2"/>
  <c r="Z995" i="2"/>
  <c r="AC994" i="2" l="1"/>
  <c r="AA995" i="2" l="1"/>
  <c r="Y995" i="2"/>
  <c r="AK995" i="2" l="1"/>
  <c r="AF995" i="2" s="1"/>
  <c r="AL995" i="2"/>
  <c r="AH995" i="2" s="1"/>
  <c r="AM995" i="2"/>
  <c r="AJ995" i="2" s="1"/>
  <c r="AI995" i="2" l="1"/>
  <c r="AD995" i="2"/>
  <c r="AG995" i="2"/>
  <c r="AE995" i="2"/>
  <c r="AC995" i="2" l="1"/>
  <c r="AB996" i="2"/>
  <c r="Z996" i="2"/>
  <c r="Y996" i="2" l="1"/>
  <c r="AA996" i="2"/>
  <c r="AK996" i="2" l="1"/>
  <c r="AF996" i="2" s="1"/>
  <c r="AL996" i="2"/>
  <c r="AH996" i="2" s="1"/>
  <c r="AM996" i="2"/>
  <c r="AJ996" i="2" s="1"/>
  <c r="AD996" i="2" l="1"/>
  <c r="AI996" i="2"/>
  <c r="AG996" i="2"/>
  <c r="AE996" i="2"/>
  <c r="AC996" i="2" s="1"/>
  <c r="AA997" i="2" l="1"/>
  <c r="Y997" i="2"/>
  <c r="Z997" i="2"/>
  <c r="AB997" i="2"/>
  <c r="AL997" i="2" l="1"/>
  <c r="AH997" i="2" s="1"/>
  <c r="AM997" i="2"/>
  <c r="AJ997" i="2" s="1"/>
  <c r="AG997" i="2"/>
  <c r="AK997" i="2"/>
  <c r="AF997" i="2" s="1"/>
  <c r="AD997" i="2" l="1"/>
  <c r="AI997" i="2"/>
  <c r="AE997" i="2"/>
  <c r="AC997" i="2" s="1"/>
  <c r="Y998" i="2" l="1"/>
  <c r="AA998" i="2"/>
  <c r="Z998" i="2"/>
  <c r="AB998" i="2"/>
  <c r="AJ998" i="2" l="1"/>
  <c r="AI998" i="2"/>
  <c r="AM998" i="2"/>
  <c r="AK998" i="2"/>
  <c r="AE998" i="2" s="1"/>
  <c r="AL998" i="2"/>
  <c r="AH998" i="2" s="1"/>
  <c r="AF998" i="2" l="1"/>
  <c r="AD998" i="2" s="1"/>
  <c r="AG998" i="2"/>
  <c r="AC998" i="2" s="1"/>
  <c r="AA999" i="2" l="1"/>
  <c r="Y999" i="2"/>
  <c r="AB999" i="2"/>
  <c r="Z999" i="2"/>
  <c r="AK999" i="2" l="1"/>
  <c r="AF999" i="2" s="1"/>
  <c r="AL999" i="2"/>
  <c r="AH999" i="2" s="1"/>
  <c r="AI999" i="2"/>
  <c r="AM999" i="2"/>
  <c r="AJ999" i="2" s="1"/>
  <c r="AD999" i="2" l="1"/>
  <c r="AE999" i="2"/>
  <c r="AG999" i="2"/>
  <c r="AC999" i="2" l="1"/>
  <c r="AB1000" i="2"/>
  <c r="Z1000" i="2"/>
  <c r="Y1000" i="2" l="1"/>
  <c r="AA1000" i="2"/>
  <c r="AK1000" i="2" l="1"/>
  <c r="AF1000" i="2" s="1"/>
  <c r="AL1000" i="2"/>
  <c r="AH1000" i="2" s="1"/>
  <c r="AM1000" i="2"/>
  <c r="AJ1000" i="2" s="1"/>
  <c r="AD1000" i="2" l="1"/>
  <c r="AI1000" i="2"/>
  <c r="AG1000" i="2"/>
  <c r="AE1000" i="2"/>
  <c r="AC1000" i="2" s="1"/>
  <c r="AA1001" i="2" l="1"/>
  <c r="Y1001" i="2"/>
  <c r="Z1001" i="2"/>
  <c r="AB1001" i="2"/>
  <c r="AJ1001" i="2" l="1"/>
  <c r="AL1001" i="2"/>
  <c r="AH1001" i="2" s="1"/>
  <c r="AI1001" i="2"/>
  <c r="AM1001" i="2"/>
  <c r="AK1001" i="2"/>
  <c r="AF1001" i="2" s="1"/>
  <c r="AG1001" i="2"/>
  <c r="AD1001" i="2" l="1"/>
  <c r="AE1001" i="2"/>
  <c r="AC1001" i="2" s="1"/>
  <c r="AA1002" i="2" l="1"/>
  <c r="Y1002" i="2"/>
  <c r="AB1002" i="2"/>
  <c r="Z1002" i="2"/>
  <c r="AF1002" i="2" l="1"/>
  <c r="AE1002" i="2"/>
  <c r="AM1002" i="2"/>
  <c r="AJ1002" i="2" s="1"/>
  <c r="AG1002" i="2"/>
  <c r="AK1002" i="2"/>
  <c r="AL1002" i="2"/>
  <c r="AH1002" i="2" s="1"/>
  <c r="AD1002" i="2" l="1"/>
  <c r="AI1002" i="2"/>
  <c r="AC1002" i="2" s="1"/>
  <c r="Y1003" i="2" l="1"/>
  <c r="AA1003" i="2"/>
  <c r="AB1003" i="2"/>
  <c r="Z1003" i="2"/>
  <c r="AH1003" i="2" l="1"/>
  <c r="AG1003" i="2"/>
  <c r="AK1003" i="2"/>
  <c r="AF1003" i="2" s="1"/>
  <c r="AD1003" i="2" s="1"/>
  <c r="AL1003" i="2"/>
  <c r="AM1003" i="2"/>
  <c r="AJ1003" i="2" s="1"/>
  <c r="AI1003" i="2"/>
  <c r="AE1003" i="2"/>
  <c r="AB1004" i="2" l="1"/>
  <c r="Z1004" i="2"/>
  <c r="AC1003" i="2"/>
  <c r="AA1004" i="2" l="1"/>
  <c r="Y1004" i="2"/>
  <c r="AK1004" i="2" l="1"/>
  <c r="AF1004" i="2" s="1"/>
  <c r="AL1004" i="2"/>
  <c r="AH1004" i="2" s="1"/>
  <c r="AE1004" i="2"/>
  <c r="AM1004" i="2"/>
  <c r="AJ1004" i="2" s="1"/>
  <c r="AD1004" i="2" l="1"/>
  <c r="AI1004" i="2"/>
  <c r="AG1004" i="2"/>
  <c r="AC100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<sst xmlns="http://schemas.openxmlformats.org/spreadsheetml/2006/main" count="123" uniqueCount="64">
  <si>
    <t>Corps 1</t>
  </si>
  <si>
    <t>Corps 2</t>
  </si>
  <si>
    <t>Corps 3</t>
  </si>
  <si>
    <t>Angle</t>
  </si>
  <si>
    <t>X</t>
  </si>
  <si>
    <t>Y</t>
  </si>
  <si>
    <t>Px</t>
  </si>
  <si>
    <t>Py</t>
  </si>
  <si>
    <t>Vx</t>
  </si>
  <si>
    <t>Vy</t>
  </si>
  <si>
    <t>Ax</t>
  </si>
  <si>
    <t>Ay</t>
  </si>
  <si>
    <t>Ax1</t>
  </si>
  <si>
    <t>Ay1</t>
  </si>
  <si>
    <t>Ax2</t>
  </si>
  <si>
    <t>Ay2</t>
  </si>
  <si>
    <t>Ax3</t>
  </si>
  <si>
    <t>Ay3</t>
  </si>
  <si>
    <t>D1</t>
  </si>
  <si>
    <t>D2</t>
  </si>
  <si>
    <t>D3</t>
  </si>
  <si>
    <t>Paramètre généraux</t>
  </si>
  <si>
    <t>Base de temps</t>
  </si>
  <si>
    <t>t</t>
  </si>
  <si>
    <t>seconde</t>
  </si>
  <si>
    <t>Coefficient de fraction</t>
  </si>
  <si>
    <t>f</t>
  </si>
  <si>
    <t>metre/seconde</t>
  </si>
  <si>
    <t>Ratio de la constante d'Asareth</t>
  </si>
  <si>
    <t>-</t>
  </si>
  <si>
    <t>Corps en mouvement</t>
  </si>
  <si>
    <t>Masse</t>
  </si>
  <si>
    <t>m</t>
  </si>
  <si>
    <t>gramme</t>
  </si>
  <si>
    <t>Position initiale</t>
  </si>
  <si>
    <r>
      <t>p</t>
    </r>
    <r>
      <rPr>
        <vertAlign val="subscript"/>
        <sz val="11"/>
        <color theme="1"/>
        <rFont val="Calibri"/>
        <family val="2"/>
        <scheme val="minor"/>
      </rPr>
      <t>0,0</t>
    </r>
  </si>
  <si>
    <t>metre</t>
  </si>
  <si>
    <t xml:space="preserve">Vitesse initiale </t>
  </si>
  <si>
    <r>
      <t>v</t>
    </r>
    <r>
      <rPr>
        <vertAlign val="subscript"/>
        <sz val="11"/>
        <color theme="1"/>
        <rFont val="Calibri"/>
        <family val="2"/>
        <scheme val="minor"/>
      </rPr>
      <t>0,0</t>
    </r>
  </si>
  <si>
    <t>Acceleration initiale</t>
  </si>
  <si>
    <r>
      <t>a</t>
    </r>
    <r>
      <rPr>
        <vertAlign val="subscript"/>
        <sz val="11"/>
        <color theme="1"/>
        <rFont val="Calibri"/>
        <family val="2"/>
        <scheme val="minor"/>
      </rPr>
      <t>0,0</t>
    </r>
  </si>
  <si>
    <r>
      <t>metre/seconde</t>
    </r>
    <r>
      <rPr>
        <vertAlign val="superscript"/>
        <sz val="11"/>
        <color theme="1"/>
        <rFont val="Calibri"/>
        <family val="2"/>
        <scheme val="minor"/>
      </rPr>
      <t>2</t>
    </r>
  </si>
  <si>
    <t>Dimension</t>
  </si>
  <si>
    <t>s</t>
  </si>
  <si>
    <t xml:space="preserve">Position          </t>
  </si>
  <si>
    <r>
      <t>Q</t>
    </r>
    <r>
      <rPr>
        <vertAlign val="subscript"/>
        <sz val="11"/>
        <color theme="1"/>
        <rFont val="Calibri"/>
        <family val="2"/>
        <scheme val="minor"/>
      </rPr>
      <t>1xy</t>
    </r>
  </si>
  <si>
    <t>Rayon</t>
  </si>
  <si>
    <r>
      <t>r</t>
    </r>
    <r>
      <rPr>
        <vertAlign val="subscript"/>
        <sz val="11"/>
        <color theme="1"/>
        <rFont val="Calibri"/>
        <family val="2"/>
        <scheme val="minor"/>
      </rPr>
      <t>1</t>
    </r>
  </si>
  <si>
    <t>Masse volumique moyenne</t>
  </si>
  <si>
    <r>
      <t>p</t>
    </r>
    <r>
      <rPr>
        <vertAlign val="subscript"/>
        <sz val="11"/>
        <color theme="1"/>
        <rFont val="Calibri"/>
        <family val="2"/>
        <scheme val="minor"/>
      </rPr>
      <t>1</t>
    </r>
  </si>
  <si>
    <r>
      <t>gramme/metre</t>
    </r>
    <r>
      <rPr>
        <vertAlign val="superscript"/>
        <sz val="11"/>
        <color theme="1"/>
        <rFont val="Calibri"/>
        <family val="2"/>
        <scheme val="minor"/>
      </rPr>
      <t>5</t>
    </r>
  </si>
  <si>
    <t>Volume</t>
  </si>
  <si>
    <r>
      <t>V</t>
    </r>
    <r>
      <rPr>
        <vertAlign val="subscript"/>
        <sz val="11"/>
        <color theme="1"/>
        <rFont val="Calibri"/>
        <family val="2"/>
        <scheme val="minor"/>
      </rPr>
      <t>1</t>
    </r>
  </si>
  <si>
    <r>
      <t>metre</t>
    </r>
    <r>
      <rPr>
        <vertAlign val="superscript"/>
        <sz val="11"/>
        <color theme="1"/>
        <rFont val="Calibri"/>
        <family val="2"/>
        <scheme val="minor"/>
      </rPr>
      <t>3</t>
    </r>
  </si>
  <si>
    <t xml:space="preserve">Masse totale </t>
  </si>
  <si>
    <r>
      <t>M</t>
    </r>
    <r>
      <rPr>
        <vertAlign val="subscript"/>
        <sz val="11"/>
        <color theme="1"/>
        <rFont val="Calibri"/>
        <family val="2"/>
        <scheme val="minor"/>
      </rPr>
      <t>1</t>
    </r>
  </si>
  <si>
    <r>
      <t>gramme/metre</t>
    </r>
    <r>
      <rPr>
        <vertAlign val="superscript"/>
        <sz val="11"/>
        <color theme="1"/>
        <rFont val="Calibri"/>
        <family val="2"/>
        <scheme val="minor"/>
      </rPr>
      <t>3</t>
    </r>
  </si>
  <si>
    <t>Constante d'Asrseth</t>
  </si>
  <si>
    <r>
      <rPr>
        <sz val="11"/>
        <color theme="1"/>
        <rFont val="Symbol"/>
        <family val="1"/>
        <charset val="2"/>
      </rPr>
      <t>l</t>
    </r>
    <r>
      <rPr>
        <vertAlign val="subscript"/>
        <sz val="11"/>
        <color theme="1"/>
        <rFont val="Calibri"/>
        <family val="2"/>
      </rPr>
      <t>1</t>
    </r>
  </si>
  <si>
    <t>Attraction/Repulsion</t>
  </si>
  <si>
    <t>Attraction</t>
  </si>
  <si>
    <t>Position</t>
  </si>
  <si>
    <t>Pourcentage :</t>
  </si>
  <si>
    <t>Vaisseau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</si>
</sst>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E+00"/>
  </numFmts>
  <fonts count="10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1"/>
      <charset val="2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499984740745262"/>
        <bgColor theme="4"/>
      </patternFill>
    </fill>
    <fill>
      <patternFill patternType="solid">
        <fgColor theme="7" tint="-0.499984740745262"/>
        <bgColor theme="4" tint="0.79998168889431442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theme="9" tint="0.59999389629810485"/>
        <bgColor theme="0" tint="-0.14999847407452621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</fills>
  <borders count="17">
    <border>
      <left/>
      <right/>
      <top/>
      <bottom/>
      <diagonal/>
    </border>
    <border>
      <left/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/>
      <right/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/>
      <top/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2" borderId="6" xfId="0" applyFill="1" applyBorder="1"/>
    <xf numFmtId="0" fontId="0" fillId="0" borderId="7" xfId="0" applyBorder="1"/>
    <xf numFmtId="0" fontId="0" fillId="0" borderId="6" xfId="0" applyBorder="1"/>
    <xf numFmtId="0" fontId="0" fillId="2" borderId="2" xfId="0" applyFill="1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6" xfId="0" applyFill="1" applyBorder="1" applyAlignment="1">
      <alignment horizontal="left"/>
    </xf>
    <xf numFmtId="0" fontId="0" fillId="2" borderId="5" xfId="0" applyFill="1" applyBorder="1"/>
    <xf numFmtId="0" fontId="0" fillId="0" borderId="11" xfId="0" applyBorder="1"/>
    <xf numFmtId="0" fontId="0" fillId="2" borderId="10" xfId="0" applyFill="1" applyBorder="1"/>
    <xf numFmtId="0" fontId="0" fillId="2" borderId="9" xfId="0" applyFill="1" applyBorder="1"/>
    <xf numFmtId="0" fontId="0" fillId="2" borderId="5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2" borderId="13" xfId="0" applyFill="1" applyBorder="1"/>
    <xf numFmtId="0" fontId="2" fillId="3" borderId="12" xfId="0" applyFont="1" applyFill="1" applyBorder="1"/>
    <xf numFmtId="0" fontId="0" fillId="4" borderId="12" xfId="0" applyFill="1" applyBorder="1"/>
    <xf numFmtId="0" fontId="2" fillId="0" borderId="0" xfId="0" applyFont="1" applyAlignment="1">
      <alignment vertical="center"/>
    </xf>
    <xf numFmtId="0" fontId="0" fillId="4" borderId="12" xfId="0" applyFill="1" applyBorder="1" applyAlignment="1">
      <alignment horizontal="center"/>
    </xf>
    <xf numFmtId="0" fontId="0" fillId="7" borderId="12" xfId="0" applyFill="1" applyBorder="1"/>
    <xf numFmtId="0" fontId="6" fillId="4" borderId="12" xfId="0" applyFont="1" applyFill="1" applyBorder="1"/>
    <xf numFmtId="0" fontId="0" fillId="8" borderId="12" xfId="0" applyFill="1" applyBorder="1"/>
    <xf numFmtId="0" fontId="2" fillId="6" borderId="12" xfId="0" applyFont="1" applyFill="1" applyBorder="1"/>
    <xf numFmtId="0" fontId="0" fillId="9" borderId="12" xfId="0" applyFill="1" applyBorder="1" applyAlignment="1">
      <alignment horizontal="left" vertical="center"/>
    </xf>
    <xf numFmtId="0" fontId="0" fillId="9" borderId="12" xfId="0" applyFill="1" applyBorder="1"/>
    <xf numFmtId="0" fontId="0" fillId="9" borderId="12" xfId="0" applyFill="1" applyBorder="1" applyAlignment="1">
      <alignment horizontal="center"/>
    </xf>
    <xf numFmtId="0" fontId="0" fillId="10" borderId="12" xfId="0" applyFill="1" applyBorder="1" applyAlignment="1">
      <alignment horizontal="center"/>
    </xf>
    <xf numFmtId="0" fontId="0" fillId="10" borderId="14" xfId="0" applyFill="1" applyBorder="1" applyAlignment="1">
      <alignment horizontal="center"/>
    </xf>
    <xf numFmtId="0" fontId="0" fillId="10" borderId="12" xfId="0" applyFill="1" applyBorder="1" applyAlignment="1">
      <alignment horizontal="left"/>
    </xf>
    <xf numFmtId="0" fontId="0" fillId="10" borderId="12" xfId="0" applyFill="1" applyBorder="1"/>
    <xf numFmtId="0" fontId="2" fillId="3" borderId="0" xfId="0" applyFont="1" applyFill="1" applyAlignment="1">
      <alignment horizontal="center"/>
    </xf>
    <xf numFmtId="0" fontId="0" fillId="0" borderId="12" xfId="0" applyBorder="1"/>
    <xf numFmtId="0" fontId="2" fillId="3" borderId="0" xfId="0" applyFont="1" applyFill="1"/>
    <xf numFmtId="164" fontId="0" fillId="0" borderId="12" xfId="0" applyNumberFormat="1" applyBorder="1"/>
    <xf numFmtId="10" fontId="0" fillId="10" borderId="0" xfId="0" applyNumberFormat="1" applyFill="1"/>
    <xf numFmtId="0" fontId="0" fillId="10" borderId="12" xfId="0" applyFill="1" applyBorder="1" applyAlignment="1">
      <alignment horizontal="center"/>
    </xf>
    <xf numFmtId="0" fontId="0" fillId="0" borderId="0" xfId="0" applyAlignment="1">
      <alignment horizontal="center"/>
    </xf>
    <xf numFmtId="164" fontId="0" fillId="10" borderId="12" xfId="0" applyNumberForma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4" xfId="0" applyFont="1" applyFill="1" applyBorder="1" applyAlignment="1">
      <alignment horizontal="center"/>
    </xf>
    <xf numFmtId="164" fontId="0" fillId="9" borderId="12" xfId="0" applyNumberForma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left"/>
    </xf>
    <xf numFmtId="0" fontId="2" fillId="3" borderId="0" xfId="0" applyFont="1" applyFill="1" applyAlignment="1">
      <alignment horizont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CC"/>
      <color rgb="FF9900FF"/>
      <color rgb="FF00CC00"/>
      <color rgb="FFFF9D9D"/>
      <color rgb="FF29B8FF"/>
      <color rgb="FFB7B0EC"/>
      <color rgb="FF3829FF"/>
      <color rgb="FFF4146F"/>
      <color rgb="FFFFFF00"/>
      <color rgb="FF66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hyperlink" Target="https://neru.io/foret-sombre/dark_space/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3429352582332E-2"/>
          <c:y val="2.6958110145782203E-2"/>
          <c:w val="0.91440382146491439"/>
          <c:h val="0.9460837797084356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initiale'!$N$5:$N$1004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'Conditions initiale'!$O$5:$O$1004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F2-4A3E-87B4-FC4169E50BC6}"/>
            </c:ext>
          </c:extLst>
        </c:ser>
        <c:ser>
          <c:idx val="1"/>
          <c:order val="1"/>
          <c:tx>
            <c:v>planète 2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initiale'!$R$5:$R$1004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'Conditions initiale'!$S$5:$S$1004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3F2-4A3E-87B4-FC4169E50BC6}"/>
            </c:ext>
          </c:extLst>
        </c:ser>
        <c:ser>
          <c:idx val="2"/>
          <c:order val="2"/>
          <c:tx>
            <c:v>planète 3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'Conditions initiale'!$V$5:$V$1004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'Conditions initiale'!$W$5:$W$1004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3F2-4A3E-87B4-FC4169E50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09784"/>
        <c:axId val="7222101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952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'Conditions initiale'!$Y$4:$Y$1004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14.896066662928284</c:v>
                      </c:pt>
                      <c:pt idx="2">
                        <c:v>58.763346006098608</c:v>
                      </c:pt>
                      <c:pt idx="3">
                        <c:v>128.2240586578348</c:v>
                      </c:pt>
                      <c:pt idx="4">
                        <c:v>216.13974170265206</c:v>
                      </c:pt>
                      <c:pt idx="5">
                        <c:v>310.82750076894791</c:v>
                      </c:pt>
                      <c:pt idx="6">
                        <c:v>394.85512702817806</c:v>
                      </c:pt>
                      <c:pt idx="7">
                        <c:v>443.40662540911143</c:v>
                      </c:pt>
                      <c:pt idx="8">
                        <c:v>422.2580799762992</c:v>
                      </c:pt>
                      <c:pt idx="9">
                        <c:v>285.58924200038052</c:v>
                      </c:pt>
                      <c:pt idx="10">
                        <c:v>-25.477447829588542</c:v>
                      </c:pt>
                      <c:pt idx="11">
                        <c:v>-580.59478059598393</c:v>
                      </c:pt>
                      <c:pt idx="12">
                        <c:v>-1446.1464434888014</c:v>
                      </c:pt>
                      <c:pt idx="13">
                        <c:v>-2648.2099956923234</c:v>
                      </c:pt>
                      <c:pt idx="14">
                        <c:v>-4125.8644659824431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-10941.137467635344</c:v>
                      </c:pt>
                      <c:pt idx="20">
                        <c:v>-11593.405098906624</c:v>
                      </c:pt>
                      <c:pt idx="21">
                        <c:v>-11896.399138700093</c:v>
                      </c:pt>
                      <c:pt idx="22">
                        <c:v>-11800.869060891881</c:v>
                      </c:pt>
                      <c:pt idx="23">
                        <c:v>-11250.644764132247</c:v>
                      </c:pt>
                      <c:pt idx="24">
                        <c:v>-10192.927132982944</c:v>
                      </c:pt>
                      <c:pt idx="25">
                        <c:v>-8610.6561923647569</c:v>
                      </c:pt>
                      <c:pt idx="26">
                        <c:v>-6573.0130698725106</c:v>
                      </c:pt>
                      <c:pt idx="27">
                        <c:v>-4245.5807942716738</c:v>
                      </c:pt>
                      <c:pt idx="28">
                        <c:v>-1814.6060313898649</c:v>
                      </c:pt>
                      <c:pt idx="29">
                        <c:v>597.78138509711937</c:v>
                      </c:pt>
                      <c:pt idx="30">
                        <c:v>2948.2328775483902</c:v>
                      </c:pt>
                      <c:pt idx="31">
                        <c:v>5245.4913349528479</c:v>
                      </c:pt>
                      <c:pt idx="32">
                        <c:v>7525.9718963109817</c:v>
                      </c:pt>
                      <c:pt idx="33">
                        <c:v>9840.1718597083327</c:v>
                      </c:pt>
                      <c:pt idx="34">
                        <c:v>12244.943311125386</c:v>
                      </c:pt>
                      <c:pt idx="35">
                        <c:v>14794.875574956401</c:v>
                      </c:pt>
                      <c:pt idx="36">
                        <c:v>17522.598329195564</c:v>
                      </c:pt>
                      <c:pt idx="37">
                        <c:v>20391.642185488956</c:v>
                      </c:pt>
                      <c:pt idx="38">
                        <c:v>23230.194083354585</c:v>
                      </c:pt>
                      <c:pt idx="39">
                        <c:v>25761.36134486708</c:v>
                      </c:pt>
                      <c:pt idx="40">
                        <c:v>27780.405187877077</c:v>
                      </c:pt>
                      <c:pt idx="41">
                        <c:v>29248.402756937106</c:v>
                      </c:pt>
                      <c:pt idx="42">
                        <c:v>30215.81270433875</c:v>
                      </c:pt>
                      <c:pt idx="43">
                        <c:v>30745.101259605617</c:v>
                      </c:pt>
                      <c:pt idx="44">
                        <c:v>30886.790392534094</c:v>
                      </c:pt>
                      <c:pt idx="45">
                        <c:v>30677.461320887389</c:v>
                      </c:pt>
                      <c:pt idx="46">
                        <c:v>30142.303506834975</c:v>
                      </c:pt>
                      <c:pt idx="47">
                        <c:v>29297.777533785298</c:v>
                      </c:pt>
                      <c:pt idx="48">
                        <c:v>28153.785104550865</c:v>
                      </c:pt>
                      <c:pt idx="49">
                        <c:v>26715.716663000017</c:v>
                      </c:pt>
                      <c:pt idx="50">
                        <c:v>24987.318013590739</c:v>
                      </c:pt>
                      <c:pt idx="51">
                        <c:v>22976.472539850369</c:v>
                      </c:pt>
                      <c:pt idx="52">
                        <c:v>20708.650299308556</c:v>
                      </c:pt>
                      <c:pt idx="53">
                        <c:v>18256.048790721747</c:v>
                      </c:pt>
                      <c:pt idx="54">
                        <c:v>15777.152184099688</c:v>
                      </c:pt>
                      <c:pt idx="55">
                        <c:v>13493.520434419981</c:v>
                      </c:pt>
                      <c:pt idx="56">
                        <c:v>11547.047691312633</c:v>
                      </c:pt>
                      <c:pt idx="57">
                        <c:v>9910.9609676595592</c:v>
                      </c:pt>
                      <c:pt idx="58">
                        <c:v>8462.8099801477911</c:v>
                      </c:pt>
                      <c:pt idx="59">
                        <c:v>7068.3084532837529</c:v>
                      </c:pt>
                      <c:pt idx="60">
                        <c:v>5601.6989169080825</c:v>
                      </c:pt>
                      <c:pt idx="61">
                        <c:v>3940.3522252461503</c:v>
                      </c:pt>
                      <c:pt idx="62">
                        <c:v>1962.7825789155049</c:v>
                      </c:pt>
                      <c:pt idx="63">
                        <c:v>-425.67914039397073</c:v>
                      </c:pt>
                      <c:pt idx="64">
                        <c:v>-3217.9260129039176</c:v>
                      </c:pt>
                      <c:pt idx="65">
                        <c:v>-6247.2286321005122</c:v>
                      </c:pt>
                      <c:pt idx="66">
                        <c:v>-9274.1001941297163</c:v>
                      </c:pt>
                      <c:pt idx="67">
                        <c:v>-12128.453483572199</c:v>
                      </c:pt>
                      <c:pt idx="68">
                        <c:v>-14737.842895389453</c:v>
                      </c:pt>
                      <c:pt idx="69">
                        <c:v>-17083.8301350978</c:v>
                      </c:pt>
                      <c:pt idx="70">
                        <c:v>-19168.468262468439</c:v>
                      </c:pt>
                      <c:pt idx="71">
                        <c:v>-20999.620327114204</c:v>
                      </c:pt>
                      <c:pt idx="72">
                        <c:v>-22585.524596539028</c:v>
                      </c:pt>
                      <c:pt idx="73">
                        <c:v>-23932.944997394818</c:v>
                      </c:pt>
                      <c:pt idx="74">
                        <c:v>-25046.625394282768</c:v>
                      </c:pt>
                      <c:pt idx="75">
                        <c:v>-25929.19509765644</c:v>
                      </c:pt>
                      <c:pt idx="76">
                        <c:v>-26581.209700666644</c:v>
                      </c:pt>
                      <c:pt idx="77">
                        <c:v>-27001.212118284413</c:v>
                      </c:pt>
                      <c:pt idx="78">
                        <c:v>-27185.77685578552</c:v>
                      </c:pt>
                      <c:pt idx="79">
                        <c:v>-27129.535015349193</c:v>
                      </c:pt>
                      <c:pt idx="80">
                        <c:v>-26825.199751947639</c:v>
                      </c:pt>
                      <c:pt idx="81">
                        <c:v>-26263.637906131622</c:v>
                      </c:pt>
                      <c:pt idx="82">
                        <c:v>-25434.077422908209</c:v>
                      </c:pt>
                      <c:pt idx="83">
                        <c:v>-24324.621588823975</c:v>
                      </c:pt>
                      <c:pt idx="84">
                        <c:v>-22923.391257416231</c:v>
                      </c:pt>
                      <c:pt idx="85">
                        <c:v>-21220.874935733467</c:v>
                      </c:pt>
                      <c:pt idx="86">
                        <c:v>-19214.425290645442</c:v>
                      </c:pt>
                      <c:pt idx="87">
                        <c:v>-16915.943114739261</c:v>
                      </c:pt>
                      <c:pt idx="88">
                        <c:v>-14361.983954495359</c:v>
                      </c:pt>
                      <c:pt idx="89">
                        <c:v>-11618.596008085142</c:v>
                      </c:pt>
                      <c:pt idx="90">
                        <c:v>-8766.2728338619654</c:v>
                      </c:pt>
                      <c:pt idx="91">
                        <c:v>-5866.9099992255115</c:v>
                      </c:pt>
                      <c:pt idx="92">
                        <c:v>-2942.0499743314431</c:v>
                      </c:pt>
                      <c:pt idx="93">
                        <c:v>23.217842275216505</c:v>
                      </c:pt>
                      <c:pt idx="94">
                        <c:v>3067.3982624692644</c:v>
                      </c:pt>
                      <c:pt idx="95">
                        <c:v>6244.5152794712922</c:v>
                      </c:pt>
                      <c:pt idx="96">
                        <c:v>9619.9472014950497</c:v>
                      </c:pt>
                      <c:pt idx="97">
                        <c:v>13261.688861180904</c:v>
                      </c:pt>
                      <c:pt idx="98">
                        <c:v>17207.795860301412</c:v>
                      </c:pt>
                      <c:pt idx="99">
                        <c:v>21382.897160049939</c:v>
                      </c:pt>
                      <c:pt idx="100">
                        <c:v>25527.780776295236</c:v>
                      </c:pt>
                      <c:pt idx="101">
                        <c:v>29332.539046253863</c:v>
                      </c:pt>
                      <c:pt idx="102">
                        <c:v>32647.263301223611</c:v>
                      </c:pt>
                      <c:pt idx="103">
                        <c:v>35481.327162436552</c:v>
                      </c:pt>
                      <c:pt idx="104">
                        <c:v>37895.804187629277</c:v>
                      </c:pt>
                      <c:pt idx="105">
                        <c:v>39951.16129128763</c:v>
                      </c:pt>
                      <c:pt idx="106">
                        <c:v>41696.165858058484</c:v>
                      </c:pt>
                      <c:pt idx="107">
                        <c:v>43168.476126795089</c:v>
                      </c:pt>
                      <c:pt idx="108">
                        <c:v>44397.134301028476</c:v>
                      </c:pt>
                      <c:pt idx="109">
                        <c:v>45404.779111356998</c:v>
                      </c:pt>
                      <c:pt idx="110">
                        <c:v>46209.290956353638</c:v>
                      </c:pt>
                      <c:pt idx="111">
                        <c:v>46824.965117994805</c:v>
                      </c:pt>
                      <c:pt idx="112">
                        <c:v>47263.34521703756</c:v>
                      </c:pt>
                      <c:pt idx="113">
                        <c:v>47533.82069221235</c:v>
                      </c:pt>
                      <c:pt idx="114">
                        <c:v>47644.060809450049</c:v>
                      </c:pt>
                      <c:pt idx="115">
                        <c:v>47600.334290622995</c:v>
                      </c:pt>
                      <c:pt idx="116">
                        <c:v>47407.747696505285</c:v>
                      </c:pt>
                      <c:pt idx="117">
                        <c:v>47070.425113676894</c:v>
                      </c:pt>
                      <c:pt idx="118">
                        <c:v>46591.644691714835</c:v>
                      </c:pt>
                      <c:pt idx="119">
                        <c:v>45973.942911833874</c:v>
                      </c:pt>
                      <c:pt idx="120">
                        <c:v>45219.194329256672</c:v>
                      </c:pt>
                      <c:pt idx="121">
                        <c:v>44328.67239900594</c:v>
                      </c:pt>
                      <c:pt idx="122">
                        <c:v>43303.095535655433</c:v>
                      </c:pt>
                      <c:pt idx="123">
                        <c:v>42142.661555692532</c:v>
                      </c:pt>
                      <c:pt idx="124">
                        <c:v>40847.072959610443</c:v>
                      </c:pt>
                      <c:pt idx="125">
                        <c:v>39415.555016027334</c:v>
                      </c:pt>
                      <c:pt idx="126">
                        <c:v>37846.868195776638</c:v>
                      </c:pt>
                      <c:pt idx="127">
                        <c:v>36139.316000435167</c:v>
                      </c:pt>
                      <c:pt idx="128">
                        <c:v>34290.748323710919</c:v>
                      </c:pt>
                      <c:pt idx="129">
                        <c:v>32298.558541161769</c:v>
                      </c:pt>
                      <c:pt idx="130">
                        <c:v>30159.668235805028</c:v>
                      </c:pt>
                      <c:pt idx="131">
                        <c:v>27870.484161496799</c:v>
                      </c:pt>
                      <c:pt idx="132">
                        <c:v>25426.792396761459</c:v>
                      </c:pt>
                      <c:pt idx="133">
                        <c:v>22823.51451860696</c:v>
                      </c:pt>
                      <c:pt idx="134">
                        <c:v>20054.172441460516</c:v>
                      </c:pt>
                      <c:pt idx="135">
                        <c:v>17109.76790552364</c:v>
                      </c:pt>
                      <c:pt idx="136">
                        <c:v>13976.569983367724</c:v>
                      </c:pt>
                      <c:pt idx="137">
                        <c:v>10632.139535994247</c:v>
                      </c:pt>
                      <c:pt idx="138">
                        <c:v>7039.5393114410945</c:v>
                      </c:pt>
                      <c:pt idx="139">
                        <c:v>3144.2746556408611</c:v>
                      </c:pt>
                      <c:pt idx="140">
                        <c:v>-1103.2054927395388</c:v>
                      </c:pt>
                      <c:pt idx="141">
                        <c:v>-5651.6796163023773</c:v>
                      </c:pt>
                      <c:pt idx="142">
                        <c:v>-10261.000359270049</c:v>
                      </c:pt>
                      <c:pt idx="143">
                        <c:v>-14656.030853968152</c:v>
                      </c:pt>
                      <c:pt idx="144">
                        <c:v>-18722.60105691737</c:v>
                      </c:pt>
                      <c:pt idx="145">
                        <c:v>-22464.523100088049</c:v>
                      </c:pt>
                      <c:pt idx="146">
                        <c:v>-25906.865482920122</c:v>
                      </c:pt>
                      <c:pt idx="147">
                        <c:v>-29069.387473119885</c:v>
                      </c:pt>
                      <c:pt idx="148">
                        <c:v>-31969.25997903218</c:v>
                      </c:pt>
                      <c:pt idx="149">
                        <c:v>-34624.614037956148</c:v>
                      </c:pt>
                      <c:pt idx="150">
                        <c:v>-37054.470478275362</c:v>
                      </c:pt>
                      <c:pt idx="151">
                        <c:v>-39277.398102827909</c:v>
                      </c:pt>
                      <c:pt idx="152">
                        <c:v>-41310.485900573884</c:v>
                      </c:pt>
                      <c:pt idx="153">
                        <c:v>-43168.898096941615</c:v>
                      </c:pt>
                      <c:pt idx="154">
                        <c:v>-44865.826030512697</c:v>
                      </c:pt>
                      <c:pt idx="155">
                        <c:v>-46412.6348977159</c:v>
                      </c:pt>
                      <c:pt idx="156">
                        <c:v>-47819.08025896937</c:v>
                      </c:pt>
                      <c:pt idx="157">
                        <c:v>-49093.53171171336</c:v>
                      </c:pt>
                      <c:pt idx="158">
                        <c:v>-50243.177200357313</c:v>
                      </c:pt>
                      <c:pt idx="159">
                        <c:v>-51274.199432570014</c:v>
                      </c:pt>
                      <c:pt idx="160">
                        <c:v>-52191.923969737007</c:v>
                      </c:pt>
                      <c:pt idx="161">
                        <c:v>-53000.941746303091</c:v>
                      </c:pt>
                      <c:pt idx="162">
                        <c:v>-53705.209683984292</c:v>
                      </c:pt>
                      <c:pt idx="163">
                        <c:v>-54308.133001649447</c:v>
                      </c:pt>
                      <c:pt idx="164">
                        <c:v>-54812.632391269792</c:v>
                      </c:pt>
                      <c:pt idx="165">
                        <c:v>-55221.198708541393</c:v>
                      </c:pt>
                      <c:pt idx="166">
                        <c:v>-55535.937327036467</c:v>
                      </c:pt>
                      <c:pt idx="167">
                        <c:v>-55758.603866520338</c:v>
                      </c:pt>
                      <c:pt idx="168">
                        <c:v>-55890.632636228082</c:v>
                      </c:pt>
                      <c:pt idx="169">
                        <c:v>-55933.158825954757</c:v>
                      </c:pt>
                      <c:pt idx="170">
                        <c:v>-55887.035220722144</c:v>
                      </c:pt>
                      <c:pt idx="171">
                        <c:v>-55752.843996612719</c:v>
                      </c:pt>
                      <c:pt idx="172">
                        <c:v>-55530.903964618752</c:v>
                      </c:pt>
                      <c:pt idx="173">
                        <c:v>-55221.273455187584</c:v>
                      </c:pt>
                      <c:pt idx="174">
                        <c:v>-54823.748867978022</c:v>
                      </c:pt>
                      <c:pt idx="175">
                        <c:v>-54337.858738188224</c:v>
                      </c:pt>
                      <c:pt idx="176">
                        <c:v>-53762.852980298012</c:v>
                      </c:pt>
                      <c:pt idx="177">
                        <c:v>-53097.686747076958</c:v>
                      </c:pt>
                      <c:pt idx="178">
                        <c:v>-52340.998066484615</c:v>
                      </c:pt>
                      <c:pt idx="179">
                        <c:v>-51491.078064389621</c:v>
                      </c:pt>
                      <c:pt idx="180">
                        <c:v>-50545.832107815899</c:v>
                      </c:pt>
                      <c:pt idx="181">
                        <c:v>-49502.729554077683</c:v>
                      </c:pt>
                      <c:pt idx="182">
                        <c:v>-48358.738878744174</c:v>
                      </c:pt>
                      <c:pt idx="183">
                        <c:v>-47110.2436462685</c:v>
                      </c:pt>
                      <c:pt idx="184">
                        <c:v>-45752.932873101679</c:v>
                      </c:pt>
                      <c:pt idx="185">
                        <c:v>-44281.656486954911</c:v>
                      </c:pt>
                      <c:pt idx="186">
                        <c:v>-42690.232294232679</c:v>
                      </c:pt>
                      <c:pt idx="187">
                        <c:v>-40971.184344465219</c:v>
                      </c:pt>
                      <c:pt idx="188">
                        <c:v>-39115.38271754689</c:v>
                      </c:pt>
                      <c:pt idx="189">
                        <c:v>-37111.540408016917</c:v>
                      </c:pt>
                      <c:pt idx="190">
                        <c:v>-34945.504856972206</c:v>
                      </c:pt>
                      <c:pt idx="191">
                        <c:v>-32599.271441608129</c:v>
                      </c:pt>
                      <c:pt idx="192">
                        <c:v>-30049.707072004221</c:v>
                      </c:pt>
                      <c:pt idx="193">
                        <c:v>-27267.401590486494</c:v>
                      </c:pt>
                      <c:pt idx="194">
                        <c:v>-24218.212106046034</c:v>
                      </c:pt>
                      <c:pt idx="195">
                        <c:v>-20879.229067169224</c:v>
                      </c:pt>
                      <c:pt idx="196">
                        <c:v>-17302.009455564716</c:v>
                      </c:pt>
                      <c:pt idx="197">
                        <c:v>-13680.662973438371</c:v>
                      </c:pt>
                      <c:pt idx="198">
                        <c:v>-10198.136658306055</c:v>
                      </c:pt>
                      <c:pt idx="199">
                        <c:v>-6853.480021462693</c:v>
                      </c:pt>
                      <c:pt idx="200">
                        <c:v>-3554.319591125633</c:v>
                      </c:pt>
                      <c:pt idx="201">
                        <c:v>-230.11510165922746</c:v>
                      </c:pt>
                      <c:pt idx="202">
                        <c:v>3144.6834798928371</c:v>
                      </c:pt>
                      <c:pt idx="203">
                        <c:v>6547.3655718135542</c:v>
                      </c:pt>
                      <c:pt idx="204">
                        <c:v>9914.6877992740538</c:v>
                      </c:pt>
                      <c:pt idx="205">
                        <c:v>13170.42955534188</c:v>
                      </c:pt>
                      <c:pt idx="206">
                        <c:v>16258.192591732774</c:v>
                      </c:pt>
                      <c:pt idx="207">
                        <c:v>19154.204773715814</c:v>
                      </c:pt>
                      <c:pt idx="208">
                        <c:v>21859.322395550887</c:v>
                      </c:pt>
                      <c:pt idx="209">
                        <c:v>24386.329671334919</c:v>
                      </c:pt>
                      <c:pt idx="210">
                        <c:v>26751.573464906625</c:v>
                      </c:pt>
                      <c:pt idx="211">
                        <c:v>28971.09909463043</c:v>
                      </c:pt>
                      <c:pt idx="212">
                        <c:v>31059.281313900821</c:v>
                      </c:pt>
                      <c:pt idx="213">
                        <c:v>33028.544222235047</c:v>
                      </c:pt>
                      <c:pt idx="214">
                        <c:v>34889.487105349632</c:v>
                      </c:pt>
                      <c:pt idx="215">
                        <c:v>36651.129040375432</c:v>
                      </c:pt>
                      <c:pt idx="216">
                        <c:v>38321.162308771141</c:v>
                      </c:pt>
                      <c:pt idx="217">
                        <c:v>39906.177760244245</c:v>
                      </c:pt>
                      <c:pt idx="218">
                        <c:v>41411.853820698088</c:v>
                      </c:pt>
                      <c:pt idx="219">
                        <c:v>42843.111138430897</c:v>
                      </c:pt>
                      <c:pt idx="220">
                        <c:v>44204.237916508173</c:v>
                      </c:pt>
                      <c:pt idx="221">
                        <c:v>45498.991290987404</c:v>
                      </c:pt>
                      <c:pt idx="222">
                        <c:v>46730.679500694911</c:v>
                      </c:pt>
                      <c:pt idx="223">
                        <c:v>47902.228765194748</c:v>
                      </c:pt>
                      <c:pt idx="224">
                        <c:v>49016.238002478291</c:v>
                      </c:pt>
                      <c:pt idx="225">
                        <c:v>50075.023854487139</c:v>
                      </c:pt>
                      <c:pt idx="226">
                        <c:v>51080.657955094044</c:v>
                      </c:pt>
                      <c:pt idx="227">
                        <c:v>52034.997956108971</c:v>
                      </c:pt>
                      <c:pt idx="228">
                        <c:v>52939.713501219449</c:v>
                      </c:pt>
                      <c:pt idx="229">
                        <c:v>53796.308085671357</c:v>
                      </c:pt>
                      <c:pt idx="230">
                        <c:v>54606.137544310033</c:v>
                      </c:pt>
                      <c:pt idx="231">
                        <c:v>55370.425759105441</c:v>
                      </c:pt>
                      <c:pt idx="232">
                        <c:v>56090.278059235185</c:v>
                      </c:pt>
                      <c:pt idx="233">
                        <c:v>56766.692694366604</c:v>
                      </c:pt>
                      <c:pt idx="234">
                        <c:v>57400.570689014836</c:v>
                      </c:pt>
                      <c:pt idx="235">
                        <c:v>57992.724328245058</c:v>
                      </c:pt>
                      <c:pt idx="236">
                        <c:v>58543.884479105953</c:v>
                      </c:pt>
                      <c:pt idx="237">
                        <c:v>59054.706915418123</c:v>
                      </c:pt>
                      <c:pt idx="238">
                        <c:v>59525.777783898942</c:v>
                      </c:pt>
                      <c:pt idx="239">
                        <c:v>59957.618325551746</c:v>
                      </c:pt>
                      <c:pt idx="240">
                        <c:v>60350.688946597664</c:v>
                      </c:pt>
                      <c:pt idx="241">
                        <c:v>60705.392717063747</c:v>
                      </c:pt>
                      <c:pt idx="242">
                        <c:v>61022.078361742191</c:v>
                      </c:pt>
                      <c:pt idx="243">
                        <c:v>61301.042797037284</c:v>
                      </c:pt>
                      <c:pt idx="244">
                        <c:v>61542.533257770374</c:v>
                      </c:pt>
                      <c:pt idx="245">
                        <c:v>61746.749049961065</c:v>
                      </c:pt>
                      <c:pt idx="246">
                        <c:v>61913.84295865435</c:v>
                      </c:pt>
                      <c:pt idx="247">
                        <c:v>62043.922333782655</c:v>
                      </c:pt>
                      <c:pt idx="248">
                        <c:v>62137.049871642019</c:v>
                      </c:pt>
                      <c:pt idx="249">
                        <c:v>62193.244104656573</c:v>
                      </c:pt>
                      <c:pt idx="250">
                        <c:v>62212.479607562171</c:v>
                      </c:pt>
                      <c:pt idx="251">
                        <c:v>62194.686923829606</c:v>
                      </c:pt>
                      <c:pt idx="252">
                        <c:v>62139.752211953848</c:v>
                      </c:pt>
                      <c:pt idx="253">
                        <c:v>62047.516607044607</c:v>
                      </c:pt>
                      <c:pt idx="254">
                        <c:v>61917.775288854507</c:v>
                      </c:pt>
                      <c:pt idx="255">
                        <c:v>61750.276242857763</c:v>
                      </c:pt>
                      <c:pt idx="256">
                        <c:v>61544.71869612005</c:v>
                      </c:pt>
                      <c:pt idx="257">
                        <c:v>61300.75120434066</c:v>
                      </c:pt>
                      <c:pt idx="258">
                        <c:v>61017.96936044193</c:v>
                      </c:pt>
                      <c:pt idx="259">
                        <c:v>60695.91308824224</c:v>
                      </c:pt>
                      <c:pt idx="260">
                        <c:v>60334.06347685455</c:v>
                      </c:pt>
                      <c:pt idx="261">
                        <c:v>59931.839102232865</c:v>
                      </c:pt>
                      <c:pt idx="262">
                        <c:v>59488.591771412488</c:v>
                      </c:pt>
                      <c:pt idx="263">
                        <c:v>59003.601612045757</c:v>
                      </c:pt>
                      <c:pt idx="264">
                        <c:v>58476.071414309641</c:v>
                      </c:pt>
                      <c:pt idx="265">
                        <c:v>57905.120113509671</c:v>
                      </c:pt>
                      <c:pt idx="266">
                        <c:v>57289.77527890831</c:v>
                      </c:pt>
                      <c:pt idx="267">
                        <c:v>56628.964446425671</c:v>
                      </c:pt>
                      <c:pt idx="268">
                        <c:v>55921.505098566486</c:v>
                      </c:pt>
                      <c:pt idx="269">
                        <c:v>55166.093052514763</c:v>
                      </c:pt>
                      <c:pt idx="270">
                        <c:v>54361.288964611587</c:v>
                      </c:pt>
                      <c:pt idx="271">
                        <c:v>53505.502593564357</c:v>
                      </c:pt>
                      <c:pt idx="272">
                        <c:v>52596.974382082546</c:v>
                      </c:pt>
                      <c:pt idx="273">
                        <c:v>51633.753812512565</c:v>
                      </c:pt>
                      <c:pt idx="274">
                        <c:v>50613.673860476752</c:v>
                      </c:pt>
                      <c:pt idx="275">
                        <c:v>49534.320703990932</c:v>
                      </c:pt>
                      <c:pt idx="276">
                        <c:v>48392.997634832427</c:v>
                      </c:pt>
                      <c:pt idx="277">
                        <c:v>47186.681853340197</c:v>
                      </c:pt>
                      <c:pt idx="278">
                        <c:v>45911.972496187955</c:v>
                      </c:pt>
                      <c:pt idx="279">
                        <c:v>44565.027840505543</c:v>
                      </c:pt>
                      <c:pt idx="280">
                        <c:v>43141.489149162611</c:v>
                      </c:pt>
                      <c:pt idx="281">
                        <c:v>41636.388102520061</c:v>
                      </c:pt>
                      <c:pt idx="282">
                        <c:v>40044.034305439542</c:v>
                      </c:pt>
                      <c:pt idx="283">
                        <c:v>38357.879240238704</c:v>
                      </c:pt>
                      <c:pt idx="284">
                        <c:v>36570.353931708632</c:v>
                      </c:pt>
                      <c:pt idx="285">
                        <c:v>34672.68110693559</c:v>
                      </c:pt>
                      <c:pt idx="286">
                        <c:v>32654.672574934692</c:v>
                      </c:pt>
                      <c:pt idx="287">
                        <c:v>30504.547966305006</c:v>
                      </c:pt>
                      <c:pt idx="288">
                        <c:v>28208.873543972295</c:v>
                      </c:pt>
                      <c:pt idx="289">
                        <c:v>25752.871464089563</c:v>
                      </c:pt>
                      <c:pt idx="290">
                        <c:v>23121.711123848985</c:v>
                      </c:pt>
                      <c:pt idx="291">
                        <c:v>20304.209142964199</c:v>
                      </c:pt>
                      <c:pt idx="292">
                        <c:v>17301.882039118427</c:v>
                      </c:pt>
                      <c:pt idx="293">
                        <c:v>14147.232834402927</c:v>
                      </c:pt>
                      <c:pt idx="294">
                        <c:v>10926.641999821983</c:v>
                      </c:pt>
                      <c:pt idx="295">
                        <c:v>7773.0570673342718</c:v>
                      </c:pt>
                      <c:pt idx="296">
                        <c:v>4797.8578715012018</c:v>
                      </c:pt>
                      <c:pt idx="297">
                        <c:v>2029.4191830678121</c:v>
                      </c:pt>
                      <c:pt idx="298">
                        <c:v>-570.29991048901525</c:v>
                      </c:pt>
                      <c:pt idx="299">
                        <c:v>-3057.185484231542</c:v>
                      </c:pt>
                      <c:pt idx="300">
                        <c:v>-5477.2334645733899</c:v>
                      </c:pt>
                      <c:pt idx="301">
                        <c:v>-7857.9912098113919</c:v>
                      </c:pt>
                      <c:pt idx="302">
                        <c:v>-10209.456845338374</c:v>
                      </c:pt>
                      <c:pt idx="303">
                        <c:v>-12529.849266530127</c:v>
                      </c:pt>
                      <c:pt idx="304">
                        <c:v>-14812.31949818855</c:v>
                      </c:pt>
                      <c:pt idx="305">
                        <c:v>-17049.650880601039</c:v>
                      </c:pt>
                      <c:pt idx="306">
                        <c:v>-19236.356860319593</c:v>
                      </c:pt>
                      <c:pt idx="307">
                        <c:v>-21369.06640733319</c:v>
                      </c:pt>
                      <c:pt idx="308">
                        <c:v>-23446.182401839265</c:v>
                      </c:pt>
                      <c:pt idx="309">
                        <c:v>-25467.380314076156</c:v>
                      </c:pt>
                      <c:pt idx="310">
                        <c:v>-27433.169758361746</c:v>
                      </c:pt>
                      <c:pt idx="311">
                        <c:v>-29344.569860488326</c:v>
                      </c:pt>
                      <c:pt idx="312">
                        <c:v>-31202.886975430851</c:v>
                      </c:pt>
                      <c:pt idx="313">
                        <c:v>-33009.56900625753</c:v>
                      </c:pt>
                      <c:pt idx="314">
                        <c:v>-34766.11272953132</c:v>
                      </c:pt>
                      <c:pt idx="315">
                        <c:v>-36474.006402609062</c:v>
                      </c:pt>
                      <c:pt idx="316">
                        <c:v>-38134.695366687592</c:v>
                      </c:pt>
                      <c:pt idx="317">
                        <c:v>-39749.562445127507</c:v>
                      </c:pt>
                      <c:pt idx="318">
                        <c:v>-41319.917763614576</c:v>
                      </c:pt>
                      <c:pt idx="319">
                        <c:v>-42846.994502258145</c:v>
                      </c:pt>
                      <c:pt idx="320">
                        <c:v>-44331.948322632627</c:v>
                      </c:pt>
                      <c:pt idx="321">
                        <c:v>-45775.859013743386</c:v>
                      </c:pt>
                      <c:pt idx="322">
                        <c:v>-47179.733420127151</c:v>
                      </c:pt>
                      <c:pt idx="323">
                        <c:v>-48544.509052045665</c:v>
                      </c:pt>
                      <c:pt idx="324">
                        <c:v>-49871.057996461124</c:v>
                      </c:pt>
                      <c:pt idx="325">
                        <c:v>-51160.190889758953</c:v>
                      </c:pt>
                      <c:pt idx="326">
                        <c:v>-52412.660805774671</c:v>
                      </c:pt>
                      <c:pt idx="327">
                        <c:v>-53629.166972861829</c:v>
                      </c:pt>
                      <c:pt idx="328">
                        <c:v>-54810.358272696649</c:v>
                      </c:pt>
                      <c:pt idx="329">
                        <c:v>-55956.836498536519</c:v>
                      </c:pt>
                      <c:pt idx="330">
                        <c:v>-57069.159366498607</c:v>
                      </c:pt>
                      <c:pt idx="331">
                        <c:v>-58147.843283233742</c:v>
                      </c:pt>
                      <c:pt idx="332">
                        <c:v>-59193.365879208366</c:v>
                      </c:pt>
                      <c:pt idx="333">
                        <c:v>-60206.168320044213</c:v>
                      </c:pt>
                      <c:pt idx="334">
                        <c:v>-61186.657409912754</c:v>
                      </c:pt>
                      <c:pt idx="335">
                        <c:v>-62135.20750144546</c:v>
                      </c:pt>
                      <c:pt idx="336">
                        <c:v>-63052.162226405257</c:v>
                      </c:pt>
                      <c:pt idx="337">
                        <c:v>-63937.836060736481</c:v>
                      </c:pt>
                      <c:pt idx="338">
                        <c:v>-64792.515736747388</c:v>
                      </c:pt>
                      <c:pt idx="339">
                        <c:v>-65616.461514195966</c:v>
                      </c:pt>
                      <c:pt idx="340">
                        <c:v>-66409.908321021416</c:v>
                      </c:pt>
                      <c:pt idx="341">
                        <c:v>-67173.066773436411</c:v>
                      </c:pt>
                      <c:pt idx="342">
                        <c:v>-67906.124084098134</c:v>
                      </c:pt>
                      <c:pt idx="343">
                        <c:v>-68609.244866123947</c:v>
                      </c:pt>
                      <c:pt idx="344">
                        <c:v>-69282.571839819022</c:v>
                      </c:pt>
                      <c:pt idx="345">
                        <c:v>-69926.226448139772</c:v>
                      </c:pt>
                      <c:pt idx="346">
                        <c:v>-70540.309386127614</c:v>
                      </c:pt>
                      <c:pt idx="347">
                        <c:v>-71124.90104880881</c:v>
                      </c:pt>
                      <c:pt idx="348">
                        <c:v>-71680.061901362715</c:v>
                      </c:pt>
                      <c:pt idx="349">
                        <c:v>-72205.832774707567</c:v>
                      </c:pt>
                      <c:pt idx="350">
                        <c:v>-72702.235089033318</c:v>
                      </c:pt>
                      <c:pt idx="351">
                        <c:v>-73169.271007218646</c:v>
                      </c:pt>
                      <c:pt idx="352">
                        <c:v>-73606.923519497359</c:v>
                      </c:pt>
                      <c:pt idx="353">
                        <c:v>-74015.156460181795</c:v>
                      </c:pt>
                      <c:pt idx="354">
                        <c:v>-74393.914456700091</c:v>
                      </c:pt>
                      <c:pt idx="355">
                        <c:v>-74743.122810652989</c:v>
                      </c:pt>
                      <c:pt idx="356">
                        <c:v>-75062.687310038498</c:v>
                      </c:pt>
                      <c:pt idx="357">
                        <c:v>-75352.493971218981</c:v>
                      </c:pt>
                      <c:pt idx="358">
                        <c:v>-75612.408708609611</c:v>
                      </c:pt>
                      <c:pt idx="359">
                        <c:v>-75842.27692943874</c:v>
                      </c:pt>
                      <c:pt idx="360">
                        <c:v>-76041.923050260855</c:v>
                      </c:pt>
                      <c:pt idx="361">
                        <c:v>-76211.149931180727</c:v>
                      </c:pt>
                      <c:pt idx="362">
                        <c:v>-76349.738222959975</c:v>
                      </c:pt>
                      <c:pt idx="363">
                        <c:v>-76457.445621312479</c:v>
                      </c:pt>
                      <c:pt idx="364">
                        <c:v>-76534.006021734953</c:v>
                      </c:pt>
                      <c:pt idx="365">
                        <c:v>-76579.128567147025</c:v>
                      </c:pt>
                      <c:pt idx="366">
                        <c:v>-76592.496579408631</c:v>
                      </c:pt>
                      <c:pt idx="367">
                        <c:v>-76573.766364416952</c:v>
                      </c:pt>
                      <c:pt idx="368">
                        <c:v>-76522.565878930312</c:v>
                      </c:pt>
                      <c:pt idx="369">
                        <c:v>-76438.493245487567</c:v>
                      </c:pt>
                      <c:pt idx="370">
                        <c:v>-76321.11509974541</c:v>
                      </c:pt>
                      <c:pt idx="371">
                        <c:v>-76169.96475219306</c:v>
                      </c:pt>
                      <c:pt idx="372">
                        <c:v>-75984.540143462262</c:v>
                      </c:pt>
                      <c:pt idx="373">
                        <c:v>-75764.301569256713</c:v>
                      </c:pt>
                      <c:pt idx="374">
                        <c:v>-75508.669147188819</c:v>
                      </c:pt>
                      <c:pt idx="375">
                        <c:v>-75217.019993424386</c:v>
                      </c:pt>
                      <c:pt idx="376">
                        <c:v>-74888.685071861735</c:v>
                      </c:pt>
                      <c:pt idx="377">
                        <c:v>-74522.945672446614</c:v>
                      </c:pt>
                      <c:pt idx="378">
                        <c:v>-74119.029467943517</c:v>
                      </c:pt>
                      <c:pt idx="379">
                        <c:v>-73676.106089793728</c:v>
                      </c:pt>
                      <c:pt idx="380">
                        <c:v>-73193.282153275242</c:v>
                      </c:pt>
                      <c:pt idx="381">
                        <c:v>-72669.59564964399</c:v>
                      </c:pt>
                      <c:pt idx="382">
                        <c:v>-72104.009607782602</c:v>
                      </c:pt>
                      <c:pt idx="383">
                        <c:v>-71495.404909485835</c:v>
                      </c:pt>
                      <c:pt idx="384">
                        <c:v>-70842.57212007638</c:v>
                      </c:pt>
                      <c:pt idx="385">
                        <c:v>-70144.202168561489</c:v>
                      </c:pt>
                      <c:pt idx="386">
                        <c:v>-69398.875677721822</c:v>
                      </c:pt>
                      <c:pt idx="387">
                        <c:v>-68605.050702721535</c:v>
                      </c:pt>
                      <c:pt idx="388">
                        <c:v>-67761.048584928998</c:v>
                      </c:pt>
                      <c:pt idx="389">
                        <c:v>-66865.037562931699</c:v>
                      </c:pt>
                      <c:pt idx="390">
                        <c:v>-65915.013701738164</c:v>
                      </c:pt>
                      <c:pt idx="391">
                        <c:v>-64908.778599443765</c:v>
                      </c:pt>
                      <c:pt idx="392">
                        <c:v>-63843.913202558411</c:v>
                      </c:pt>
                      <c:pt idx="393">
                        <c:v>-62717.746899703139</c:v>
                      </c:pt>
                      <c:pt idx="394">
                        <c:v>-61527.320859872416</c:v>
                      </c:pt>
                      <c:pt idx="395">
                        <c:v>-60269.344325901402</c:v>
                      </c:pt>
                      <c:pt idx="396">
                        <c:v>-58940.142255514249</c:v>
                      </c:pt>
                      <c:pt idx="397">
                        <c:v>-57535.592312385408</c:v>
                      </c:pt>
                      <c:pt idx="398">
                        <c:v>-56051.048746309694</c:v>
                      </c:pt>
                      <c:pt idx="399">
                        <c:v>-54481.250182854121</c:v>
                      </c:pt>
                      <c:pt idx="400">
                        <c:v>-52820.207833101071</c:v>
                      </c:pt>
                      <c:pt idx="401">
                        <c:v>-51061.070299259278</c:v>
                      </c:pt>
                      <c:pt idx="402">
                        <c:v>-49195.961371454454</c:v>
                      </c:pt>
                      <c:pt idx="403">
                        <c:v>-47215.788796323075</c:v>
                      </c:pt>
                      <c:pt idx="404">
                        <c:v>-45110.026594116956</c:v>
                      </c:pt>
                      <c:pt idx="405">
                        <c:v>-42866.484233267853</c:v>
                      </c:pt>
                      <c:pt idx="406">
                        <c:v>-40471.098139568901</c:v>
                      </c:pt>
                      <c:pt idx="407">
                        <c:v>-37907.821403363298</c:v>
                      </c:pt>
                      <c:pt idx="408">
                        <c:v>-35158.746670247594</c:v>
                      </c:pt>
                      <c:pt idx="409">
                        <c:v>-32204.638554770761</c:v>
                      </c:pt>
                      <c:pt idx="410">
                        <c:v>-29025.924301673844</c:v>
                      </c:pt>
                      <c:pt idx="411">
                        <c:v>-25603.551531509838</c:v>
                      </c:pt>
                      <c:pt idx="412">
                        <c:v>-21917.732294411591</c:v>
                      </c:pt>
                      <c:pt idx="413">
                        <c:v>-17941.579979329868</c:v>
                      </c:pt>
                      <c:pt idx="414">
                        <c:v>-13629.665781579599</c:v>
                      </c:pt>
                      <c:pt idx="415">
                        <c:v>-8915.9371343537805</c:v>
                      </c:pt>
                      <c:pt idx="416">
                        <c:v>-3787.6818650226719</c:v>
                      </c:pt>
                      <c:pt idx="417">
                        <c:v>1494.3199314254055</c:v>
                      </c:pt>
                      <c:pt idx="418">
                        <c:v>6517.3386449958189</c:v>
                      </c:pt>
                      <c:pt idx="419">
                        <c:v>11137.282827633835</c:v>
                      </c:pt>
                      <c:pt idx="420">
                        <c:v>15437.343842396458</c:v>
                      </c:pt>
                      <c:pt idx="421">
                        <c:v>19498.771696221396</c:v>
                      </c:pt>
                      <c:pt idx="422">
                        <c:v>23368.08985787155</c:v>
                      </c:pt>
                      <c:pt idx="423">
                        <c:v>27070.929473583899</c:v>
                      </c:pt>
                      <c:pt idx="424">
                        <c:v>30622.938837405065</c:v>
                      </c:pt>
                      <c:pt idx="425">
                        <c:v>34035.341562664617</c:v>
                      </c:pt>
                      <c:pt idx="426">
                        <c:v>37317.395086717319</c:v>
                      </c:pt>
                      <c:pt idx="427">
                        <c:v>40477.368539952447</c:v>
                      </c:pt>
                      <c:pt idx="428">
                        <c:v>43522.887570361621</c:v>
                      </c:pt>
                      <c:pt idx="429">
                        <c:v>46461.037663473166</c:v>
                      </c:pt>
                      <c:pt idx="430">
                        <c:v>49298.390514583669</c:v>
                      </c:pt>
                      <c:pt idx="431">
                        <c:v>52041.015515036415</c:v>
                      </c:pt>
                      <c:pt idx="432">
                        <c:v>54694.495761769176</c:v>
                      </c:pt>
                      <c:pt idx="433">
                        <c:v>57263.951897373772</c:v>
                      </c:pt>
                      <c:pt idx="434">
                        <c:v>59754.071967997632</c:v>
                      </c:pt>
                      <c:pt idx="435">
                        <c:v>62169.144537129192</c:v>
                      </c:pt>
                      <c:pt idx="436">
                        <c:v>64513.092707214848</c:v>
                      </c:pt>
                      <c:pt idx="437">
                        <c:v>66789.507403597614</c:v>
                      </c:pt>
                      <c:pt idx="438">
                        <c:v>69001.67890490088</c:v>
                      </c:pt>
                      <c:pt idx="439">
                        <c:v>71152.626074383836</c:v>
                      </c:pt>
                      <c:pt idx="440">
                        <c:v>73245.123066789354</c:v>
                      </c:pt>
                      <c:pt idx="441">
                        <c:v>75281.723488649353</c:v>
                      </c:pt>
                      <c:pt idx="442">
                        <c:v>77264.782110966946</c:v>
                      </c:pt>
                      <c:pt idx="443">
                        <c:v>79196.474298870206</c:v>
                      </c:pt>
                      <c:pt idx="444">
                        <c:v>81078.813352956859</c:v>
                      </c:pt>
                      <c:pt idx="445">
                        <c:v>82913.665965190608</c:v>
                      </c:pt>
                      <c:pt idx="446">
                        <c:v>84702.765987382241</c:v>
                      </c:pt>
                      <c:pt idx="447">
                        <c:v>86447.726698322294</c:v>
                      </c:pt>
                      <c:pt idx="448">
                        <c:v>88150.051740203809</c:v>
                      </c:pt>
                      <c:pt idx="449">
                        <c:v>89811.144878341001</c:v>
                      </c:pt>
                      <c:pt idx="450">
                        <c:v>91432.318721683783</c:v>
                      </c:pt>
                      <c:pt idx="451">
                        <c:v>93014.802525993247</c:v>
                      </c:pt>
                      <c:pt idx="452">
                        <c:v>94559.749187153415</c:v>
                      </c:pt>
                      <c:pt idx="453">
                        <c:v>96068.241519098287</c:v>
                      </c:pt>
                      <c:pt idx="454">
                        <c:v>97541.297899242549</c:v>
                      </c:pt>
                      <c:pt idx="455">
                        <c:v>98979.877354058845</c:v>
                      </c:pt>
                      <c:pt idx="456">
                        <c:v>100384.88414844016</c:v>
                      </c:pt>
                      <c:pt idx="457">
                        <c:v>101757.17193460633</c:v>
                      </c:pt>
                      <c:pt idx="458">
                        <c:v>103097.54750943556</c:v>
                      </c:pt>
                      <c:pt idx="459">
                        <c:v>104406.77422310803</c:v>
                      </c:pt>
                      <c:pt idx="460">
                        <c:v>105685.57507673001</c:v>
                      </c:pt>
                      <c:pt idx="461">
                        <c:v>106934.635542064</c:v>
                      </c:pt>
                      <c:pt idx="462">
                        <c:v>108154.60613253601</c:v>
                      </c:pt>
                      <c:pt idx="463">
                        <c:v>109346.10475124489</c:v>
                      </c:pt>
                      <c:pt idx="464">
                        <c:v>110509.71883869644</c:v>
                      </c:pt>
                      <c:pt idx="465">
                        <c:v>111646.00734036276</c:v>
                      </c:pt>
                      <c:pt idx="466">
                        <c:v>112755.50251187805</c:v>
                      </c:pt>
                      <c:pt idx="467">
                        <c:v>113838.71157767814</c:v>
                      </c:pt>
                      <c:pt idx="468">
                        <c:v>114896.11825713651</c:v>
                      </c:pt>
                      <c:pt idx="469">
                        <c:v>115928.18417070899</c:v>
                      </c:pt>
                      <c:pt idx="470">
                        <c:v>116935.35013724738</c:v>
                      </c:pt>
                      <c:pt idx="471">
                        <c:v>117918.03737245071</c:v>
                      </c:pt>
                      <c:pt idx="472">
                        <c:v>118876.64859737424</c:v>
                      </c:pt>
                      <c:pt idx="473">
                        <c:v>119811.5690649896</c:v>
                      </c:pt>
                      <c:pt idx="474">
                        <c:v>120723.16751197071</c:v>
                      </c:pt>
                      <c:pt idx="475">
                        <c:v>121611.79704215443</c:v>
                      </c:pt>
                      <c:pt idx="476">
                        <c:v>122477.79594748233</c:v>
                      </c:pt>
                      <c:pt idx="477">
                        <c:v>123321.48847165762</c:v>
                      </c:pt>
                      <c:pt idx="478">
                        <c:v>124143.18552124375</c:v>
                      </c:pt>
                      <c:pt idx="479">
                        <c:v>124943.18532847756</c:v>
                      </c:pt>
                      <c:pt idx="480">
                        <c:v>125721.77406966567</c:v>
                      </c:pt>
                      <c:pt idx="481">
                        <c:v>126479.2264426719</c:v>
                      </c:pt>
                      <c:pt idx="482">
                        <c:v>127215.80620667941</c:v>
                      </c:pt>
                      <c:pt idx="483">
                        <c:v>127931.76668712198</c:v>
                      </c:pt>
                      <c:pt idx="484">
                        <c:v>128627.35124841843</c:v>
                      </c:pt>
                      <c:pt idx="485">
                        <c:v>129302.79373690995</c:v>
                      </c:pt>
                      <c:pt idx="486">
                        <c:v>129958.31889619028</c:v>
                      </c:pt>
                      <c:pt idx="487">
                        <c:v>130594.14275682818</c:v>
                      </c:pt>
                      <c:pt idx="488">
                        <c:v>131210.47300231096</c:v>
                      </c:pt>
                      <c:pt idx="489">
                        <c:v>131807.50931288264</c:v>
                      </c:pt>
                      <c:pt idx="490">
                        <c:v>132385.44368881031</c:v>
                      </c:pt>
                      <c:pt idx="491">
                        <c:v>132944.46075448583</c:v>
                      </c:pt>
                      <c:pt idx="492">
                        <c:v>133484.73804465387</c:v>
                      </c:pt>
                      <c:pt idx="493">
                        <c:v>134006.44627395403</c:v>
                      </c:pt>
                      <c:pt idx="494">
                        <c:v>134509.74959086833</c:v>
                      </c:pt>
                      <c:pt idx="495">
                        <c:v>134994.80581707988</c:v>
                      </c:pt>
                      <c:pt idx="496">
                        <c:v>135461.76667316892</c:v>
                      </c:pt>
                      <c:pt idx="497">
                        <c:v>135910.77799150054</c:v>
                      </c:pt>
                      <c:pt idx="498">
                        <c:v>136341.9799170928</c:v>
                      </c:pt>
                      <c:pt idx="499">
                        <c:v>136755.50709719324</c:v>
                      </c:pt>
                      <c:pt idx="500">
                        <c:v>137151.48886023712</c:v>
                      </c:pt>
                      <c:pt idx="501">
                        <c:v>137530.0493848098</c:v>
                      </c:pt>
                      <c:pt idx="502">
                        <c:v>137891.3078591894</c:v>
                      </c:pt>
                      <c:pt idx="503">
                        <c:v>138235.37863200309</c:v>
                      </c:pt>
                      <c:pt idx="504">
                        <c:v>138562.37135449116</c:v>
                      </c:pt>
                      <c:pt idx="505">
                        <c:v>138872.39111483676</c:v>
                      </c:pt>
                      <c:pt idx="506">
                        <c:v>139165.53856498617</c:v>
                      </c:pt>
                      <c:pt idx="507">
                        <c:v>139441.91004035273</c:v>
                      </c:pt>
                      <c:pt idx="508">
                        <c:v>139701.59767277035</c:v>
                      </c:pt>
                      <c:pt idx="509">
                        <c:v>139944.68949703517</c:v>
                      </c:pt>
                      <c:pt idx="510">
                        <c:v>140171.2695513496</c:v>
                      </c:pt>
                      <c:pt idx="511">
                        <c:v>140381.41797196082</c:v>
                      </c:pt>
                      <c:pt idx="512">
                        <c:v>140575.21108226414</c:v>
                      </c:pt>
                      <c:pt idx="513">
                        <c:v>140752.72147662219</c:v>
                      </c:pt>
                      <c:pt idx="514">
                        <c:v>140914.01809913255</c:v>
                      </c:pt>
                      <c:pt idx="515">
                        <c:v>141059.16631755966</c:v>
                      </c:pt>
                      <c:pt idx="516">
                        <c:v>141188.22799263007</c:v>
                      </c:pt>
                      <c:pt idx="517">
                        <c:v>141301.26154287611</c:v>
                      </c:pt>
                      <c:pt idx="518">
                        <c:v>141398.32200519813</c:v>
                      </c:pt>
                      <c:pt idx="519">
                        <c:v>141479.46109130286</c:v>
                      </c:pt>
                      <c:pt idx="520">
                        <c:v>141544.72724016232</c:v>
                      </c:pt>
                      <c:pt idx="521">
                        <c:v>141594.16566662688</c:v>
                      </c:pt>
                      <c:pt idx="522">
                        <c:v>141627.81840631383</c:v>
                      </c:pt>
                      <c:pt idx="523">
                        <c:v>141645.72435688306</c:v>
                      </c:pt>
                      <c:pt idx="524">
                        <c:v>141647.919315801</c:v>
                      </c:pt>
                      <c:pt idx="525">
                        <c:v>141634.43601468467</c:v>
                      </c:pt>
                      <c:pt idx="526">
                        <c:v>141605.30415030778</c:v>
                      </c:pt>
                      <c:pt idx="527">
                        <c:v>141560.55041234306</c:v>
                      </c:pt>
                      <c:pt idx="528">
                        <c:v>141500.19850790562</c:v>
                      </c:pt>
                      <c:pt idx="529">
                        <c:v>141424.26918295433</c:v>
                      </c:pt>
                      <c:pt idx="530">
                        <c:v>141332.78024060011</c:v>
                      </c:pt>
                      <c:pt idx="531">
                        <c:v>141225.74655636225</c:v>
                      </c:pt>
                      <c:pt idx="532">
                        <c:v>141103.18009040647</c:v>
                      </c:pt>
                      <c:pt idx="533">
                        <c:v>140965.0898967906</c:v>
                      </c:pt>
                      <c:pt idx="534">
                        <c:v>140811.4821297368</c:v>
                      </c:pt>
                      <c:pt idx="535">
                        <c:v>140642.36004694187</c:v>
                      </c:pt>
                      <c:pt idx="536">
                        <c:v>140457.72400992954</c:v>
                      </c:pt>
                      <c:pt idx="537">
                        <c:v>140257.57148144225</c:v>
                      </c:pt>
                      <c:pt idx="538">
                        <c:v>140041.89701986164</c:v>
                      </c:pt>
                      <c:pt idx="539">
                        <c:v>139810.69227064072</c:v>
                      </c:pt>
                      <c:pt idx="540">
                        <c:v>139563.94595472238</c:v>
                      </c:pt>
                      <c:pt idx="541">
                        <c:v>139301.64385391204</c:v>
                      </c:pt>
                      <c:pt idx="542">
                        <c:v>139023.76879316391</c:v>
                      </c:pt>
                      <c:pt idx="543">
                        <c:v>138730.3006197334</c:v>
                      </c:pt>
                      <c:pt idx="544">
                        <c:v>138421.21617913916</c:v>
                      </c:pt>
                      <c:pt idx="545">
                        <c:v>138096.4892878703</c:v>
                      </c:pt>
                      <c:pt idx="546">
                        <c:v>137756.0907027658</c:v>
                      </c:pt>
                      <c:pt idx="547">
                        <c:v>137399.988086984</c:v>
                      </c:pt>
                      <c:pt idx="548">
                        <c:v>137028.14597247014</c:v>
                      </c:pt>
                      <c:pt idx="549">
                        <c:v>136640.52571882121</c:v>
                      </c:pt>
                      <c:pt idx="550">
                        <c:v>136237.08546843557</c:v>
                      </c:pt>
                      <c:pt idx="551">
                        <c:v>135817.78009782522</c:v>
                      </c:pt>
                      <c:pt idx="552">
                        <c:v>135382.56116495625</c:v>
                      </c:pt>
                      <c:pt idx="553">
                        <c:v>134931.37685247083</c:v>
                      </c:pt>
                      <c:pt idx="554">
                        <c:v>134464.17190663196</c:v>
                      </c:pt>
                      <c:pt idx="555">
                        <c:v>133980.88757181738</c:v>
                      </c:pt>
                      <c:pt idx="556">
                        <c:v>133481.46152037487</c:v>
                      </c:pt>
                      <c:pt idx="557">
                        <c:v>132965.82777763598</c:v>
                      </c:pt>
                      <c:pt idx="558">
                        <c:v>132433.91664186746</c:v>
                      </c:pt>
                      <c:pt idx="559">
                        <c:v>131885.6545989227</c:v>
                      </c:pt>
                      <c:pt idx="560">
                        <c:v>131320.96423133559</c:v>
                      </c:pt>
                      <c:pt idx="561">
                        <c:v>130739.76412157869</c:v>
                      </c:pt>
                      <c:pt idx="562">
                        <c:v>130141.96874918554</c:v>
                      </c:pt>
                      <c:pt idx="563">
                        <c:v>129527.48838141255</c:v>
                      </c:pt>
                      <c:pt idx="564">
                        <c:v>128896.22895709006</c:v>
                      </c:pt>
                      <c:pt idx="565">
                        <c:v>128248.09196328424</c:v>
                      </c:pt>
                      <c:pt idx="566">
                        <c:v>127582.97430436091</c:v>
                      </c:pt>
                      <c:pt idx="567">
                        <c:v>126900.76816300952</c:v>
                      </c:pt>
                      <c:pt idx="568">
                        <c:v>126201.36085274977</c:v>
                      </c:pt>
                      <c:pt idx="569">
                        <c:v>125484.63466140439</c:v>
                      </c:pt>
                      <c:pt idx="570">
                        <c:v>124750.46668497946</c:v>
                      </c:pt>
                      <c:pt idx="571">
                        <c:v>123998.7286513475</c:v>
                      </c:pt>
                      <c:pt idx="572">
                        <c:v>123229.28673307816</c:v>
                      </c:pt>
                      <c:pt idx="573">
                        <c:v>122442.00134870701</c:v>
                      </c:pt>
                      <c:pt idx="574">
                        <c:v>121636.72695167222</c:v>
                      </c:pt>
                      <c:pt idx="575">
                        <c:v>120813.31180608388</c:v>
                      </c:pt>
                      <c:pt idx="576">
                        <c:v>119971.59774841867</c:v>
                      </c:pt>
                      <c:pt idx="577">
                        <c:v>119111.41993415347</c:v>
                      </c:pt>
                      <c:pt idx="578">
                        <c:v>118232.60656826526</c:v>
                      </c:pt>
                      <c:pt idx="579">
                        <c:v>117334.97861842917</c:v>
                      </c:pt>
                      <c:pt idx="580">
                        <c:v>116418.34950964204</c:v>
                      </c:pt>
                      <c:pt idx="581">
                        <c:v>115482.52479888289</c:v>
                      </c:pt>
                      <c:pt idx="582">
                        <c:v>114527.30182829518</c:v>
                      </c:pt>
                      <c:pt idx="583">
                        <c:v>113552.46935523412</c:v>
                      </c:pt>
                      <c:pt idx="584">
                        <c:v>112557.80715736758</c:v>
                      </c:pt>
                      <c:pt idx="585">
                        <c:v>111543.08561084686</c:v>
                      </c:pt>
                      <c:pt idx="586">
                        <c:v>110508.06523937271</c:v>
                      </c:pt>
                      <c:pt idx="587">
                        <c:v>109452.49623177089</c:v>
                      </c:pt>
                      <c:pt idx="588">
                        <c:v>108376.11792545678</c:v>
                      </c:pt>
                      <c:pt idx="589">
                        <c:v>107278.65825290733</c:v>
                      </c:pt>
                      <c:pt idx="590">
                        <c:v>106159.83314796898</c:v>
                      </c:pt>
                      <c:pt idx="591">
                        <c:v>105019.34590850644</c:v>
                      </c:pt>
                      <c:pt idx="592">
                        <c:v>103856.88651153767</c:v>
                      </c:pt>
                      <c:pt idx="593">
                        <c:v>102672.13087659824</c:v>
                      </c:pt>
                      <c:pt idx="594">
                        <c:v>101464.74007263048</c:v>
                      </c:pt>
                      <c:pt idx="595">
                        <c:v>100234.35946319181</c:v>
                      </c:pt>
                      <c:pt idx="596">
                        <c:v>98980.617784218062</c:v>
                      </c:pt>
                      <c:pt idx="597">
                        <c:v>97703.126147952498</c:v>
                      </c:pt>
                      <c:pt idx="598">
                        <c:v>96401.476965953538</c:v>
                      </c:pt>
                      <c:pt idx="599">
                        <c:v>95075.242783314825</c:v>
                      </c:pt>
                      <c:pt idx="600">
                        <c:v>93723.975015361386</c:v>
                      </c:pt>
                      <c:pt idx="601">
                        <c:v>92347.20257711655</c:v>
                      </c:pt>
                      <c:pt idx="602">
                        <c:v>90944.430394756317</c:v>
                      </c:pt>
                      <c:pt idx="603">
                        <c:v>89515.137787071682</c:v>
                      </c:pt>
                      <c:pt idx="604">
                        <c:v>88058.776703639363</c:v>
                      </c:pt>
                      <c:pt idx="605">
                        <c:v>86574.769804949581</c:v>
                      </c:pt>
                      <c:pt idx="606">
                        <c:v>85062.508368158451</c:v>
                      </c:pt>
                      <c:pt idx="607">
                        <c:v>83521.350000426901</c:v>
                      </c:pt>
                      <c:pt idx="608">
                        <c:v>81950.616139997714</c:v>
                      </c:pt>
                      <c:pt idx="609">
                        <c:v>80349.589323284512</c:v>
                      </c:pt>
                      <c:pt idx="610">
                        <c:v>78717.510194366128</c:v>
                      </c:pt>
                      <c:pt idx="611">
                        <c:v>77053.57423150618</c:v>
                      </c:pt>
                      <c:pt idx="612">
                        <c:v>75356.928163824239</c:v>
                      </c:pt>
                      <c:pt idx="613">
                        <c:v>73626.666050303218</c:v>
                      </c:pt>
                      <c:pt idx="614">
                        <c:v>71861.824993347502</c:v>
                      </c:pt>
                      <c:pt idx="615">
                        <c:v>70061.380460751359</c:v>
                      </c:pt>
                      <c:pt idx="616">
                        <c:v>68224.241194176837</c:v>
                      </c:pt>
                      <c:pt idx="617">
                        <c:v>66349.243690569798</c:v>
                      </c:pt>
                      <c:pt idx="618">
                        <c:v>64435.146257637789</c:v>
                      </c:pt>
                      <c:pt idx="619">
                        <c:v>62480.622669053002</c:v>
                      </c:pt>
                      <c:pt idx="620">
                        <c:v>60484.255484763809</c:v>
                      </c:pt>
                      <c:pt idx="621">
                        <c:v>58444.529164923515</c:v>
                      </c:pt>
                      <c:pt idx="622">
                        <c:v>56359.823205231536</c:v>
                      </c:pt>
                      <c:pt idx="623">
                        <c:v>54228.405676845323</c:v>
                      </c:pt>
                      <c:pt idx="624">
                        <c:v>52048.427796783959</c:v>
                      </c:pt>
                      <c:pt idx="625">
                        <c:v>49817.920534542769</c:v>
                      </c:pt>
                      <c:pt idx="626">
                        <c:v>47534.794856718821</c:v>
                      </c:pt>
                      <c:pt idx="627">
                        <c:v>45196.848151188671</c:v>
                      </c:pt>
                      <c:pt idx="628">
                        <c:v>42801.780861602572</c:v>
                      </c:pt>
                      <c:pt idx="629">
                        <c:v>40347.229734998953</c:v>
                      </c:pt>
                      <c:pt idx="630">
                        <c:v>37830.827878411685</c:v>
                      </c:pt>
                      <c:pt idx="631">
                        <c:v>35250.307892373807</c:v>
                      </c:pt>
                      <c:pt idx="632">
                        <c:v>32603.674025078402</c:v>
                      </c:pt>
                      <c:pt idx="633">
                        <c:v>29889.484472969714</c:v>
                      </c:pt>
                      <c:pt idx="634">
                        <c:v>27107.307908023391</c:v>
                      </c:pt>
                      <c:pt idx="635">
                        <c:v>24258.45019004506</c:v>
                      </c:pt>
                      <c:pt idx="636">
                        <c:v>21347.082638314751</c:v>
                      </c:pt>
                      <c:pt idx="637">
                        <c:v>18381.914476731454</c:v>
                      </c:pt>
                      <c:pt idx="638">
                        <c:v>15378.452197181989</c:v>
                      </c:pt>
                      <c:pt idx="639">
                        <c:v>12361.47623328028</c:v>
                      </c:pt>
                      <c:pt idx="640">
                        <c:v>9366.3579971285544</c:v>
                      </c:pt>
                      <c:pt idx="641">
                        <c:v>6436.3789257426306</c:v>
                      </c:pt>
                      <c:pt idx="642">
                        <c:v>3613.0832049205628</c:v>
                      </c:pt>
                      <c:pt idx="643">
                        <c:v>921.01376709525596</c:v>
                      </c:pt>
                      <c:pt idx="644">
                        <c:v>-1644.3033883987757</c:v>
                      </c:pt>
                      <c:pt idx="645">
                        <c:v>-4113.9242888203007</c:v>
                      </c:pt>
                      <c:pt idx="646">
                        <c:v>-6523.5751044691697</c:v>
                      </c:pt>
                      <c:pt idx="647">
                        <c:v>-8876.6994237424242</c:v>
                      </c:pt>
                      <c:pt idx="648">
                        <c:v>-11104.739445447749</c:v>
                      </c:pt>
                      <c:pt idx="649">
                        <c:v>-13046.74102935128</c:v>
                      </c:pt>
                      <c:pt idx="650">
                        <c:v>-14524.941645850202</c:v>
                      </c:pt>
                      <c:pt idx="651">
                        <c:v>-15500.489633323341</c:v>
                      </c:pt>
                      <c:pt idx="652">
                        <c:v>-16080.667806319121</c:v>
                      </c:pt>
                      <c:pt idx="653">
                        <c:v>-16392.111709441502</c:v>
                      </c:pt>
                      <c:pt idx="654">
                        <c:v>-16522.871799258999</c:v>
                      </c:pt>
                      <c:pt idx="655">
                        <c:v>-16527.664660970877</c:v>
                      </c:pt>
                      <c:pt idx="656">
                        <c:v>-16440.834258197778</c:v>
                      </c:pt>
                      <c:pt idx="657">
                        <c:v>-16284.826073730022</c:v>
                      </c:pt>
                      <c:pt idx="658">
                        <c:v>-16074.960805531075</c:v>
                      </c:pt>
                      <c:pt idx="659">
                        <c:v>-15822.114208753561</c:v>
                      </c:pt>
                      <c:pt idx="660">
                        <c:v>-15534.270959061456</c:v>
                      </c:pt>
                      <c:pt idx="661">
                        <c:v>-15217.462499324422</c:v>
                      </c:pt>
                      <c:pt idx="662">
                        <c:v>-14876.355801542724</c:v>
                      </c:pt>
                      <c:pt idx="663">
                        <c:v>-14514.636547402284</c:v>
                      </c:pt>
                      <c:pt idx="664">
                        <c:v>-14135.266675071824</c:v>
                      </c:pt>
                      <c:pt idx="665">
                        <c:v>-13740.662493104042</c:v>
                      </c:pt>
                      <c:pt idx="666">
                        <c:v>-13332.82100569728</c:v>
                      </c:pt>
                      <c:pt idx="667">
                        <c:v>-12913.411529388235</c:v>
                      </c:pt>
                      <c:pt idx="668">
                        <c:v>-12483.843466803242</c:v>
                      </c:pt>
                      <c:pt idx="669">
                        <c:v>-12045.317334994781</c:v>
                      </c:pt>
                      <c:pt idx="670">
                        <c:v>-11598.86379683664</c:v>
                      </c:pt>
                      <c:pt idx="671">
                        <c:v>-11145.373941976299</c:v>
                      </c:pt>
                      <c:pt idx="672">
                        <c:v>-10685.623081041149</c:v>
                      </c:pt>
                      <c:pt idx="673">
                        <c:v>-10220.289660001685</c:v>
                      </c:pt>
                      <c:pt idx="674">
                        <c:v>-9749.9704541217707</c:v>
                      </c:pt>
                      <c:pt idx="675">
                        <c:v>-9275.1928906286175</c:v>
                      </c:pt>
                      <c:pt idx="676">
                        <c:v>-8796.4251305416892</c:v>
                      </c:pt>
                      <c:pt idx="677">
                        <c:v>-8314.0843836488657</c:v>
                      </c:pt>
                      <c:pt idx="678">
                        <c:v>-7828.5438171424785</c:v>
                      </c:pt>
                      <c:pt idx="679">
                        <c:v>-7340.1383350675069</c:v>
                      </c:pt>
                      <c:pt idx="680">
                        <c:v>-6849.169443770018</c:v>
                      </c:pt>
                      <c:pt idx="681">
                        <c:v>-6355.9093719663551</c:v>
                      </c:pt>
                      <c:pt idx="682">
                        <c:v>-5860.604578698164</c:v>
                      </c:pt>
                      <c:pt idx="683">
                        <c:v>-5363.4787553390397</c:v>
                      </c:pt>
                      <c:pt idx="684">
                        <c:v>-4864.7354068619507</c:v>
                      </c:pt>
                      <c:pt idx="685">
                        <c:v>-4364.5600812349567</c:v>
                      </c:pt>
                      <c:pt idx="686">
                        <c:v>-3863.1223029700045</c:v>
                      </c:pt>
                      <c:pt idx="687">
                        <c:v>-3360.5772566823948</c:v>
                      </c:pt>
                      <c:pt idx="688">
                        <c:v>-2857.0672584137965</c:v>
                      </c:pt>
                      <c:pt idx="689">
                        <c:v>-2352.7230459689663</c:v>
                      </c:pt>
                      <c:pt idx="690">
                        <c:v>-1847.664914266893</c:v>
                      </c:pt>
                      <c:pt idx="691">
                        <c:v>-1342.0037174447295</c:v>
                      </c:pt>
                      <c:pt idx="692">
                        <c:v>-835.84175597301657</c:v>
                      </c:pt>
                      <c:pt idx="693">
                        <c:v>-329.27356418484487</c:v>
                      </c:pt>
                      <c:pt idx="694">
                        <c:v>177.61338873369158</c:v>
                      </c:pt>
                      <c:pt idx="695">
                        <c:v>684.73807319601588</c:v>
                      </c:pt>
                      <c:pt idx="696">
                        <c:v>1192.0253396391497</c:v>
                      </c:pt>
                      <c:pt idx="697">
                        <c:v>1699.4054168056239</c:v>
                      </c:pt>
                      <c:pt idx="698">
                        <c:v>2206.813460908882</c:v>
                      </c:pt>
                      <c:pt idx="699">
                        <c:v>2714.1891496677536</c:v>
                      </c:pt>
                      <c:pt idx="700">
                        <c:v>3221.4763160072571</c:v>
                      </c:pt>
                      <c:pt idx="701">
                        <c:v>3728.6226169117667</c:v>
                      </c:pt>
                      <c:pt idx="702">
                        <c:v>4235.5792335030146</c:v>
                      </c:pt>
                      <c:pt idx="703">
                        <c:v>4742.3005989163485</c:v>
                      </c:pt>
                      <c:pt idx="704">
                        <c:v>5248.7441509778855</c:v>
                      </c:pt>
                      <c:pt idx="705">
                        <c:v>5754.8701070540801</c:v>
                      </c:pt>
                      <c:pt idx="706">
                        <c:v>6260.6412587631457</c:v>
                      </c:pt>
                      <c:pt idx="707">
                        <c:v>6766.0227845125246</c:v>
                      </c:pt>
                      <c:pt idx="708">
                        <c:v>7270.9820780646733</c:v>
                      </c:pt>
                      <c:pt idx="709">
                        <c:v>7775.4885915402665</c:v>
                      </c:pt>
                      <c:pt idx="710">
                        <c:v>8279.5136914480227</c:v>
                      </c:pt>
                      <c:pt idx="711">
                        <c:v>8783.0305264875733</c:v>
                      </c:pt>
                      <c:pt idx="712">
                        <c:v>9286.0139060093734</c:v>
                      </c:pt>
                      <c:pt idx="713">
                        <c:v>9788.4401881362337</c:v>
                      </c:pt>
                      <c:pt idx="714">
                        <c:v>10290.287176657041</c:v>
                      </c:pt>
                      <c:pt idx="715">
                        <c:v>10791.534025896557</c:v>
                      </c:pt>
                      <c:pt idx="716">
                        <c:v>11292.161152847511</c:v>
                      </c:pt>
                      <c:pt idx="717">
                        <c:v>11792.150155923939</c:v>
                      </c:pt>
                      <c:pt idx="718">
                        <c:v>12291.483739759216</c:v>
                      </c:pt>
                      <c:pt idx="719">
                        <c:v>12790.145645529377</c:v>
                      </c:pt>
                      <c:pt idx="720">
                        <c:v>13288.120586333096</c:v>
                      </c:pt>
                      <c:pt idx="721">
                        <c:v>13785.394187205022</c:v>
                      </c:pt>
                      <c:pt idx="722">
                        <c:v>14281.952929379393</c:v>
                      </c:pt>
                      <c:pt idx="723">
                        <c:v>14777.784098456956</c:v>
                      </c:pt>
                      <c:pt idx="724">
                        <c:v>15272.875736160404</c:v>
                      </c:pt>
                      <c:pt idx="725">
                        <c:v>15767.216595392409</c:v>
                      </c:pt>
                      <c:pt idx="726">
                        <c:v>16260.796098336255</c:v>
                      </c:pt>
                      <c:pt idx="727">
                        <c:v>16753.604297362297</c:v>
                      </c:pt>
                      <c:pt idx="728">
                        <c:v>17245.631838524438</c:v>
                      </c:pt>
                      <c:pt idx="729">
                        <c:v>17736.869927449658</c:v>
                      </c:pt>
                      <c:pt idx="730">
                        <c:v>18227.310297440672</c:v>
                      </c:pt>
                      <c:pt idx="731">
                        <c:v>18716.945179627055</c:v>
                      </c:pt>
                      <c:pt idx="732">
                        <c:v>19205.76727501423</c:v>
                      </c:pt>
                      <c:pt idx="733">
                        <c:v>19693.769728292118</c:v>
                      </c:pt>
                      <c:pt idx="734">
                        <c:v>20180.946103276794</c:v>
                      </c:pt>
                      <c:pt idx="735">
                        <c:v>20667.290359868741</c:v>
                      </c:pt>
                      <c:pt idx="736">
                        <c:v>21152.79683242074</c:v>
                      </c:pt>
                      <c:pt idx="737">
                        <c:v>21637.460209416993</c:v>
                      </c:pt>
                      <c:pt idx="738">
                        <c:v>22121.275514372843</c:v>
                      </c:pt>
                      <c:pt idx="739">
                        <c:v>22604.238087871508</c:v>
                      </c:pt>
                      <c:pt idx="740">
                        <c:v>23086.343570660847</c:v>
                      </c:pt>
                      <c:pt idx="741">
                        <c:v>23567.587887738904</c:v>
                      </c:pt>
                      <c:pt idx="742">
                        <c:v>24047.967233362549</c:v>
                      </c:pt>
                      <c:pt idx="743">
                        <c:v>24527.478056918397</c:v>
                      </c:pt>
                      <c:pt idx="744">
                        <c:v>25006.117049599699</c:v>
                      </c:pt>
                      <c:pt idx="745">
                        <c:v>25483.881131837112</c:v>
                      </c:pt>
                      <c:pt idx="746">
                        <c:v>25960.767441435004</c:v>
                      </c:pt>
                      <c:pt idx="747">
                        <c:v>26436.773322368499</c:v>
                      </c:pt>
                      <c:pt idx="748">
                        <c:v>26911.896314199614</c:v>
                      </c:pt>
                      <c:pt idx="749">
                        <c:v>27386.134142073883</c:v>
                      </c:pt>
                      <c:pt idx="750">
                        <c:v>27859.484707261527</c:v>
                      </c:pt>
                      <c:pt idx="751">
                        <c:v>28331.94607820973</c:v>
                      </c:pt>
                      <c:pt idx="752">
                        <c:v>28803.51648207492</c:v>
                      </c:pt>
                      <c:pt idx="753">
                        <c:v>29274.194296706108</c:v>
                      </c:pt>
                      <c:pt idx="754">
                        <c:v>29743.978043052222</c:v>
                      </c:pt>
                      <c:pt idx="755">
                        <c:v>30212.866377968312</c:v>
                      </c:pt>
                      <c:pt idx="756">
                        <c:v>30680.858087397079</c:v>
                      </c:pt>
                      <c:pt idx="757">
                        <c:v>31147.952079903796</c:v>
                      </c:pt>
                      <c:pt idx="758">
                        <c:v>31614.147380544142</c:v>
                      </c:pt>
                      <c:pt idx="759">
                        <c:v>32079.443125045731</c:v>
                      </c:pt>
                      <c:pt idx="760">
                        <c:v>32543.838554285467</c:v>
                      </c:pt>
                      <c:pt idx="761">
                        <c:v>33007.333009045913</c:v>
                      </c:pt>
                      <c:pt idx="762">
                        <c:v>33469.925925034964</c:v>
                      </c:pt>
                      <c:pt idx="763">
                        <c:v>33931.616828154125</c:v>
                      </c:pt>
                      <c:pt idx="764">
                        <c:v>34392.405330001609</c:v>
                      </c:pt>
                      <c:pt idx="765">
                        <c:v>34852.291123597264</c:v>
                      </c:pt>
                      <c:pt idx="766">
                        <c:v>35311.273979317251</c:v>
                      </c:pt>
                      <c:pt idx="767">
                        <c:v>35769.353741027066</c:v>
                      </c:pt>
                      <c:pt idx="768">
                        <c:v>36226.530322402126</c:v>
                      </c:pt>
                      <c:pt idx="769">
                        <c:v>36682.80370342602</c:v>
                      </c:pt>
                      <c:pt idx="770">
                        <c:v>37138.1739270568</c:v>
                      </c:pt>
                      <c:pt idx="771">
                        <c:v>37592.641096052517</c:v>
                      </c:pt>
                      <c:pt idx="772">
                        <c:v>38046.205369947653</c:v>
                      </c:pt>
                      <c:pt idx="773">
                        <c:v>38498.866962172469</c:v>
                      </c:pt>
                      <c:pt idx="774">
                        <c:v>38950.626137307954</c:v>
                      </c:pt>
                      <c:pt idx="775">
                        <c:v>39401.483208469355</c:v>
                      </c:pt>
                      <c:pt idx="776">
                        <c:v>39851.438534811641</c:v>
                      </c:pt>
                      <c:pt idx="777">
                        <c:v>40300.492519150815</c:v>
                      </c:pt>
                      <c:pt idx="778">
                        <c:v>40748.645605695077</c:v>
                      </c:pt>
                      <c:pt idx="779">
                        <c:v>41195.898277880391</c:v>
                      </c:pt>
                      <c:pt idx="780">
                        <c:v>41642.251056305227</c:v>
                      </c:pt>
                      <c:pt idx="781">
                        <c:v>42087.704496759492</c:v>
                      </c:pt>
                      <c:pt idx="782">
                        <c:v>42532.25918834308</c:v>
                      </c:pt>
                      <c:pt idx="783">
                        <c:v>42975.915751669563</c:v>
                      </c:pt>
                      <c:pt idx="784">
                        <c:v>43418.674837150866</c:v>
                      </c:pt>
                      <c:pt idx="785">
                        <c:v>43860.537123359056</c:v>
                      </c:pt>
                      <c:pt idx="786">
                        <c:v>44301.503315461421</c:v>
                      </c:pt>
                      <c:pt idx="787">
                        <c:v>44741.574143725375</c:v>
                      </c:pt>
                      <c:pt idx="788">
                        <c:v>45180.75036208985</c:v>
                      </c:pt>
                      <c:pt idx="789">
                        <c:v>45619.032746799967</c:v>
                      </c:pt>
                      <c:pt idx="790">
                        <c:v>46056.422095102032</c:v>
                      </c:pt>
                      <c:pt idx="791">
                        <c:v>46492.919223996003</c:v>
                      </c:pt>
                      <c:pt idx="792">
                        <c:v>46928.524969042715</c:v>
                      </c:pt>
                      <c:pt idx="793">
                        <c:v>47363.240183223352</c:v>
                      </c:pt>
                      <c:pt idx="794">
                        <c:v>47797.065735848693</c:v>
                      </c:pt>
                      <c:pt idx="795">
                        <c:v>48230.002511515864</c:v>
                      </c:pt>
                      <c:pt idx="796">
                        <c:v>48662.051409110405</c:v>
                      </c:pt>
                      <c:pt idx="797">
                        <c:v>49093.213340851558</c:v>
                      </c:pt>
                      <c:pt idx="798">
                        <c:v>49523.489231378873</c:v>
                      </c:pt>
                      <c:pt idx="799">
                        <c:v>49952.880016878175</c:v>
                      </c:pt>
                      <c:pt idx="800">
                        <c:v>50381.386644245147</c:v>
                      </c:pt>
                      <c:pt idx="801">
                        <c:v>50809.010070284872</c:v>
                      </c:pt>
                      <c:pt idx="802">
                        <c:v>51235.751260945697</c:v>
                      </c:pt>
                      <c:pt idx="803">
                        <c:v>51661.611190585878</c:v>
                      </c:pt>
                      <c:pt idx="804">
                        <c:v>52086.590841271565</c:v>
                      </c:pt>
                      <c:pt idx="805">
                        <c:v>52510.691202104746</c:v>
                      </c:pt>
                      <c:pt idx="806">
                        <c:v>52933.913268579854</c:v>
                      </c:pt>
                      <c:pt idx="807">
                        <c:v>53356.258041967703</c:v>
                      </c:pt>
                      <c:pt idx="808">
                        <c:v>53777.726528725667</c:v>
                      </c:pt>
                      <c:pt idx="809">
                        <c:v>54198.319739932878</c:v>
                      </c:pt>
                      <c:pt idx="810">
                        <c:v>54618.038690749388</c:v>
                      </c:pt>
                      <c:pt idx="811">
                        <c:v>55036.884399898285</c:v>
                      </c:pt>
                      <c:pt idx="812">
                        <c:v>55454.857889169711</c:v>
                      </c:pt>
                      <c:pt idx="813">
                        <c:v>55871.960182945928</c:v>
                      </c:pt>
                      <c:pt idx="814">
                        <c:v>56288.192307746474</c:v>
                      </c:pt>
                      <c:pt idx="815">
                        <c:v>56703.555291792552</c:v>
                      </c:pt>
                      <c:pt idx="816">
                        <c:v>57118.050164589877</c:v>
                      </c:pt>
                      <c:pt idx="817">
                        <c:v>57531.67795652918</c:v>
                      </c:pt>
                      <c:pt idx="818">
                        <c:v>57944.439698503615</c:v>
                      </c:pt>
                      <c:pt idx="819">
                        <c:v>58356.336421542364</c:v>
                      </c:pt>
                      <c:pt idx="820">
                        <c:v>58767.369156459783</c:v>
                      </c:pt>
                      <c:pt idx="821">
                        <c:v>59177.53893351939</c:v>
                      </c:pt>
                      <c:pt idx="822">
                        <c:v>59586.846782112181</c:v>
                      </c:pt>
                      <c:pt idx="823">
                        <c:v>59995.293730448502</c:v>
                      </c:pt>
                      <c:pt idx="824">
                        <c:v>60402.880805263143</c:v>
                      </c:pt>
                      <c:pt idx="825">
                        <c:v>60809.609031532877</c:v>
                      </c:pt>
                      <c:pt idx="826">
                        <c:v>61215.479432206135</c:v>
                      </c:pt>
                      <c:pt idx="827">
                        <c:v>61620.493027944183</c:v>
                      </c:pt>
                      <c:pt idx="828">
                        <c:v>62024.650836873348</c:v>
                      </c:pt>
                      <c:pt idx="829">
                        <c:v>62427.953874347942</c:v>
                      </c:pt>
                      <c:pt idx="830">
                        <c:v>62830.403152723309</c:v>
                      </c:pt>
                      <c:pt idx="831">
                        <c:v>63231.999681138659</c:v>
                      </c:pt>
                      <c:pt idx="832">
                        <c:v>63632.744465309326</c:v>
                      </c:pt>
                      <c:pt idx="833">
                        <c:v>64032.63850732796</c:v>
                      </c:pt>
                      <c:pt idx="834">
                        <c:v>64431.682805474396</c:v>
                      </c:pt>
                      <c:pt idx="835">
                        <c:v>64829.878354033783</c:v>
                      </c:pt>
                      <c:pt idx="836">
                        <c:v>65227.226143122716</c:v>
                      </c:pt>
                      <c:pt idx="837">
                        <c:v>65623.727158522932</c:v>
                      </c:pt>
                      <c:pt idx="838">
                        <c:v>66019.382381522344</c:v>
                      </c:pt>
                      <c:pt idx="839">
                        <c:v>66414.192788763234</c:v>
                      </c:pt>
                      <c:pt idx="840">
                        <c:v>66808.159352096962</c:v>
                      </c:pt>
                      <c:pt idx="841">
                        <c:v>67201.283038445385</c:v>
                      </c:pt>
                      <c:pt idx="842">
                        <c:v>67593.564809668358</c:v>
                      </c:pt>
                      <c:pt idx="843">
                        <c:v>67985.005622437267</c:v>
                      </c:pt>
                      <c:pt idx="844">
                        <c:v>68375.606428114319</c:v>
                      </c:pt>
                      <c:pt idx="845">
                        <c:v>68765.368172637231</c:v>
                      </c:pt>
                      <c:pt idx="846">
                        <c:v>69154.291796409394</c:v>
                      </c:pt>
                      <c:pt idx="847">
                        <c:v>69542.378234194926</c:v>
                      </c:pt>
                      <c:pt idx="848">
                        <c:v>69929.628415018742</c:v>
                      </c:pt>
                      <c:pt idx="849">
                        <c:v>70316.043262071224</c:v>
                      </c:pt>
                      <c:pt idx="850">
                        <c:v>70701.623692617432</c:v>
                      </c:pt>
                      <c:pt idx="851">
                        <c:v>71086.370617910638</c:v>
                      </c:pt>
                      <c:pt idx="852">
                        <c:v>71470.284943109975</c:v>
                      </c:pt>
                      <c:pt idx="853">
                        <c:v>71853.367567202135</c:v>
                      </c:pt>
                      <c:pt idx="854">
                        <c:v>72235.619382926801</c:v>
                      </c:pt>
                      <c:pt idx="855">
                        <c:v>72617.041276705815</c:v>
                      </c:pt>
                      <c:pt idx="856">
                        <c:v>72997.634128575926</c:v>
                      </c:pt>
                      <c:pt idx="857">
                        <c:v>73377.398812124768</c:v>
                      </c:pt>
                      <c:pt idx="858">
                        <c:v>73756.336194430289</c:v>
                      </c:pt>
                      <c:pt idx="859">
                        <c:v>74134.447136003131</c:v>
                      </c:pt>
                      <c:pt idx="860">
                        <c:v>74511.73249073216</c:v>
                      </c:pt>
                      <c:pt idx="861">
                        <c:v>74888.193105832746</c:v>
                      </c:pt>
                      <c:pt idx="862">
                        <c:v>75263.829821797888</c:v>
                      </c:pt>
                      <c:pt idx="863">
                        <c:v>75638.643472352036</c:v>
                      </c:pt>
                      <c:pt idx="864">
                        <c:v>76012.634884407307</c:v>
                      </c:pt>
                      <c:pt idx="865">
                        <c:v>76385.804878022333</c:v>
                      </c:pt>
                      <c:pt idx="866">
                        <c:v>76758.154266363301</c:v>
                      </c:pt>
                      <c:pt idx="867">
                        <c:v>77129.683855667419</c:v>
                      </c:pt>
                      <c:pt idx="868">
                        <c:v>77500.394445208338</c:v>
                      </c:pt>
                      <c:pt idx="869">
                        <c:v>77870.286827263844</c:v>
                      </c:pt>
                      <c:pt idx="870">
                        <c:v>78239.36178708545</c:v>
                      </c:pt>
                      <c:pt idx="871">
                        <c:v>78607.620102869856</c:v>
                      </c:pt>
                      <c:pt idx="872">
                        <c:v>78975.062545732348</c:v>
                      </c:pt>
                      <c:pt idx="873">
                        <c:v>79341.689879681915</c:v>
                      </c:pt>
                      <c:pt idx="874">
                        <c:v>79707.502861598026</c:v>
                      </c:pt>
                      <c:pt idx="875">
                        <c:v>80072.502241209047</c:v>
                      </c:pt>
                      <c:pt idx="876">
                        <c:v>80436.688761072204</c:v>
                      </c:pt>
                      <c:pt idx="877">
                        <c:v>80800.063156555028</c:v>
                      </c:pt>
                      <c:pt idx="878">
                        <c:v>81162.626155818245</c:v>
                      </c:pt>
                      <c:pt idx="879">
                        <c:v>81524.378479800012</c:v>
                      </c:pt>
                      <c:pt idx="880">
                        <c:v>81885.320842201472</c:v>
                      </c:pt>
                      <c:pt idx="881">
                        <c:v>82245.453949473522</c:v>
                      </c:pt>
                      <c:pt idx="882">
                        <c:v>82604.778500804852</c:v>
                      </c:pt>
                      <c:pt idx="883">
                        <c:v>82963.295188111093</c:v>
                      </c:pt>
                      <c:pt idx="884">
                        <c:v>83321.004696024989</c:v>
                      </c:pt>
                      <c:pt idx="885">
                        <c:v>83677.907701887802</c:v>
                      </c:pt>
                      <c:pt idx="886">
                        <c:v>84034.004875741506</c:v>
                      </c:pt>
                      <c:pt idx="887">
                        <c:v>84389.296880322116</c:v>
                      </c:pt>
                      <c:pt idx="888">
                        <c:v>84743.784371053815</c:v>
                      </c:pt>
                      <c:pt idx="889">
                        <c:v>85097.467996044041</c:v>
                      </c:pt>
                      <c:pt idx="890">
                        <c:v>85450.348396079324</c:v>
                      </c:pt>
                      <c:pt idx="891">
                        <c:v>85802.426204622054</c:v>
                      </c:pt>
                      <c:pt idx="892">
                        <c:v>86153.702047807834</c:v>
                      </c:pt>
                      <c:pt idx="893">
                        <c:v>86504.176544443748</c:v>
                      </c:pt>
                      <c:pt idx="894">
                        <c:v>86853.850306007138</c:v>
                      </c:pt>
                      <c:pt idx="895">
                        <c:v>87202.723936645183</c:v>
                      </c:pt>
                      <c:pt idx="896">
                        <c:v>87550.798033175059</c:v>
                      </c:pt>
                      <c:pt idx="897">
                        <c:v>87898.07318508462</c:v>
                      </c:pt>
                      <c:pt idx="898">
                        <c:v>88244.549974533773</c:v>
                      </c:pt>
                      <c:pt idx="899">
                        <c:v>88590.228976356346</c:v>
                      </c:pt>
                      <c:pt idx="900">
                        <c:v>88935.110758062394</c:v>
                      </c:pt>
                      <c:pt idx="901">
                        <c:v>89279.195879841078</c:v>
                      </c:pt>
                      <c:pt idx="902">
                        <c:v>89622.484894563982</c:v>
                      </c:pt>
                      <c:pt idx="903">
                        <c:v>89964.978347788856</c:v>
                      </c:pt>
                      <c:pt idx="904">
                        <c:v>90306.676777763743</c:v>
                      </c:pt>
                      <c:pt idx="905">
                        <c:v>90647.580715431555</c:v>
                      </c:pt>
                      <c:pt idx="906">
                        <c:v>90987.690684434943</c:v>
                      </c:pt>
                      <c:pt idx="907">
                        <c:v>91327.007201121582</c:v>
                      </c:pt>
                      <c:pt idx="908">
                        <c:v>91665.530774549741</c:v>
                      </c:pt>
                      <c:pt idx="909">
                        <c:v>92003.261906494139</c:v>
                      </c:pt>
                      <c:pt idx="910">
                        <c:v>92340.201091452109</c:v>
                      </c:pt>
                      <c:pt idx="911">
                        <c:v>92676.348816650047</c:v>
                      </c:pt>
                      <c:pt idx="912">
                        <c:v>93011.705562050091</c:v>
                      </c:pt>
                      <c:pt idx="913">
                        <c:v>93346.271800357019</c:v>
                      </c:pt>
                      <c:pt idx="914">
                        <c:v>93680.047997025365</c:v>
                      </c:pt>
                      <c:pt idx="915">
                        <c:v>94013.034610266754</c:v>
                      </c:pt>
                      <c:pt idx="916">
                        <c:v>94345.232091057376</c:v>
                      </c:pt>
                      <c:pt idx="917">
                        <c:v>94676.640883145723</c:v>
                      </c:pt>
                      <c:pt idx="918">
                        <c:v>95007.261423060321</c:v>
                      </c:pt>
                      <c:pt idx="919">
                        <c:v>95337.09414011777</c:v>
                      </c:pt>
                      <c:pt idx="920">
                        <c:v>95666.139456430828</c:v>
                      </c:pt>
                      <c:pt idx="921">
                        <c:v>95994.397786916568</c:v>
                      </c:pt>
                      <c:pt idx="922">
                        <c:v>96321.869539304709</c:v>
                      </c:pt>
                      <c:pt idx="923">
                        <c:v>96648.555114146046</c:v>
                      </c:pt>
                      <c:pt idx="924">
                        <c:v>96974.454904820857</c:v>
                      </c:pt>
                      <c:pt idx="925">
                        <c:v>97299.569297547481</c:v>
                      </c:pt>
                      <c:pt idx="926">
                        <c:v>97623.898671390882</c:v>
                      </c:pt>
                      <c:pt idx="927">
                        <c:v>97947.443398271309</c:v>
                      </c:pt>
                      <c:pt idx="928">
                        <c:v>98270.203842972944</c:v>
                      </c:pt>
                      <c:pt idx="929">
                        <c:v>98592.180363152598</c:v>
                      </c:pt>
                      <c:pt idx="930">
                        <c:v>98913.373309348419</c:v>
                      </c:pt>
                      <c:pt idx="931">
                        <c:v>99233.783024988588</c:v>
                      </c:pt>
                      <c:pt idx="932">
                        <c:v>99553.409846400085</c:v>
                      </c:pt>
                      <c:pt idx="933">
                        <c:v>99872.254102817329</c:v>
                      </c:pt>
                      <c:pt idx="934">
                        <c:v>100190.31611639085</c:v>
                      </c:pt>
                      <c:pt idx="935">
                        <c:v>100507.59620219596</c:v>
                      </c:pt>
                      <c:pt idx="936">
                        <c:v>100824.09466824138</c:v>
                      </c:pt>
                      <c:pt idx="937">
                        <c:v>101139.81181547779</c:v>
                      </c:pt>
                      <c:pt idx="938">
                        <c:v>101454.74793780634</c:v>
                      </c:pt>
                      <c:pt idx="939">
                        <c:v>101768.90332208714</c:v>
                      </c:pt>
                      <c:pt idx="940">
                        <c:v>102082.27824814757</c:v>
                      </c:pt>
                      <c:pt idx="941">
                        <c:v>102394.87298879077</c:v>
                      </c:pt>
                      <c:pt idx="942">
                        <c:v>102706.68780980371</c:v>
                      </c:pt>
                      <c:pt idx="943">
                        <c:v>103017.72296996546</c:v>
                      </c:pt>
                      <c:pt idx="944">
                        <c:v>103327.97872105525</c:v>
                      </c:pt>
                      <c:pt idx="945">
                        <c:v>103637.45530786042</c:v>
                      </c:pt>
                      <c:pt idx="946">
                        <c:v>103946.15296818437</c:v>
                      </c:pt>
                      <c:pt idx="947">
                        <c:v>104254.0719328542</c:v>
                      </c:pt>
                      <c:pt idx="948">
                        <c:v>104561.21242572855</c:v>
                      </c:pt>
                      <c:pt idx="949">
                        <c:v>104867.574663705</c:v>
                      </c:pt>
                      <c:pt idx="950">
                        <c:v>105173.15885672758</c:v>
                      </c:pt>
                      <c:pt idx="951">
                        <c:v>105477.96520779403</c:v>
                      </c:pt>
                      <c:pt idx="952">
                        <c:v>105781.99391296301</c:v>
                      </c:pt>
                      <c:pt idx="953">
                        <c:v>106085.2451613611</c:v>
                      </c:pt>
                      <c:pt idx="954">
                        <c:v>106387.71913518976</c:v>
                      </c:pt>
                      <c:pt idx="955">
                        <c:v>106689.416009732</c:v>
                      </c:pt>
                      <c:pt idx="956">
                        <c:v>106990.33595335906</c:v>
                      </c:pt>
                      <c:pt idx="957">
                        <c:v>107290.4791275368</c:v>
                      </c:pt>
                      <c:pt idx="958">
                        <c:v>107589.84568683209</c:v>
                      </c:pt>
                      <c:pt idx="959">
                        <c:v>107888.43577891892</c:v>
                      </c:pt>
                      <c:pt idx="960">
                        <c:v>108186.24954458434</c:v>
                      </c:pt>
                      <c:pt idx="961">
                        <c:v>108483.28711773436</c:v>
                      </c:pt>
                      <c:pt idx="962">
                        <c:v>108779.54862539955</c:v>
                      </c:pt>
                      <c:pt idx="963">
                        <c:v>109075.03418774053</c:v>
                      </c:pt>
                      <c:pt idx="964">
                        <c:v>109369.74391805327</c:v>
                      </c:pt>
                      <c:pt idx="965">
                        <c:v>109663.67792277427</c:v>
                      </c:pt>
                      <c:pt idx="966">
                        <c:v>109956.83630148541</c:v>
                      </c:pt>
                      <c:pt idx="967">
                        <c:v>110249.21914691884</c:v>
                      </c:pt>
                      <c:pt idx="968">
                        <c:v>110540.82654496141</c:v>
                      </c:pt>
                      <c:pt idx="969">
                        <c:v>110831.6585746592</c:v>
                      </c:pt>
                      <c:pt idx="970">
                        <c:v>111121.71530822164</c:v>
                      </c:pt>
                      <c:pt idx="971">
                        <c:v>111410.99681102551</c:v>
                      </c:pt>
                      <c:pt idx="972">
                        <c:v>111699.50314161878</c:v>
                      </c:pt>
                      <c:pt idx="973">
                        <c:v>111987.23435172421</c:v>
                      </c:pt>
                      <c:pt idx="974">
                        <c:v>112274.19048624273</c:v>
                      </c:pt>
                      <c:pt idx="975">
                        <c:v>112560.37158325665</c:v>
                      </c:pt>
                      <c:pt idx="976">
                        <c:v>112845.77767403271</c:v>
                      </c:pt>
                      <c:pt idx="977">
                        <c:v>113130.40878302477</c:v>
                      </c:pt>
                      <c:pt idx="978">
                        <c:v>113414.26492787649</c:v>
                      </c:pt>
                      <c:pt idx="979">
                        <c:v>113697.34611942359</c:v>
                      </c:pt>
                      <c:pt idx="980">
                        <c:v>113979.65236169606</c:v>
                      </c:pt>
                      <c:pt idx="981">
                        <c:v>114261.18365192012</c:v>
                      </c:pt>
                      <c:pt idx="982">
                        <c:v>114541.93998051983</c:v>
                      </c:pt>
                      <c:pt idx="983">
                        <c:v>114821.92133111872</c:v>
                      </c:pt>
                      <c:pt idx="984">
                        <c:v>115101.12768054094</c:v>
                      </c:pt>
                      <c:pt idx="985">
                        <c:v>115379.55899881237</c:v>
                      </c:pt>
                      <c:pt idx="986">
                        <c:v>115657.2152491614</c:v>
                      </c:pt>
                      <c:pt idx="987">
                        <c:v>115934.09638801955</c:v>
                      </c:pt>
                      <c:pt idx="988">
                        <c:v>116210.20236502185</c:v>
                      </c:pt>
                      <c:pt idx="989">
                        <c:v>116485.5331230069</c:v>
                      </c:pt>
                      <c:pt idx="990">
                        <c:v>116760.08859801682</c:v>
                      </c:pt>
                      <c:pt idx="991">
                        <c:v>117033.86871929694</c:v>
                      </c:pt>
                      <c:pt idx="992">
                        <c:v>117306.87340929511</c:v>
                      </c:pt>
                      <c:pt idx="993">
                        <c:v>117579.10258366098</c:v>
                      </c:pt>
                      <c:pt idx="994">
                        <c:v>117850.55615124495</c:v>
                      </c:pt>
                      <c:pt idx="995">
                        <c:v>118121.23401409683</c:v>
                      </c:pt>
                      <c:pt idx="996">
                        <c:v>118391.13606746432</c:v>
                      </c:pt>
                      <c:pt idx="997">
                        <c:v>118660.26219979122</c:v>
                      </c:pt>
                      <c:pt idx="998">
                        <c:v>118928.61229271538</c:v>
                      </c:pt>
                      <c:pt idx="999">
                        <c:v>119196.18622106648</c:v>
                      </c:pt>
                      <c:pt idx="1000">
                        <c:v>119462.98385286344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'Conditions initiale'!$Z$4:$Z$1004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-8071.8575201374579</c:v>
                      </c:pt>
                      <c:pt idx="10">
                        <c:v>-10087.228798265898</c:v>
                      </c:pt>
                      <c:pt idx="11">
                        <c:v>-12335.933792409638</c:v>
                      </c:pt>
                      <c:pt idx="12">
                        <c:v>-14751.379595688099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-11686.793527809148</c:v>
                      </c:pt>
                      <c:pt idx="26">
                        <c:v>-9285.7153541049265</c:v>
                      </c:pt>
                      <c:pt idx="27">
                        <c:v>-7163.1148305357328</c:v>
                      </c:pt>
                      <c:pt idx="28">
                        <c:v>-5405.276643825574</c:v>
                      </c:pt>
                      <c:pt idx="29">
                        <c:v>-3988.1713399098535</c:v>
                      </c:pt>
                      <c:pt idx="30">
                        <c:v>-2836.422957448488</c:v>
                      </c:pt>
                      <c:pt idx="31">
                        <c:v>-1865.7641451009449</c:v>
                      </c:pt>
                      <c:pt idx="32">
                        <c:v>-995.84077041903572</c:v>
                      </c:pt>
                      <c:pt idx="33">
                        <c:v>-149.45993862990741</c:v>
                      </c:pt>
                      <c:pt idx="34">
                        <c:v>752.01156069470392</c:v>
                      </c:pt>
                      <c:pt idx="35">
                        <c:v>1793.222248023244</c:v>
                      </c:pt>
                      <c:pt idx="36">
                        <c:v>3064.3548369665714</c:v>
                      </c:pt>
                      <c:pt idx="37">
                        <c:v>4640.3231022983082</c:v>
                      </c:pt>
                      <c:pt idx="38">
                        <c:v>6517.110869631384</c:v>
                      </c:pt>
                      <c:pt idx="39">
                        <c:v>8555.3303777479105</c:v>
                      </c:pt>
                      <c:pt idx="40">
                        <c:v>10552.989439230751</c:v>
                      </c:pt>
                      <c:pt idx="41">
                        <c:v>12370.753548935412</c:v>
                      </c:pt>
                      <c:pt idx="42">
                        <c:v>13951.290731552541</c:v>
                      </c:pt>
                      <c:pt idx="43">
                        <c:v>15277.624296741053</c:v>
                      </c:pt>
                      <c:pt idx="44">
                        <c:v>16345.25275982528</c:v>
                      </c:pt>
                      <c:pt idx="45">
                        <c:v>17150.88766705693</c:v>
                      </c:pt>
                      <c:pt idx="46">
                        <c:v>17688.14489196573</c:v>
                      </c:pt>
                      <c:pt idx="47">
                        <c:v>17945.461661525394</c:v>
                      </c:pt>
                      <c:pt idx="48">
                        <c:v>17904.443116994149</c:v>
                      </c:pt>
                      <c:pt idx="49">
                        <c:v>17537.921990304272</c:v>
                      </c:pt>
                      <c:pt idx="50">
                        <c:v>16807.512750085363</c:v>
                      </c:pt>
                      <c:pt idx="51">
                        <c:v>15661.293878573861</c:v>
                      </c:pt>
                      <c:pt idx="52">
                        <c:v>14035.274457262505</c:v>
                      </c:pt>
                      <c:pt idx="53">
                        <c:v>11871.726623805887</c:v>
                      </c:pt>
                      <c:pt idx="54">
                        <c:v>9180.1518731434244</c:v>
                      </c:pt>
                      <c:pt idx="55">
                        <c:v>6115.9544614119377</c:v>
                      </c:pt>
                      <c:pt idx="56">
                        <c:v>2928.9194495982706</c:v>
                      </c:pt>
                      <c:pt idx="57">
                        <c:v>-203.40622836475819</c:v>
                      </c:pt>
                      <c:pt idx="58">
                        <c:v>-3233.8735887972898</c:v>
                      </c:pt>
                      <c:pt idx="59">
                        <c:v>-6187.576713603743</c:v>
                      </c:pt>
                      <c:pt idx="60">
                        <c:v>-9109.8575666724646</c:v>
                      </c:pt>
                      <c:pt idx="61">
                        <c:v>-12037.950819069474</c:v>
                      </c:pt>
                      <c:pt idx="62">
                        <c:v>-14973.64761488088</c:v>
                      </c:pt>
                      <c:pt idx="63">
                        <c:v>-17841.986679037003</c:v>
                      </c:pt>
                      <c:pt idx="64">
                        <c:v>-20461.303674818082</c:v>
                      </c:pt>
                      <c:pt idx="65">
                        <c:v>-22614.23788568702</c:v>
                      </c:pt>
                      <c:pt idx="66">
                        <c:v>-24193.519811073293</c:v>
                      </c:pt>
                      <c:pt idx="67">
                        <c:v>-25233.655823418056</c:v>
                      </c:pt>
                      <c:pt idx="68">
                        <c:v>-25825.203634257068</c:v>
                      </c:pt>
                      <c:pt idx="69">
                        <c:v>-26053.234388595109</c:v>
                      </c:pt>
                      <c:pt idx="70">
                        <c:v>-25983.187953881639</c:v>
                      </c:pt>
                      <c:pt idx="71">
                        <c:v>-25663.36078951809</c:v>
                      </c:pt>
                      <c:pt idx="72">
                        <c:v>-25129.631419452551</c:v>
                      </c:pt>
                      <c:pt idx="73">
                        <c:v>-24409.228859563933</c:v>
                      </c:pt>
                      <c:pt idx="74">
                        <c:v>-23523.352137807797</c:v>
                      </c:pt>
                      <c:pt idx="75">
                        <c:v>-22488.951393801799</c:v>
                      </c:pt>
                      <c:pt idx="76">
                        <c:v>-21319.958242700104</c:v>
                      </c:pt>
                      <c:pt idx="77">
                        <c:v>-20028.165312849429</c:v>
                      </c:pt>
                      <c:pt idx="78">
                        <c:v>-18623.885856717981</c:v>
                      </c:pt>
                      <c:pt idx="79">
                        <c:v>-17116.479184939035</c:v>
                      </c:pt>
                      <c:pt idx="80">
                        <c:v>-15514.798796082037</c:v>
                      </c:pt>
                      <c:pt idx="81">
                        <c:v>-13827.599542398479</c:v>
                      </c:pt>
                      <c:pt idx="82">
                        <c:v>-12063.920408815686</c:v>
                      </c:pt>
                      <c:pt idx="83">
                        <c:v>-10233.431953868547</c:v>
                      </c:pt>
                      <c:pt idx="84">
                        <c:v>-8346.6940818099647</c:v>
                      </c:pt>
                      <c:pt idx="85">
                        <c:v>-6415.2201001058247</c:v>
                      </c:pt>
                      <c:pt idx="86">
                        <c:v>-4451.2873606249577</c:v>
                      </c:pt>
                      <c:pt idx="87">
                        <c:v>-2467.9440497759401</c:v>
                      </c:pt>
                      <c:pt idx="88">
                        <c:v>-481.17231754291208</c:v>
                      </c:pt>
                      <c:pt idx="89">
                        <c:v>1483.2081229243392</c:v>
                      </c:pt>
                      <c:pt idx="90">
                        <c:v>3382.992426666046</c:v>
                      </c:pt>
                      <c:pt idx="91">
                        <c:v>5167.6443952447071</c:v>
                      </c:pt>
                      <c:pt idx="92">
                        <c:v>6798.0595336042225</c:v>
                      </c:pt>
                      <c:pt idx="93">
                        <c:v>8255.8633784172089</c:v>
                      </c:pt>
                      <c:pt idx="94">
                        <c:v>9536.3502339157421</c:v>
                      </c:pt>
                      <c:pt idx="95">
                        <c:v>10635.835458909156</c:v>
                      </c:pt>
                      <c:pt idx="96">
                        <c:v>11538.955607885611</c:v>
                      </c:pt>
                      <c:pt idx="97">
                        <c:v>12204.286018096145</c:v>
                      </c:pt>
                      <c:pt idx="98">
                        <c:v>12548.57757066705</c:v>
                      </c:pt>
                      <c:pt idx="99">
                        <c:v>12453.293705291053</c:v>
                      </c:pt>
                      <c:pt idx="100">
                        <c:v>11847.765648575838</c:v>
                      </c:pt>
                      <c:pt idx="101">
                        <c:v>10803.937300069356</c:v>
                      </c:pt>
                      <c:pt idx="102">
                        <c:v>9482.5547395786634</c:v>
                      </c:pt>
                      <c:pt idx="103">
                        <c:v>8017.0772215879506</c:v>
                      </c:pt>
                      <c:pt idx="104">
                        <c:v>6485.8648801435893</c:v>
                      </c:pt>
                      <c:pt idx="105">
                        <c:v>4931.6882811092846</c:v>
                      </c:pt>
                      <c:pt idx="106">
                        <c:v>3378.6501475908226</c:v>
                      </c:pt>
                      <c:pt idx="107">
                        <c:v>1841.191182408071</c:v>
                      </c:pt>
                      <c:pt idx="108">
                        <c:v>328.56661446246915</c:v>
                      </c:pt>
                      <c:pt idx="109">
                        <c:v>-1152.8722885641876</c:v>
                      </c:pt>
                      <c:pt idx="110">
                        <c:v>-2598.4582754780549</c:v>
                      </c:pt>
                      <c:pt idx="111">
                        <c:v>-4004.5211441125762</c:v>
                      </c:pt>
                      <c:pt idx="112">
                        <c:v>-5367.9806791397623</c:v>
                      </c:pt>
                      <c:pt idx="113">
                        <c:v>-6686.0929623099219</c:v>
                      </c:pt>
                      <c:pt idx="114">
                        <c:v>-7956.2837947796943</c:v>
                      </c:pt>
                      <c:pt idx="115">
                        <c:v>-9176.0329303308972</c:v>
                      </c:pt>
                      <c:pt idx="116">
                        <c:v>-10342.788340019661</c:v>
                      </c:pt>
                      <c:pt idx="117">
                        <c:v>-11453.898076526117</c:v>
                      </c:pt>
                      <c:pt idx="118">
                        <c:v>-12506.55194021177</c:v>
                      </c:pt>
                      <c:pt idx="119">
                        <c:v>-13497.727784781178</c:v>
                      </c:pt>
                      <c:pt idx="120">
                        <c:v>-14424.138824167341</c:v>
                      </c:pt>
                      <c:pt idx="121">
                        <c:v>-15282.179190789995</c:v>
                      </c:pt>
                      <c:pt idx="122">
                        <c:v>-16067.865520869744</c:v>
                      </c:pt>
                      <c:pt idx="123">
                        <c:v>-16776.772677570603</c:v>
                      </c:pt>
                      <c:pt idx="124">
                        <c:v>-17403.962001277519</c:v>
                      </c:pt>
                      <c:pt idx="125">
                        <c:v>-17943.900838059963</c:v>
                      </c:pt>
                      <c:pt idx="126">
                        <c:v>-18390.372733379631</c:v>
                      </c:pt>
                      <c:pt idx="127">
                        <c:v>-18736.378892231536</c:v>
                      </c:pt>
                      <c:pt idx="128">
                        <c:v>-18974.033812004098</c:v>
                      </c:pt>
                      <c:pt idx="129">
                        <c:v>-19094.462269071042</c:v>
                      </c:pt>
                      <c:pt idx="130">
                        <c:v>-19087.712582788532</c:v>
                      </c:pt>
                      <c:pt idx="131">
                        <c:v>-18942.714804661675</c:v>
                      </c:pt>
                      <c:pt idx="132">
                        <c:v>-18647.336294856854</c:v>
                      </c:pt>
                      <c:pt idx="133">
                        <c:v>-18188.627561812576</c:v>
                      </c:pt>
                      <c:pt idx="134">
                        <c:v>-17553.418402052168</c:v>
                      </c:pt>
                      <c:pt idx="135">
                        <c:v>-16729.535329882034</c:v>
                      </c:pt>
                      <c:pt idx="136">
                        <c:v>-15708.10361052623</c:v>
                      </c:pt>
                      <c:pt idx="137">
                        <c:v>-14487.785823812728</c:v>
                      </c:pt>
                      <c:pt idx="138">
                        <c:v>-13082.765452977554</c:v>
                      </c:pt>
                      <c:pt idx="139">
                        <c:v>-11538.586873204866</c:v>
                      </c:pt>
                      <c:pt idx="140">
                        <c:v>-9961.283327292982</c:v>
                      </c:pt>
                      <c:pt idx="141">
                        <c:v>-8535.9358821291116</c:v>
                      </c:pt>
                      <c:pt idx="142">
                        <c:v>-7431.3231169227756</c:v>
                      </c:pt>
                      <c:pt idx="143">
                        <c:v>-6648.5105592290492</c:v>
                      </c:pt>
                      <c:pt idx="144">
                        <c:v>-6055.2013786956604</c:v>
                      </c:pt>
                      <c:pt idx="145">
                        <c:v>-5522.6868888774497</c:v>
                      </c:pt>
                      <c:pt idx="146">
                        <c:v>-4973.5648439949573</c:v>
                      </c:pt>
                      <c:pt idx="147">
                        <c:v>-4374.8380365863386</c:v>
                      </c:pt>
                      <c:pt idx="148">
                        <c:v>-3721.1325508030345</c:v>
                      </c:pt>
                      <c:pt idx="149">
                        <c:v>-3019.8520523212565</c:v>
                      </c:pt>
                      <c:pt idx="150">
                        <c:v>-2282.034045030985</c:v>
                      </c:pt>
                      <c:pt idx="151">
                        <c:v>-1518.2399421430607</c:v>
                      </c:pt>
                      <c:pt idx="152">
                        <c:v>-737.27842005781929</c:v>
                      </c:pt>
                      <c:pt idx="153">
                        <c:v>53.881036693447868</c:v>
                      </c:pt>
                      <c:pt idx="154">
                        <c:v>849.81942886798959</c:v>
                      </c:pt>
                      <c:pt idx="155">
                        <c:v>1646.3248328116763</c:v>
                      </c:pt>
                      <c:pt idx="156">
                        <c:v>2440.0952127692885</c:v>
                      </c:pt>
                      <c:pt idx="157">
                        <c:v>3228.5061810661691</c:v>
                      </c:pt>
                      <c:pt idx="158">
                        <c:v>4009.4365409540646</c:v>
                      </c:pt>
                      <c:pt idx="159">
                        <c:v>4781.1389877705396</c:v>
                      </c:pt>
                      <c:pt idx="160">
                        <c:v>5542.1443421241638</c:v>
                      </c:pt>
                      <c:pt idx="161">
                        <c:v>6291.1901634826836</c:v>
                      </c:pt>
                      <c:pt idx="162">
                        <c:v>7027.1669593521019</c:v>
                      </c:pt>
                      <c:pt idx="163">
                        <c:v>7749.0770794095397</c:v>
                      </c:pt>
                      <c:pt idx="164">
                        <c:v>8456.002765561374</c:v>
                      </c:pt>
                      <c:pt idx="165">
                        <c:v>9147.080815848698</c:v>
                      </c:pt>
                      <c:pt idx="166">
                        <c:v>9821.4820151700696</c:v>
                      </c:pt>
                      <c:pt idx="167">
                        <c:v>10478.393971940719</c:v>
                      </c:pt>
                      <c:pt idx="168">
                        <c:v>11117.006338086043</c:v>
                      </c:pt>
                      <c:pt idx="169">
                        <c:v>11736.497623102325</c:v>
                      </c:pt>
                      <c:pt idx="170">
                        <c:v>12336.022970716953</c:v>
                      </c:pt>
                      <c:pt idx="171">
                        <c:v>12914.702368602635</c:v>
                      </c:pt>
                      <c:pt idx="172">
                        <c:v>13471.60882027528</c:v>
                      </c:pt>
                      <c:pt idx="173">
                        <c:v>14005.756031137716</c:v>
                      </c:pt>
                      <c:pt idx="174">
                        <c:v>14516.085150858822</c:v>
                      </c:pt>
                      <c:pt idx="175">
                        <c:v>15001.4500714109</c:v>
                      </c:pt>
                      <c:pt idx="176">
                        <c:v>15460.600699766912</c:v>
                      </c:pt>
                      <c:pt idx="177">
                        <c:v>15892.163497452122</c:v>
                      </c:pt>
                      <c:pt idx="178">
                        <c:v>16294.618390469985</c:v>
                      </c:pt>
                      <c:pt idx="179">
                        <c:v>16666.270877833416</c:v>
                      </c:pt>
                      <c:pt idx="180">
                        <c:v>17005.217765710913</c:v>
                      </c:pt>
                      <c:pt idx="181">
                        <c:v>17309.304364154646</c:v>
                      </c:pt>
                      <c:pt idx="182">
                        <c:v>17576.070102277772</c:v>
                      </c:pt>
                      <c:pt idx="183">
                        <c:v>17802.678175679692</c:v>
                      </c:pt>
                      <c:pt idx="184">
                        <c:v>17985.822747035596</c:v>
                      </c:pt>
                      <c:pt idx="185">
                        <c:v>18121.603867871978</c:v>
                      </c:pt>
                      <c:pt idx="186">
                        <c:v>18205.354752577783</c:v>
                      </c:pt>
                      <c:pt idx="187">
                        <c:v>18231.39657758905</c:v>
                      </c:pt>
                      <c:pt idx="188">
                        <c:v>18192.67920955196</c:v>
                      </c:pt>
                      <c:pt idx="189">
                        <c:v>18080.235313880003</c:v>
                      </c:pt>
                      <c:pt idx="190">
                        <c:v>17882.31573606508</c:v>
                      </c:pt>
                      <c:pt idx="191">
                        <c:v>17582.95500246622</c:v>
                      </c:pt>
                      <c:pt idx="192">
                        <c:v>17159.473195456911</c:v>
                      </c:pt>
                      <c:pt idx="193">
                        <c:v>16577.951921846932</c:v>
                      </c:pt>
                      <c:pt idx="194">
                        <c:v>15785.152089589326</c:v>
                      </c:pt>
                      <c:pt idx="195">
                        <c:v>14697.666904232226</c:v>
                      </c:pt>
                      <c:pt idx="196">
                        <c:v>13213.427474679918</c:v>
                      </c:pt>
                      <c:pt idx="197">
                        <c:v>11311.634631926194</c:v>
                      </c:pt>
                      <c:pt idx="198">
                        <c:v>9109.2189747441862</c:v>
                      </c:pt>
                      <c:pt idx="199">
                        <c:v>6724.0356366762917</c:v>
                      </c:pt>
                      <c:pt idx="200">
                        <c:v>4183.1020181491995</c:v>
                      </c:pt>
                      <c:pt idx="201">
                        <c:v>1471.1519262481579</c:v>
                      </c:pt>
                      <c:pt idx="202">
                        <c:v>-1422.0427005525685</c:v>
                      </c:pt>
                      <c:pt idx="203">
                        <c:v>-4469.0212837756062</c:v>
                      </c:pt>
                      <c:pt idx="204">
                        <c:v>-7586.8205361057226</c:v>
                      </c:pt>
                      <c:pt idx="205">
                        <c:v>-10658.290339719502</c:v>
                      </c:pt>
                      <c:pt idx="206">
                        <c:v>-13584.183685310922</c:v>
                      </c:pt>
                      <c:pt idx="207">
                        <c:v>-16314.499180828261</c:v>
                      </c:pt>
                      <c:pt idx="208">
                        <c:v>-18840.536556469666</c:v>
                      </c:pt>
                      <c:pt idx="209">
                        <c:v>-21174.25275798604</c:v>
                      </c:pt>
                      <c:pt idx="210">
                        <c:v>-23334.20716098322</c:v>
                      </c:pt>
                      <c:pt idx="211">
                        <c:v>-25339.209403189077</c:v>
                      </c:pt>
                      <c:pt idx="212">
                        <c:v>-27206.124966968644</c:v>
                      </c:pt>
                      <c:pt idx="213">
                        <c:v>-28949.412857395619</c:v>
                      </c:pt>
                      <c:pt idx="214">
                        <c:v>-30581.27770646763</c:v>
                      </c:pt>
                      <c:pt idx="215">
                        <c:v>-32111.991658345327</c:v>
                      </c:pt>
                      <c:pt idx="216">
                        <c:v>-33550.22522185331</c:v>
                      </c:pt>
                      <c:pt idx="217">
                        <c:v>-34903.336889082326</c:v>
                      </c:pt>
                      <c:pt idx="218">
                        <c:v>-36177.612068796887</c:v>
                      </c:pt>
                      <c:pt idx="219">
                        <c:v>-37378.455562949421</c:v>
                      </c:pt>
                      <c:pt idx="220">
                        <c:v>-38510.545341539713</c:v>
                      </c:pt>
                      <c:pt idx="221">
                        <c:v>-39577.955315365747</c:v>
                      </c:pt>
                      <c:pt idx="222">
                        <c:v>-40584.253674054336</c:v>
                      </c:pt>
                      <c:pt idx="223">
                        <c:v>-41532.582066026807</c:v>
                      </c:pt>
                      <c:pt idx="224">
                        <c:v>-42425.719750167933</c:v>
                      </c:pt>
                      <c:pt idx="225">
                        <c:v>-43266.135916248772</c:v>
                      </c:pt>
                      <c:pt idx="226">
                        <c:v>-44056.032641552061</c:v>
                      </c:pt>
                      <c:pt idx="227">
                        <c:v>-44797.380390437553</c:v>
                      </c:pt>
                      <c:pt idx="228">
                        <c:v>-45491.947535714506</c:v>
                      </c:pt>
                      <c:pt idx="229">
                        <c:v>-46141.325054617213</c:v>
                      </c:pt>
                      <c:pt idx="230">
                        <c:v>-46746.947303190485</c:v>
                      </c:pt>
                      <c:pt idx="231">
                        <c:v>-47310.109582012214</c:v>
                      </c:pt>
                      <c:pt idx="232">
                        <c:v>-47831.983059100065</c:v>
                      </c:pt>
                      <c:pt idx="233">
                        <c:v>-48313.627501864205</c:v>
                      </c:pt>
                      <c:pt idx="234">
                        <c:v>-48756.002181086245</c:v>
                      </c:pt>
                      <c:pt idx="235">
                        <c:v>-49159.97524015831</c:v>
                      </c:pt>
                      <c:pt idx="236">
                        <c:v>-49526.33176773219</c:v>
                      </c:pt>
                      <c:pt idx="237">
                        <c:v>-49855.780768143231</c:v>
                      </c:pt>
                      <c:pt idx="238">
                        <c:v>-50148.961188941998</c:v>
                      </c:pt>
                      <c:pt idx="239">
                        <c:v>-50406.447136655268</c:v>
                      </c:pt>
                      <c:pt idx="240">
                        <c:v>-50628.752389026326</c:v>
                      </c:pt>
                      <c:pt idx="241">
                        <c:v>-50816.334293314714</c:v>
                      </c:pt>
                      <c:pt idx="242">
                        <c:v>-50969.597124884989</c:v>
                      </c:pt>
                      <c:pt idx="243">
                        <c:v>-51088.894967595341</c:v>
                      </c:pt>
                      <c:pt idx="244">
                        <c:v>-51174.5341668685</c:v>
                      </c:pt>
                      <c:pt idx="245">
                        <c:v>-51226.775397362326</c:v>
                      </c:pt>
                      <c:pt idx="246">
                        <c:v>-51245.83537951202</c:v>
                      </c:pt>
                      <c:pt idx="247">
                        <c:v>-51231.888272614407</c:v>
                      </c:pt>
                      <c:pt idx="248">
                        <c:v>-51185.066766339973</c:v>
                      </c:pt>
                      <c:pt idx="249">
                        <c:v>-51105.4628874017</c:v>
                      </c:pt>
                      <c:pt idx="250">
                        <c:v>-50993.128533420902</c:v>
                      </c:pt>
                      <c:pt idx="251">
                        <c:v>-50848.075741669258</c:v>
                      </c:pt>
                      <c:pt idx="252">
                        <c:v>-50670.276696207242</c:v>
                      </c:pt>
                      <c:pt idx="253">
                        <c:v>-50459.66347286458</c:v>
                      </c:pt>
                      <c:pt idx="254">
                        <c:v>-50216.127517403795</c:v>
                      </c:pt>
                      <c:pt idx="255">
                        <c:v>-49939.518847956933</c:v>
                      </c:pt>
                      <c:pt idx="256">
                        <c:v>-49629.644968305067</c:v>
                      </c:pt>
                      <c:pt idx="257">
                        <c:v>-49286.269473643537</c:v>
                      </c:pt>
                      <c:pt idx="258">
                        <c:v>-48909.110324988367</c:v>
                      </c:pt>
                      <c:pt idx="259">
                        <c:v>-48497.837762147938</c:v>
                      </c:pt>
                      <c:pt idx="260">
                        <c:v>-48052.071817989374</c:v>
                      </c:pt>
                      <c:pt idx="261">
                        <c:v>-47571.37938830303</c:v>
                      </c:pt>
                      <c:pt idx="262">
                        <c:v>-47055.270801576538</c:v>
                      </c:pt>
                      <c:pt idx="263">
                        <c:v>-46503.19582101125</c:v>
                      </c:pt>
                      <c:pt idx="264">
                        <c:v>-45914.538996613919</c:v>
                      </c:pt>
                      <c:pt idx="265">
                        <c:v>-45288.614267485602</c:v>
                      </c:pt>
                      <c:pt idx="266">
                        <c:v>-44624.658692615762</c:v>
                      </c:pt>
                      <c:pt idx="267">
                        <c:v>-43921.825161403387</c:v>
                      </c:pt>
                      <c:pt idx="268">
                        <c:v>-43179.173901225229</c:v>
                      </c:pt>
                      <c:pt idx="269">
                        <c:v>-42395.66255659968</c:v>
                      </c:pt>
                      <c:pt idx="270">
                        <c:v>-41570.134560091436</c:v>
                      </c:pt>
                      <c:pt idx="271">
                        <c:v>-40701.305445322316</c:v>
                      </c:pt>
                      <c:pt idx="272">
                        <c:v>-39787.746662169222</c:v>
                      </c:pt>
                      <c:pt idx="273">
                        <c:v>-38827.866336348212</c:v>
                      </c:pt>
                      <c:pt idx="274">
                        <c:v>-37819.886260191801</c:v>
                      </c:pt>
                      <c:pt idx="275">
                        <c:v>-36761.814194520739</c:v>
                      </c:pt>
                      <c:pt idx="276">
                        <c:v>-35651.410283085337</c:v>
                      </c:pt>
                      <c:pt idx="277">
                        <c:v>-34486.146002198046</c:v>
                      </c:pt>
                      <c:pt idx="278">
                        <c:v>-33263.153546649301</c:v>
                      </c:pt>
                      <c:pt idx="279">
                        <c:v>-31979.162826360604</c:v>
                      </c:pt>
                      <c:pt idx="280">
                        <c:v>-30630.422223292742</c:v>
                      </c:pt>
                      <c:pt idx="281">
                        <c:v>-29212.59779470136</c:v>
                      </c:pt>
                      <c:pt idx="282">
                        <c:v>-27720.643495303619</c:v>
                      </c:pt>
                      <c:pt idx="283">
                        <c:v>-26148.631909656586</c:v>
                      </c:pt>
                      <c:pt idx="284">
                        <c:v>-24489.530471938106</c:v>
                      </c:pt>
                      <c:pt idx="285">
                        <c:v>-22734.901569200498</c:v>
                      </c:pt>
                      <c:pt idx="286">
                        <c:v>-20874.495585246816</c:v>
                      </c:pt>
                      <c:pt idx="287">
                        <c:v>-18895.693769343208</c:v>
                      </c:pt>
                      <c:pt idx="288">
                        <c:v>-16782.746095758939</c:v>
                      </c:pt>
                      <c:pt idx="289">
                        <c:v>-14515.754891103627</c:v>
                      </c:pt>
                      <c:pt idx="290">
                        <c:v>-12069.44493039766</c:v>
                      </c:pt>
                      <c:pt idx="291">
                        <c:v>-9412.1758119087717</c:v>
                      </c:pt>
                      <c:pt idx="292">
                        <c:v>-6507.1581126164965</c:v>
                      </c:pt>
                      <c:pt idx="293">
                        <c:v>-3322.0735546177784</c:v>
                      </c:pt>
                      <c:pt idx="294">
                        <c:v>141.41580077241429</c:v>
                      </c:pt>
                      <c:pt idx="295">
                        <c:v>3804.836855364807</c:v>
                      </c:pt>
                      <c:pt idx="296">
                        <c:v>7518.1603127453172</c:v>
                      </c:pt>
                      <c:pt idx="297">
                        <c:v>11137.270225542918</c:v>
                      </c:pt>
                      <c:pt idx="298">
                        <c:v>14580.933656673391</c:v>
                      </c:pt>
                      <c:pt idx="299">
                        <c:v>17818.848765080282</c:v>
                      </c:pt>
                      <c:pt idx="300">
                        <c:v>20841.631153812486</c:v>
                      </c:pt>
                      <c:pt idx="301">
                        <c:v>23645.983550319863</c:v>
                      </c:pt>
                      <c:pt idx="302">
                        <c:v>26232.733850113709</c:v>
                      </c:pt>
                      <c:pt idx="303">
                        <c:v>28608.463614548378</c:v>
                      </c:pt>
                      <c:pt idx="304">
                        <c:v>30785.454132656068</c:v>
                      </c:pt>
                      <c:pt idx="305">
                        <c:v>32779.618275681045</c:v>
                      </c:pt>
                      <c:pt idx="306">
                        <c:v>34608.049221783578</c:v>
                      </c:pt>
                      <c:pt idx="307">
                        <c:v>36287.267647860019</c:v>
                      </c:pt>
                      <c:pt idx="308">
                        <c:v>37832.32017659914</c:v>
                      </c:pt>
                      <c:pt idx="309">
                        <c:v>39256.477385400598</c:v>
                      </c:pt>
                      <c:pt idx="310">
                        <c:v>40571.257469778655</c:v>
                      </c:pt>
                      <c:pt idx="311">
                        <c:v>41786.592613992412</c:v>
                      </c:pt>
                      <c:pt idx="312">
                        <c:v>42911.03879600369</c:v>
                      </c:pt>
                      <c:pt idx="313">
                        <c:v>43951.982331901243</c:v>
                      </c:pt>
                      <c:pt idx="314">
                        <c:v>44915.824574852326</c:v>
                      </c:pt>
                      <c:pt idx="315">
                        <c:v>45808.139751556191</c:v>
                      </c:pt>
                      <c:pt idx="316">
                        <c:v>46633.806844651735</c:v>
                      </c:pt>
                      <c:pt idx="317">
                        <c:v>47397.118628227327</c:v>
                      </c:pt>
                      <c:pt idx="318">
                        <c:v>48101.871461264273</c:v>
                      </c:pt>
                      <c:pt idx="319">
                        <c:v>48751.439232271994</c:v>
                      </c:pt>
                      <c:pt idx="320">
                        <c:v>49348.83439138814</c:v>
                      </c:pt>
                      <c:pt idx="321">
                        <c:v>49896.75850890002</c:v>
                      </c:pt>
                      <c:pt idx="322">
                        <c:v>50397.644343739725</c:v>
                      </c:pt>
                      <c:pt idx="323">
                        <c:v>50853.691018064732</c:v>
                      </c:pt>
                      <c:pt idx="324">
                        <c:v>51266.893576350012</c:v>
                      </c:pt>
                      <c:pt idx="325">
                        <c:v>51639.067951954363</c:v>
                      </c:pt>
                      <c:pt idx="326">
                        <c:v>51971.872160754407</c:v>
                      </c:pt>
                      <c:pt idx="327">
                        <c:v>52266.824380278893</c:v>
                      </c:pt>
                      <c:pt idx="328">
                        <c:v>52525.31844521228</c:v>
                      </c:pt>
                      <c:pt idx="329">
                        <c:v>52748.637189067187</c:v>
                      </c:pt>
                      <c:pt idx="330">
                        <c:v>52937.963981557084</c:v>
                      </c:pt>
                      <c:pt idx="331">
                        <c:v>53094.392747243641</c:v>
                      </c:pt>
                      <c:pt idx="332">
                        <c:v>53218.936699876824</c:v>
                      </c:pt>
                      <c:pt idx="333">
                        <c:v>53312.535985755836</c:v>
                      </c:pt>
                      <c:pt idx="334">
                        <c:v>53376.064396289323</c:v>
                      </c:pt>
                      <c:pt idx="335">
                        <c:v>53410.335283068496</c:v>
                      </c:pt>
                      <c:pt idx="336">
                        <c:v>53416.10678689702</c:v>
                      </c:pt>
                      <c:pt idx="337">
                        <c:v>53394.086474337513</c:v>
                      </c:pt>
                      <c:pt idx="338">
                        <c:v>53344.93546064468</c:v>
                      </c:pt>
                      <c:pt idx="339">
                        <c:v>53269.272085836506</c:v>
                      </c:pt>
                      <c:pt idx="340">
                        <c:v>53167.675200614562</c:v>
                      </c:pt>
                      <c:pt idx="341">
                        <c:v>53040.68711049165</c:v>
                      </c:pt>
                      <c:pt idx="342">
                        <c:v>52888.816219507687</c:v>
                      </c:pt>
                      <c:pt idx="343">
                        <c:v>52712.539409063676</c:v>
                      </c:pt>
                      <c:pt idx="344">
                        <c:v>52512.304182478489</c:v>
                      </c:pt>
                      <c:pt idx="345">
                        <c:v>52288.530601711762</c:v>
                      </c:pt>
                      <c:pt idx="346">
                        <c:v>52041.613039167925</c:v>
                      </c:pt>
                      <c:pt idx="347">
                        <c:v>51771.921764494335</c:v>
                      </c:pt>
                      <c:pt idx="348">
                        <c:v>51479.804383723662</c:v>
                      </c:pt>
                      <c:pt idx="349">
                        <c:v>51165.587145915764</c:v>
                      </c:pt>
                      <c:pt idx="350">
                        <c:v>50829.576130568588</c:v>
                      </c:pt>
                      <c:pt idx="351">
                        <c:v>50472.058327442704</c:v>
                      </c:pt>
                      <c:pt idx="352">
                        <c:v>50093.302619039991</c:v>
                      </c:pt>
                      <c:pt idx="353">
                        <c:v>49693.560674760076</c:v>
                      </c:pt>
                      <c:pt idx="354">
                        <c:v>49273.067764701227</c:v>
                      </c:pt>
                      <c:pt idx="355">
                        <c:v>48832.043500151776</c:v>
                      </c:pt>
                      <c:pt idx="356">
                        <c:v>48370.692507015148</c:v>
                      </c:pt>
                      <c:pt idx="357">
                        <c:v>47889.205037709551</c:v>
                      </c:pt>
                      <c:pt idx="358">
                        <c:v>47387.757526469104</c:v>
                      </c:pt>
                      <c:pt idx="359">
                        <c:v>46866.513092435423</c:v>
                      </c:pt>
                      <c:pt idx="360">
                        <c:v>46325.621994458241</c:v>
                      </c:pt>
                      <c:pt idx="361">
                        <c:v>45765.222041112676</c:v>
                      </c:pt>
                      <c:pt idx="362">
                        <c:v>45185.438959083425</c:v>
                      </c:pt>
                      <c:pt idx="363">
                        <c:v>44586.386722757685</c:v>
                      </c:pt>
                      <c:pt idx="364">
                        <c:v>43968.167847605509</c:v>
                      </c:pt>
                      <c:pt idx="365">
                        <c:v>43330.873649706395</c:v>
                      </c:pt>
                      <c:pt idx="366">
                        <c:v>42674.584473603318</c:v>
                      </c:pt>
                      <c:pt idx="367">
                        <c:v>41999.369890530776</c:v>
                      </c:pt>
                      <c:pt idx="368">
                        <c:v>41305.288868973432</c:v>
                      </c:pt>
                      <c:pt idx="369">
                        <c:v>40592.389919470879</c:v>
                      </c:pt>
                      <c:pt idx="370">
                        <c:v>39860.711215597454</c:v>
                      </c:pt>
                      <c:pt idx="371">
                        <c:v>39110.280693122346</c:v>
                      </c:pt>
                      <c:pt idx="372">
                        <c:v>38341.116129507085</c:v>
                      </c:pt>
                      <c:pt idx="373">
                        <c:v>37553.225206139679</c:v>
                      </c:pt>
                      <c:pt idx="374">
                        <c:v>36746.605556059367</c:v>
                      </c:pt>
                      <c:pt idx="375">
                        <c:v>35921.244800421366</c:v>
                      </c:pt>
                      <c:pt idx="376">
                        <c:v>35077.120577624315</c:v>
                      </c:pt>
                      <c:pt idx="377">
                        <c:v>34214.20056992444</c:v>
                      </c:pt>
                      <c:pt idx="378">
                        <c:v>33332.442533555659</c:v>
                      </c:pt>
                      <c:pt idx="379">
                        <c:v>32431.794339951735</c:v>
                      </c:pt>
                      <c:pt idx="380">
                        <c:v>31512.1940377424</c:v>
                      </c:pt>
                      <c:pt idx="381">
                        <c:v>30573.569947927968</c:v>
                      </c:pt>
                      <c:pt idx="382">
                        <c:v>29615.84080823863</c:v>
                      </c:pt>
                      <c:pt idx="383">
                        <c:v>28638.915987443928</c:v>
                      </c:pt>
                      <c:pt idx="384">
                        <c:v>27642.69579668899</c:v>
                      </c:pt>
                      <c:pt idx="385">
                        <c:v>26627.071933337891</c:v>
                      </c:pt>
                      <c:pt idx="386">
                        <c:v>25591.928104050752</c:v>
                      </c:pt>
                      <c:pt idx="387">
                        <c:v>24537.140888953334</c:v>
                      </c:pt>
                      <c:pt idx="388">
                        <c:v>23462.580929242729</c:v>
                      </c:pt>
                      <c:pt idx="389">
                        <c:v>22368.11454848442</c:v>
                      </c:pt>
                      <c:pt idx="390">
                        <c:v>21253.605956153995</c:v>
                      </c:pt>
                      <c:pt idx="391">
                        <c:v>20118.92023491548</c:v>
                      </c:pt>
                      <c:pt idx="392">
                        <c:v>18963.927386874086</c:v>
                      </c:pt>
                      <c:pt idx="393">
                        <c:v>17788.507817601268</c:v>
                      </c:pt>
                      <c:pt idx="394">
                        <c:v>16592.559783359007</c:v>
                      </c:pt>
                      <c:pt idx="395">
                        <c:v>15376.009536277967</c:v>
                      </c:pt>
                      <c:pt idx="396">
                        <c:v>14138.825203488055</c:v>
                      </c:pt>
                      <c:pt idx="397">
                        <c:v>12881.035872942368</c:v>
                      </c:pt>
                      <c:pt idx="398">
                        <c:v>11602.757995787353</c:v>
                      </c:pt>
                      <c:pt idx="399">
                        <c:v>10304.232148201691</c:v>
                      </c:pt>
                      <c:pt idx="400">
                        <c:v>8985.8745620964783</c:v>
                      </c:pt>
                      <c:pt idx="401">
                        <c:v>7648.3498211299147</c:v>
                      </c:pt>
                      <c:pt idx="402">
                        <c:v>6292.6739503331664</c:v>
                      </c:pt>
                      <c:pt idx="403">
                        <c:v>4920.360979820116</c:v>
                      </c:pt>
                      <c:pt idx="404">
                        <c:v>3533.6307590532633</c:v>
                      </c:pt>
                      <c:pt idx="405">
                        <c:v>2135.6999114681876</c:v>
                      </c:pt>
                      <c:pt idx="406">
                        <c:v>731.17627986737966</c:v>
                      </c:pt>
                      <c:pt idx="407">
                        <c:v>-673.44441474990333</c:v>
                      </c:pt>
                      <c:pt idx="408">
                        <c:v>-2069.2578340545592</c:v>
                      </c:pt>
                      <c:pt idx="409">
                        <c:v>-3444.6854006012504</c:v>
                      </c:pt>
                      <c:pt idx="410">
                        <c:v>-4786.1486952658261</c:v>
                      </c:pt>
                      <c:pt idx="411">
                        <c:v>-6080.8961638186438</c:v>
                      </c:pt>
                      <c:pt idx="412">
                        <c:v>-7323.216158413813</c:v>
                      </c:pt>
                      <c:pt idx="413">
                        <c:v>-8523.8380232603467</c:v>
                      </c:pt>
                      <c:pt idx="414">
                        <c:v>-9720.4160254198869</c:v>
                      </c:pt>
                      <c:pt idx="415">
                        <c:v>-10987.270226980725</c:v>
                      </c:pt>
                      <c:pt idx="416">
                        <c:v>-12429.707348747206</c:v>
                      </c:pt>
                      <c:pt idx="417">
                        <c:v>-14079.300794576589</c:v>
                      </c:pt>
                      <c:pt idx="418">
                        <c:v>-15787.958180456046</c:v>
                      </c:pt>
                      <c:pt idx="419">
                        <c:v>-17375.479725222158</c:v>
                      </c:pt>
                      <c:pt idx="420">
                        <c:v>-18770.46913257198</c:v>
                      </c:pt>
                      <c:pt idx="421">
                        <c:v>-19961.55082673701</c:v>
                      </c:pt>
                      <c:pt idx="422">
                        <c:v>-20957.534215981203</c:v>
                      </c:pt>
                      <c:pt idx="423">
                        <c:v>-21774.927278946572</c:v>
                      </c:pt>
                      <c:pt idx="424">
                        <c:v>-22432.918017626285</c:v>
                      </c:pt>
                      <c:pt idx="425">
                        <c:v>-22950.732675556814</c:v>
                      </c:pt>
                      <c:pt idx="426">
                        <c:v>-23346.250875082937</c:v>
                      </c:pt>
                      <c:pt idx="427">
                        <c:v>-23635.409126116869</c:v>
                      </c:pt>
                      <c:pt idx="428">
                        <c:v>-23832.068688092491</c:v>
                      </c:pt>
                      <c:pt idx="429">
                        <c:v>-23948.124430915566</c:v>
                      </c:pt>
                      <c:pt idx="430">
                        <c:v>-23993.717303907233</c:v>
                      </c:pt>
                      <c:pt idx="431">
                        <c:v>-23977.47471918516</c:v>
                      </c:pt>
                      <c:pt idx="432">
                        <c:v>-23906.74158549268</c:v>
                      </c:pt>
                      <c:pt idx="433">
                        <c:v>-23787.786381370908</c:v>
                      </c:pt>
                      <c:pt idx="434">
                        <c:v>-23625.977888727564</c:v>
                      </c:pt>
                      <c:pt idx="435">
                        <c:v>-23425.933527113455</c:v>
                      </c:pt>
                      <c:pt idx="436">
                        <c:v>-23191.642406421739</c:v>
                      </c:pt>
                      <c:pt idx="437">
                        <c:v>-22926.566823206831</c:v>
                      </c:pt>
                      <c:pt idx="438">
                        <c:v>-22633.725808297382</c:v>
                      </c:pt>
                      <c:pt idx="439">
                        <c:v>-22315.76392493851</c:v>
                      </c:pt>
                      <c:pt idx="440">
                        <c:v>-21975.008029463374</c:v>
                      </c:pt>
                      <c:pt idx="441">
                        <c:v>-21613.514236754898</c:v>
                      </c:pt>
                      <c:pt idx="442">
                        <c:v>-21233.10691842133</c:v>
                      </c:pt>
                      <c:pt idx="443">
                        <c:v>-20835.411212441813</c:v>
                      </c:pt>
                      <c:pt idx="444">
                        <c:v>-20421.880236202218</c:v>
                      </c:pt>
                      <c:pt idx="445">
                        <c:v>-19993.817962636906</c:v>
                      </c:pt>
                      <c:pt idx="446">
                        <c:v>-19552.398532752868</c:v>
                      </c:pt>
                      <c:pt idx="447">
                        <c:v>-19098.682628744129</c:v>
                      </c:pt>
                      <c:pt idx="448">
                        <c:v>-18633.631412900573</c:v>
                      </c:pt>
                      <c:pt idx="449">
                        <c:v>-18158.118442491774</c:v>
                      </c:pt>
                      <c:pt idx="450">
                        <c:v>-17672.939894823045</c:v>
                      </c:pt>
                      <c:pt idx="451">
                        <c:v>-17178.823375765616</c:v>
                      </c:pt>
                      <c:pt idx="452">
                        <c:v>-16676.435536122026</c:v>
                      </c:pt>
                      <c:pt idx="453">
                        <c:v>-16166.38868072874</c:v>
                      </c:pt>
                      <c:pt idx="454">
                        <c:v>-15649.246523273612</c:v>
                      </c:pt>
                      <c:pt idx="455">
                        <c:v>-15125.52921388422</c:v>
                      </c:pt>
                      <c:pt idx="456">
                        <c:v>-14595.7177454175</c:v>
                      </c:pt>
                      <c:pt idx="457">
                        <c:v>-14060.257827099897</c:v>
                      </c:pt>
                      <c:pt idx="458">
                        <c:v>-13519.563299977888</c:v>
                      </c:pt>
                      <c:pt idx="459">
                        <c:v>-12974.019156944882</c:v>
                      </c:pt>
                      <c:pt idx="460">
                        <c:v>-12423.984220437775</c:v>
                      </c:pt>
                      <c:pt idx="461">
                        <c:v>-11869.793522866916</c:v>
                      </c:pt>
                      <c:pt idx="462">
                        <c:v>-11311.760428153942</c:v>
                      </c:pt>
                      <c:pt idx="463">
                        <c:v>-10750.178527160206</c:v>
                      </c:pt>
                      <c:pt idx="464">
                        <c:v>-10185.323335098235</c:v>
                      </c:pt>
                      <c:pt idx="465">
                        <c:v>-9617.453815071829</c:v>
                      </c:pt>
                      <c:pt idx="466">
                        <c:v>-9046.8137485583175</c:v>
                      </c:pt>
                      <c:pt idx="467">
                        <c:v>-8473.632970824905</c:v>
                      </c:pt>
                      <c:pt idx="468">
                        <c:v>-7898.1284868743041</c:v>
                      </c:pt>
                      <c:pt idx="469">
                        <c:v>-7320.5054814731466</c:v>
                      </c:pt>
                      <c:pt idx="470">
                        <c:v>-6740.9582350724231</c:v>
                      </c:pt>
                      <c:pt idx="471">
                        <c:v>-6159.6709559349138</c:v>
                      </c:pt>
                      <c:pt idx="472">
                        <c:v>-5576.818537501068</c:v>
                      </c:pt>
                      <c:pt idx="473">
                        <c:v>-4992.5672489193676</c:v>
                      </c:pt>
                      <c:pt idx="474">
                        <c:v>-4407.075365712838</c:v>
                      </c:pt>
                      <c:pt idx="475">
                        <c:v>-3820.4937467273398</c:v>
                      </c:pt>
                      <c:pt idx="476">
                        <c:v>-3232.966362790622</c:v>
                      </c:pt>
                      <c:pt idx="477">
                        <c:v>-2644.6307818879827</c:v>
                      </c:pt>
                      <c:pt idx="478">
                        <c:v>-2055.6186151172465</c:v>
                      </c:pt>
                      <c:pt idx="479">
                        <c:v>-1466.0559272114431</c:v>
                      </c:pt>
                      <c:pt idx="480">
                        <c:v>-876.06361500236812</c:v>
                      </c:pt>
                      <c:pt idx="481">
                        <c:v>-285.75775683408784</c:v>
                      </c:pt>
                      <c:pt idx="482">
                        <c:v>304.75006438456592</c:v>
                      </c:pt>
                      <c:pt idx="483">
                        <c:v>895.35246208121532</c:v>
                      </c:pt>
                      <c:pt idx="484">
                        <c:v>1485.9459687161302</c:v>
                      </c:pt>
                      <c:pt idx="485">
                        <c:v>2076.4307783343111</c:v>
                      </c:pt>
                      <c:pt idx="486">
                        <c:v>2666.7105072288336</c:v>
                      </c:pt>
                      <c:pt idx="487">
                        <c:v>3256.6919711432906</c:v>
                      </c:pt>
                      <c:pt idx="488">
                        <c:v>3846.2849775943337</c:v>
                      </c:pt>
                      <c:pt idx="489">
                        <c:v>4435.4021320316306</c:v>
                      </c:pt>
                      <c:pt idx="490">
                        <c:v>5023.9586566739845</c:v>
                      </c:pt>
                      <c:pt idx="491">
                        <c:v>5611.8722209687594</c:v>
                      </c:pt>
                      <c:pt idx="492">
                        <c:v>6199.0627827186117</c:v>
                      </c:pt>
                      <c:pt idx="493">
                        <c:v>6785.4524390062434</c:v>
                      </c:pt>
                      <c:pt idx="494">
                        <c:v>7370.9652861255618</c:v>
                      </c:pt>
                      <c:pt idx="495">
                        <c:v>7955.5272877973748</c:v>
                      </c:pt>
                      <c:pt idx="496">
                        <c:v>8539.0661510103928</c:v>
                      </c:pt>
                      <c:pt idx="497">
                        <c:v>9121.511208884649</c:v>
                      </c:pt>
                      <c:pt idx="498">
                        <c:v>9702.793310005216</c:v>
                      </c:pt>
                      <c:pt idx="499">
                        <c:v>10282.844713719851</c:v>
                      </c:pt>
                      <c:pt idx="500">
                        <c:v>10861.59899093547</c:v>
                      </c:pt>
                      <c:pt idx="501">
                        <c:v>11438.990929985703</c:v>
                      </c:pt>
                      <c:pt idx="502">
                        <c:v>12014.956447175444</c:v>
                      </c:pt>
                      <c:pt idx="503">
                        <c:v>12589.432501638905</c:v>
                      </c:pt>
                      <c:pt idx="504">
                        <c:v>13162.357014175224</c:v>
                      </c:pt>
                      <c:pt idx="505">
                        <c:v>13733.668789750818</c:v>
                      </c:pt>
                      <c:pt idx="506">
                        <c:v>14303.307443380265</c:v>
                      </c:pt>
                      <c:pt idx="507">
                        <c:v>14871.213329118204</c:v>
                      </c:pt>
                      <c:pt idx="508">
                        <c:v>15437.327471913301</c:v>
                      </c:pt>
                      <c:pt idx="509">
                        <c:v>16001.591502092368</c:v>
                      </c:pt>
                      <c:pt idx="510">
                        <c:v>16563.947592258046</c:v>
                      </c:pt>
                      <c:pt idx="511">
                        <c:v>17124.338396397441</c:v>
                      </c:pt>
                      <c:pt idx="512">
                        <c:v>17682.706991011728</c:v>
                      </c:pt>
                      <c:pt idx="513">
                        <c:v>18238.996818088195</c:v>
                      </c:pt>
                      <c:pt idx="514">
                        <c:v>18793.151629746622</c:v>
                      </c:pt>
                      <c:pt idx="515">
                        <c:v>19345.115434401214</c:v>
                      </c:pt>
                      <c:pt idx="516">
                        <c:v>19894.832444287771</c:v>
                      </c:pt>
                      <c:pt idx="517">
                        <c:v>20442.247024213448</c:v>
                      </c:pt>
                      <c:pt idx="518">
                        <c:v>20987.303641393264</c:v>
                      </c:pt>
                      <c:pt idx="519">
                        <c:v>21529.946816243617</c:v>
                      </c:pt>
                      <c:pt idx="520">
                        <c:v>22070.121074008559</c:v>
                      </c:pt>
                      <c:pt idx="521">
                        <c:v>22607.77089709937</c:v>
                      </c:pt>
                      <c:pt idx="522">
                        <c:v>23142.840678032182</c:v>
                      </c:pt>
                      <c:pt idx="523">
                        <c:v>23675.274672852123</c:v>
                      </c:pt>
                      <c:pt idx="524">
                        <c:v>24205.016954935578</c:v>
                      </c:pt>
                      <c:pt idx="525">
                        <c:v>24732.0113690648</c:v>
                      </c:pt>
                      <c:pt idx="526">
                        <c:v>25256.201485671307</c:v>
                      </c:pt>
                      <c:pt idx="527">
                        <c:v>25777.530555146212</c:v>
                      </c:pt>
                      <c:pt idx="528">
                        <c:v>26295.94146211688</c:v>
                      </c:pt>
                      <c:pt idx="529">
                        <c:v>26811.376679590216</c:v>
                      </c:pt>
                      <c:pt idx="530">
                        <c:v>27323.778222863217</c:v>
                      </c:pt>
                      <c:pt idx="531">
                        <c:v>27833.087603101518</c:v>
                      </c:pt>
                      <c:pt idx="532">
                        <c:v>28339.245780486188</c:v>
                      </c:pt>
                      <c:pt idx="533">
                        <c:v>28842.193116828286</c:v>
                      </c:pt>
                      <c:pt idx="534">
                        <c:v>29341.869327549332</c:v>
                      </c:pt>
                      <c:pt idx="535">
                        <c:v>29838.213432924356</c:v>
                      </c:pt>
                      <c:pt idx="536">
                        <c:v>30331.163708481985</c:v>
                      </c:pt>
                      <c:pt idx="537">
                        <c:v>30820.657634453528</c:v>
                      </c:pt>
                      <c:pt idx="538">
                        <c:v>31306.631844160096</c:v>
                      </c:pt>
                      <c:pt idx="539">
                        <c:v>31789.022071223306</c:v>
                      </c:pt>
                      <c:pt idx="540">
                        <c:v>32267.763095481208</c:v>
                      </c:pt>
                      <c:pt idx="541">
                        <c:v>32742.788687486591</c:v>
                      </c:pt>
                      <c:pt idx="542">
                        <c:v>33214.031551459884</c:v>
                      </c:pt>
                      <c:pt idx="543">
                        <c:v>33681.423266563266</c:v>
                      </c:pt>
                      <c:pt idx="544">
                        <c:v>34144.89422635649</c:v>
                      </c:pt>
                      <c:pt idx="545">
                        <c:v>34604.373576287973</c:v>
                      </c:pt>
                      <c:pt idx="546">
                        <c:v>35059.789149067401</c:v>
                      </c:pt>
                      <c:pt idx="547">
                        <c:v>35511.06739775763</c:v>
                      </c:pt>
                      <c:pt idx="548">
                        <c:v>35958.133326414718</c:v>
                      </c:pt>
                      <c:pt idx="549">
                        <c:v>36400.910418095045</c:v>
                      </c:pt>
                      <c:pt idx="550">
                        <c:v>36839.320560037486</c:v>
                      </c:pt>
                      <c:pt idx="551">
                        <c:v>37273.28396581683</c:v>
                      </c:pt>
                      <c:pt idx="552">
                        <c:v>37702.71909425169</c:v>
                      </c:pt>
                      <c:pt idx="553">
                        <c:v>38127.542564835901</c:v>
                      </c:pt>
                      <c:pt idx="554">
                        <c:v>38547.669069446936</c:v>
                      </c:pt>
                      <c:pt idx="555">
                        <c:v>38963.011280068073</c:v>
                      </c:pt>
                      <c:pt idx="556">
                        <c:v>39373.4797522425</c:v>
                      </c:pt>
                      <c:pt idx="557">
                        <c:v>39778.98282395734</c:v>
                      </c:pt>
                      <c:pt idx="558">
                        <c:v>40179.426509633631</c:v>
                      </c:pt>
                      <c:pt idx="559">
                        <c:v>40574.714388874119</c:v>
                      </c:pt>
                      <c:pt idx="560">
                        <c:v>40964.747489594316</c:v>
                      </c:pt>
                      <c:pt idx="561">
                        <c:v>41349.424165133467</c:v>
                      </c:pt>
                      <c:pt idx="562">
                        <c:v>41728.639964910362</c:v>
                      </c:pt>
                      <c:pt idx="563">
                        <c:v>42102.287498154117</c:v>
                      </c:pt>
                      <c:pt idx="564">
                        <c:v>42470.256290202226</c:v>
                      </c:pt>
                      <c:pt idx="565">
                        <c:v>42832.432630815958</c:v>
                      </c:pt>
                      <c:pt idx="566">
                        <c:v>43188.699413917464</c:v>
                      </c:pt>
                      <c:pt idx="567">
                        <c:v>43538.935968102145</c:v>
                      </c:pt>
                      <c:pt idx="568">
                        <c:v>43883.017877224054</c:v>
                      </c:pt>
                      <c:pt idx="569">
                        <c:v>44220.816790290482</c:v>
                      </c:pt>
                      <c:pt idx="570">
                        <c:v>44552.200219833991</c:v>
                      </c:pt>
                      <c:pt idx="571">
                        <c:v>44877.031327854835</c:v>
                      </c:pt>
                      <c:pt idx="572">
                        <c:v>45195.168698343579</c:v>
                      </c:pt>
                      <c:pt idx="573">
                        <c:v>45506.466095301374</c:v>
                      </c:pt>
                      <c:pt idx="574">
                        <c:v>45810.772205073001</c:v>
                      </c:pt>
                      <c:pt idx="575">
                        <c:v>46107.930361693892</c:v>
                      </c:pt>
                      <c:pt idx="576">
                        <c:v>46397.778253825643</c:v>
                      </c:pt>
                      <c:pt idx="577">
                        <c:v>46680.147611713321</c:v>
                      </c:pt>
                      <c:pt idx="578">
                        <c:v>46954.863872440081</c:v>
                      </c:pt>
                      <c:pt idx="579">
                        <c:v>47221.745821578275</c:v>
                      </c:pt>
                      <c:pt idx="580">
                        <c:v>47480.605209138841</c:v>
                      </c:pt>
                      <c:pt idx="581">
                        <c:v>47731.246337498975</c:v>
                      </c:pt>
                      <c:pt idx="582">
                        <c:v>47973.46561873937</c:v>
                      </c:pt>
                      <c:pt idx="583">
                        <c:v>48207.051098541633</c:v>
                      </c:pt>
                      <c:pt idx="584">
                        <c:v>48431.781943480681</c:v>
                      </c:pt>
                      <c:pt idx="585">
                        <c:v>48647.427888189341</c:v>
                      </c:pt>
                      <c:pt idx="586">
                        <c:v>48853.748638468234</c:v>
                      </c:pt>
                      <c:pt idx="587">
                        <c:v>49050.493225954851</c:v>
                      </c:pt>
                      <c:pt idx="588">
                        <c:v>49237.399309444401</c:v>
                      </c:pt>
                      <c:pt idx="589">
                        <c:v>49414.192417360631</c:v>
                      </c:pt>
                      <c:pt idx="590">
                        <c:v>49580.585125196412</c:v>
                      </c:pt>
                      <c:pt idx="591">
                        <c:v>49736.276160967587</c:v>
                      </c:pt>
                      <c:pt idx="592">
                        <c:v>49880.949430833018</c:v>
                      </c:pt>
                      <c:pt idx="593">
                        <c:v>50014.272956009918</c:v>
                      </c:pt>
                      <c:pt idx="594">
                        <c:v>50135.897710933205</c:v>
                      </c:pt>
                      <c:pt idx="595">
                        <c:v>50245.456351243673</c:v>
                      </c:pt>
                      <c:pt idx="596">
                        <c:v>50342.561818608985</c:v>
                      </c:pt>
                      <c:pt idx="597">
                        <c:v>50426.805807544719</c:v>
                      </c:pt>
                      <c:pt idx="598">
                        <c:v>50497.757077261987</c:v>
                      </c:pt>
                      <c:pt idx="599">
                        <c:v>50554.959589065904</c:v>
                      </c:pt>
                      <c:pt idx="600">
                        <c:v>50597.930446895407</c:v>
                      </c:pt>
                      <c:pt idx="601">
                        <c:v>50626.15761514382</c:v>
                      </c:pt>
                      <c:pt idx="602">
                        <c:v>50639.097383826782</c:v>
                      </c:pt>
                      <c:pt idx="603">
                        <c:v>50636.171546340971</c:v>
                      </c:pt>
                      <c:pt idx="604">
                        <c:v>50616.764249324704</c:v>
                      </c:pt>
                      <c:pt idx="605">
                        <c:v>50580.218467293678</c:v>
                      </c:pt>
                      <c:pt idx="606">
                        <c:v>50525.832046536882</c:v>
                      </c:pt>
                      <c:pt idx="607">
                        <c:v>50452.853252913977</c:v>
                      </c:pt>
                      <c:pt idx="608">
                        <c:v>50360.4757463118</c:v>
                      </c:pt>
                      <c:pt idx="609">
                        <c:v>50247.832890111153</c:v>
                      </c:pt>
                      <c:pt idx="610">
                        <c:v>50113.991286472068</c:v>
                      </c:pt>
                      <c:pt idx="611">
                        <c:v>49957.94340678634</c:v>
                      </c:pt>
                      <c:pt idx="612">
                        <c:v>49778.599160272141</c:v>
                      </c:pt>
                      <c:pt idx="613">
                        <c:v>49574.776211113975</c:v>
                      </c:pt>
                      <c:pt idx="614">
                        <c:v>49345.188814125417</c:v>
                      </c:pt>
                      <c:pt idx="615">
                        <c:v>49088.434888482348</c:v>
                      </c:pt>
                      <c:pt idx="616">
                        <c:v>48802.980985838512</c:v>
                      </c:pt>
                      <c:pt idx="617">
                        <c:v>48487.144729426887</c:v>
                      </c:pt>
                      <c:pt idx="618">
                        <c:v>48139.074199752613</c:v>
                      </c:pt>
                      <c:pt idx="619">
                        <c:v>47756.723613853203</c:v>
                      </c:pt>
                      <c:pt idx="620">
                        <c:v>47337.824480471478</c:v>
                      </c:pt>
                      <c:pt idx="621">
                        <c:v>46879.85120182352</c:v>
                      </c:pt>
                      <c:pt idx="622">
                        <c:v>46379.979819449029</c:v>
                      </c:pt>
                      <c:pt idx="623">
                        <c:v>45835.038248005359</c:v>
                      </c:pt>
                      <c:pt idx="624">
                        <c:v>45241.445882561238</c:v>
                      </c:pt>
                      <c:pt idx="625">
                        <c:v>44595.13987176941</c:v>
                      </c:pt>
                      <c:pt idx="626">
                        <c:v>43891.48458577499</c:v>
                      </c:pt>
                      <c:pt idx="627">
                        <c:v>43125.159837122294</c:v>
                      </c:pt>
                      <c:pt idx="628">
                        <c:v>42290.022209444098</c:v>
                      </c:pt>
                      <c:pt idx="629">
                        <c:v>41378.932428224245</c:v>
                      </c:pt>
                      <c:pt idx="630">
                        <c:v>40383.540200175688</c:v>
                      </c:pt>
                      <c:pt idx="631">
                        <c:v>39294.016758961414</c:v>
                      </c:pt>
                      <c:pt idx="632">
                        <c:v>38098.725523409179</c:v>
                      </c:pt>
                      <c:pt idx="633">
                        <c:v>36783.825226893103</c:v>
                      </c:pt>
                      <c:pt idx="634">
                        <c:v>35332.812971448075</c:v>
                      </c:pt>
                      <c:pt idx="635">
                        <c:v>33726.048094298647</c:v>
                      </c:pt>
                      <c:pt idx="636">
                        <c:v>31940.373095941348</c:v>
                      </c:pt>
                      <c:pt idx="637">
                        <c:v>29949.100622685521</c:v>
                      </c:pt>
                      <c:pt idx="638">
                        <c:v>27722.901867046858</c:v>
                      </c:pt>
                      <c:pt idx="639">
                        <c:v>25232.468432329377</c:v>
                      </c:pt>
                      <c:pt idx="640">
                        <c:v>22453.868954097285</c:v>
                      </c:pt>
                      <c:pt idx="641">
                        <c:v>19376.338080039561</c:v>
                      </c:pt>
                      <c:pt idx="642">
                        <c:v>16009.034210110489</c:v>
                      </c:pt>
                      <c:pt idx="643">
                        <c:v>12380.473674417928</c:v>
                      </c:pt>
                      <c:pt idx="644">
                        <c:v>8527.8266408687341</c:v>
                      </c:pt>
                      <c:pt idx="645">
                        <c:v>4482.0863649657713</c:v>
                      </c:pt>
                      <c:pt idx="646">
                        <c:v>256.14217716440464</c:v>
                      </c:pt>
                      <c:pt idx="647">
                        <c:v>-4166.1736342722597</c:v>
                      </c:pt>
                      <c:pt idx="648">
                        <c:v>-8829.3669557485173</c:v>
                      </c:pt>
                      <c:pt idx="649">
                        <c:v>-13738.95686603212</c:v>
                      </c:pt>
                      <c:pt idx="650">
                        <c:v>-18746.928212942712</c:v>
                      </c:pt>
                      <c:pt idx="651">
                        <c:v>-23614.264001911812</c:v>
                      </c:pt>
                      <c:pt idx="652">
                        <c:v>-28200.919702384883</c:v>
                      </c:pt>
                      <c:pt idx="653">
                        <c:v>-32493.263343781578</c:v>
                      </c:pt>
                      <c:pt idx="654">
                        <c:v>-36525.226880212504</c:v>
                      </c:pt>
                      <c:pt idx="655">
                        <c:v>-40335.943664344442</c:v>
                      </c:pt>
                      <c:pt idx="656">
                        <c:v>-43958.867772804137</c:v>
                      </c:pt>
                      <c:pt idx="657">
                        <c:v>-47420.764648469863</c:v>
                      </c:pt>
                      <c:pt idx="658">
                        <c:v>-50742.839925609172</c:v>
                      </c:pt>
                      <c:pt idx="659">
                        <c:v>-53942.023579190369</c:v>
                      </c:pt>
                      <c:pt idx="660">
                        <c:v>-57032.00888155985</c:v>
                      </c:pt>
                      <c:pt idx="661">
                        <c:v>-60024.027926904746</c:v>
                      </c:pt>
                      <c:pt idx="662">
                        <c:v>-62927.41949040108</c:v>
                      </c:pt>
                      <c:pt idx="663">
                        <c:v>-65750.045580815873</c:v>
                      </c:pt>
                      <c:pt idx="664">
                        <c:v>-68498.600039590034</c:v>
                      </c:pt>
                      <c:pt idx="665">
                        <c:v>-71178.840132597412</c:v>
                      </c:pt>
                      <c:pt idx="666">
                        <c:v>-73795.762751764865</c:v>
                      </c:pt>
                      <c:pt idx="667">
                        <c:v>-76353.740302433333</c:v>
                      </c:pt>
                      <c:pt idx="668">
                        <c:v>-78856.62686367135</c:v>
                      </c:pt>
                      <c:pt idx="669">
                        <c:v>-81307.842136723411</c:v>
                      </c:pt>
                      <c:pt idx="670">
                        <c:v>-83710.438582020957</c:v>
                      </c:pt>
                      <c:pt idx="671">
                        <c:v>-86067.155675150017</c:v>
                      </c:pt>
                      <c:pt idx="672">
                        <c:v>-88380.464178486945</c:v>
                      </c:pt>
                      <c:pt idx="673">
                        <c:v>-90652.602589485687</c:v>
                      </c:pt>
                      <c:pt idx="674">
                        <c:v>-92885.607396528168</c:v>
                      </c:pt>
                      <c:pt idx="675">
                        <c:v>-95081.338386774616</c:v>
                      </c:pt>
                      <c:pt idx="676">
                        <c:v>-97241.499965422525</c:v>
                      </c:pt>
                      <c:pt idx="677">
                        <c:v>-99367.65923326186</c:v>
                      </c:pt>
                      <c:pt idx="678">
                        <c:v>-101461.26140929786</c:v>
                      </c:pt>
                      <c:pt idx="679">
                        <c:v>-103523.64306338879</c:v>
                      </c:pt>
                      <c:pt idx="680">
                        <c:v>-105556.04353028977</c:v>
                      </c:pt>
                      <c:pt idx="681">
                        <c:v>-107559.61480401333</c:v>
                      </c:pt>
                      <c:pt idx="682">
                        <c:v>-109535.4301547978</c:v>
                      </c:pt>
                      <c:pt idx="683">
                        <c:v>-111484.49166639746</c:v>
                      </c:pt>
                      <c:pt idx="684">
                        <c:v>-113407.73685605293</c:v>
                      </c:pt>
                      <c:pt idx="685">
                        <c:v>-115306.04451126112</c:v>
                      </c:pt>
                      <c:pt idx="686">
                        <c:v>-117180.23985476077</c:v>
                      </c:pt>
                      <c:pt idx="687">
                        <c:v>-119031.09913078119</c:v>
                      </c:pt>
                      <c:pt idx="688">
                        <c:v>-120859.35369065352</c:v>
                      </c:pt>
                      <c:pt idx="689">
                        <c:v>-122665.69364364883</c:v>
                      </c:pt>
                      <c:pt idx="690">
                        <c:v>-124450.7711288415</c:v>
                      </c:pt>
                      <c:pt idx="691">
                        <c:v>-126215.20325547059</c:v>
                      </c:pt>
                      <c:pt idx="692">
                        <c:v>-127959.57475235481</c:v>
                      </c:pt>
                      <c:pt idx="693">
                        <c:v>-129684.44036114072</c:v>
                      </c:pt>
                      <c:pt idx="694">
                        <c:v>-131390.32700332234</c:v>
                      </c:pt>
                      <c:pt idx="695">
                        <c:v>-133077.73574689237</c:v>
                      </c:pt>
                      <c:pt idx="696">
                        <c:v>-134747.14359503938</c:v>
                      </c:pt>
                      <c:pt idx="697">
                        <c:v>-136399.00511637994</c:v>
                      </c:pt>
                      <c:pt idx="698">
                        <c:v>-138033.75393372448</c:v>
                      </c:pt>
                      <c:pt idx="699">
                        <c:v>-139651.80408624667</c:v>
                      </c:pt>
                      <c:pt idx="700">
                        <c:v>-141253.55127809994</c:v>
                      </c:pt>
                      <c:pt idx="701">
                        <c:v>-142839.37402495588</c:v>
                      </c:pt>
                      <c:pt idx="702">
                        <c:v>-144409.63470858254</c:v>
                      </c:pt>
                      <c:pt idx="703">
                        <c:v>-145964.68054840923</c:v>
                      </c:pt>
                      <c:pt idx="704">
                        <c:v>-147504.84449800552</c:v>
                      </c:pt>
                      <c:pt idx="705">
                        <c:v>-149030.44607351694</c:v>
                      </c:pt>
                      <c:pt idx="706">
                        <c:v>-150541.79212032672</c:v>
                      </c:pt>
                      <c:pt idx="707">
                        <c:v>-152039.17752353669</c:v>
                      </c:pt>
                      <c:pt idx="708">
                        <c:v>-153522.88586726726</c:v>
                      </c:pt>
                      <c:pt idx="709">
                        <c:v>-154993.19004725566</c:v>
                      </c:pt>
                      <c:pt idx="710">
                        <c:v>-156450.35284077196</c:v>
                      </c:pt>
                      <c:pt idx="711">
                        <c:v>-157894.62743746751</c:v>
                      </c:pt>
                      <c:pt idx="712">
                        <c:v>-159326.25793441074</c:v>
                      </c:pt>
                      <c:pt idx="713">
                        <c:v>-160745.47979824847</c:v>
                      </c:pt>
                      <c:pt idx="714">
                        <c:v>-162152.52029714745</c:v>
                      </c:pt>
                      <c:pt idx="715">
                        <c:v>-163547.59890491943</c:v>
                      </c:pt>
                      <c:pt idx="716">
                        <c:v>-164930.92767950951</c:v>
                      </c:pt>
                      <c:pt idx="717">
                        <c:v>-166302.71161782625</c:v>
                      </c:pt>
                      <c:pt idx="718">
                        <c:v>-167663.14898871351</c:v>
                      </c:pt>
                      <c:pt idx="719">
                        <c:v>-169012.43164570292</c:v>
                      </c:pt>
                      <c:pt idx="720">
                        <c:v>-170350.74532104167</c:v>
                      </c:pt>
                      <c:pt idx="721">
                        <c:v>-171678.26990236077</c:v>
                      </c:pt>
                      <c:pt idx="722">
                        <c:v>-172995.17969323165</c:v>
                      </c:pt>
                      <c:pt idx="723">
                        <c:v>-174301.64365875412</c:v>
                      </c:pt>
                      <c:pt idx="724">
                        <c:v>-175597.82565722326</c:v>
                      </c:pt>
                      <c:pt idx="725">
                        <c:v>-176883.88465883621</c:v>
                      </c:pt>
                      <c:pt idx="726">
                        <c:v>-178159.97495232281</c:v>
                      </c:pt>
                      <c:pt idx="727">
                        <c:v>-179426.24634031241</c:v>
                      </c:pt>
                      <c:pt idx="728">
                        <c:v>-180682.84432418534</c:v>
                      </c:pt>
                      <c:pt idx="729">
                        <c:v>-181929.91027909869</c:v>
                      </c:pt>
                      <c:pt idx="730">
                        <c:v>-183167.58161982373</c:v>
                      </c:pt>
                      <c:pt idx="731">
                        <c:v>-184395.9919579823</c:v>
                      </c:pt>
                      <c:pt idx="732">
                        <c:v>-185615.27125122689</c:v>
                      </c:pt>
                      <c:pt idx="733">
                        <c:v>-186825.54594486725</c:v>
                      </c:pt>
                      <c:pt idx="734">
                        <c:v>-188026.93910641051</c:v>
                      </c:pt>
                      <c:pt idx="735">
                        <c:v>-189219.57055344697</c:v>
                      </c:pt>
                      <c:pt idx="736">
                        <c:v>-190403.55697528322</c:v>
                      </c:pt>
                      <c:pt idx="737">
                        <c:v>-191579.0120486957</c:v>
                      </c:pt>
                      <c:pt idx="738">
                        <c:v>-192746.04654815144</c:v>
                      </c:pt>
                      <c:pt idx="739">
                        <c:v>-193904.76845081852</c:v>
                      </c:pt>
                      <c:pt idx="740">
                        <c:v>-195055.28303666718</c:v>
                      </c:pt>
                      <c:pt idx="741">
                        <c:v>-196197.6929839417</c:v>
                      </c:pt>
                      <c:pt idx="742">
                        <c:v>-197332.09846026395</c:v>
                      </c:pt>
                      <c:pt idx="743">
                        <c:v>-198458.5972096133</c:v>
                      </c:pt>
                      <c:pt idx="744">
                        <c:v>-199577.28463541032</c:v>
                      </c:pt>
                      <c:pt idx="745">
                        <c:v>-200688.25387991747</c:v>
                      </c:pt>
                      <c:pt idx="746">
                        <c:v>-201791.59590015622</c:v>
                      </c:pt>
                      <c:pt idx="747">
                        <c:v>-202887.3995405274</c:v>
                      </c:pt>
                      <c:pt idx="748">
                        <c:v>-203975.75160230926</c:v>
                      </c:pt>
                      <c:pt idx="749">
                        <c:v>-205056.73691019759</c:v>
                      </c:pt>
                      <c:pt idx="750">
                        <c:v>-206130.43837604162</c:v>
                      </c:pt>
                      <c:pt idx="751">
                        <c:v>-207196.93705991979</c:v>
                      </c:pt>
                      <c:pt idx="752">
                        <c:v>-208256.31222869156</c:v>
                      </c:pt>
                      <c:pt idx="753">
                        <c:v>-209308.64141215224</c:v>
                      </c:pt>
                      <c:pt idx="754">
                        <c:v>-210354.00045691102</c:v>
                      </c:pt>
                      <c:pt idx="755">
                        <c:v>-211392.46357810489</c:v>
                      </c:pt>
                      <c:pt idx="756">
                        <c:v>-212424.10340905481</c:v>
                      </c:pt>
                      <c:pt idx="757">
                        <c:v>-213448.99104896412</c:v>
                      </c:pt>
                      <c:pt idx="758">
                        <c:v>-214467.1961087535</c:v>
                      </c:pt>
                      <c:pt idx="759">
                        <c:v>-215478.78675512163</c:v>
                      </c:pt>
                      <c:pt idx="760">
                        <c:v>-216483.82975291539</c:v>
                      </c:pt>
                      <c:pt idx="761">
                        <c:v>-217482.39050588896</c:v>
                      </c:pt>
                      <c:pt idx="762">
                        <c:v>-218474.53309592669</c:v>
                      </c:pt>
                      <c:pt idx="763">
                        <c:v>-219460.32032080059</c:v>
                      </c:pt>
                      <c:pt idx="764">
                        <c:v>-220439.81373052931</c:v>
                      </c:pt>
                      <c:pt idx="765">
                        <c:v>-221413.07366240205</c:v>
                      </c:pt>
                      <c:pt idx="766">
                        <c:v>-222380.15927472731</c:v>
                      </c:pt>
                      <c:pt idx="767">
                        <c:v>-223341.12857936329</c:v>
                      </c:pt>
                      <c:pt idx="768">
                        <c:v>-224296.03847308355</c:v>
                      </c:pt>
                      <c:pt idx="769">
                        <c:v>-225244.94476782941</c:v>
                      </c:pt>
                      <c:pt idx="770">
                        <c:v>-226187.9022198969</c:v>
                      </c:pt>
                      <c:pt idx="771">
                        <c:v>-227124.96455810452</c:v>
                      </c:pt>
                      <c:pt idx="772">
                        <c:v>-228056.1845109851</c:v>
                      </c:pt>
                      <c:pt idx="773">
                        <c:v>-228981.61383304338</c:v>
                      </c:pt>
                      <c:pt idx="774">
                        <c:v>-229901.30333011842</c:v>
                      </c:pt>
                      <c:pt idx="775">
                        <c:v>-230815.30288388819</c:v>
                      </c:pt>
                      <c:pt idx="776">
                        <c:v>-231723.66147555195</c:v>
                      </c:pt>
                      <c:pt idx="777">
                        <c:v>-232626.42720872414</c:v>
                      </c:pt>
                      <c:pt idx="778">
                        <c:v>-233523.64733157176</c:v>
                      </c:pt>
                      <c:pt idx="779">
                        <c:v>-234415.36825822602</c:v>
                      </c:pt>
                      <c:pt idx="780">
                        <c:v>-235301.63558949737</c:v>
                      </c:pt>
                      <c:pt idx="781">
                        <c:v>-236182.49413292148</c:v>
                      </c:pt>
                      <c:pt idx="782">
                        <c:v>-237057.98792216292</c:v>
                      </c:pt>
                      <c:pt idx="783">
                        <c:v>-237928.1602358013</c:v>
                      </c:pt>
                      <c:pt idx="784">
                        <c:v>-238793.05361552449</c:v>
                      </c:pt>
                      <c:pt idx="785">
                        <c:v>-239652.7098837512</c:v>
                      </c:pt>
                      <c:pt idx="786">
                        <c:v>-240507.17016070537</c:v>
                      </c:pt>
                      <c:pt idx="787">
                        <c:v>-241356.47488096287</c:v>
                      </c:pt>
                      <c:pt idx="788">
                        <c:v>-242200.66380949083</c:v>
                      </c:pt>
                      <c:pt idx="789">
                        <c:v>-243039.77605719827</c:v>
                      </c:pt>
                      <c:pt idx="790">
                        <c:v>-243873.85009601648</c:v>
                      </c:pt>
                      <c:pt idx="791">
                        <c:v>-244702.92377352668</c:v>
                      </c:pt>
                      <c:pt idx="792">
                        <c:v>-245527.03432715117</c:v>
                      </c:pt>
                      <c:pt idx="793">
                        <c:v>-246346.21839792444</c:v>
                      </c:pt>
                      <c:pt idx="794">
                        <c:v>-247160.51204385914</c:v>
                      </c:pt>
                      <c:pt idx="795">
                        <c:v>-247969.95075292143</c:v>
                      </c:pt>
                      <c:pt idx="796">
                        <c:v>-248774.56945563018</c:v>
                      </c:pt>
                      <c:pt idx="797">
                        <c:v>-249574.40253729271</c:v>
                      </c:pt>
                      <c:pt idx="798">
                        <c:v>-250369.48384989047</c:v>
                      </c:pt>
                      <c:pt idx="799">
                        <c:v>-251159.84672362657</c:v>
                      </c:pt>
                      <c:pt idx="800">
                        <c:v>-251945.52397814707</c:v>
                      </c:pt>
                      <c:pt idx="801">
                        <c:v>-252726.54793344735</c:v>
                      </c:pt>
                      <c:pt idx="802">
                        <c:v>-253502.95042047443</c:v>
                      </c:pt>
                      <c:pt idx="803">
                        <c:v>-254274.76279143538</c:v>
                      </c:pt>
                      <c:pt idx="804">
                        <c:v>-255042.01592982202</c:v>
                      </c:pt>
                      <c:pt idx="805">
                        <c:v>-255804.74026016149</c:v>
                      </c:pt>
                      <c:pt idx="806">
                        <c:v>-256562.96575750166</c:v>
                      </c:pt>
                      <c:pt idx="807">
                        <c:v>-257316.72195664054</c:v>
                      </c:pt>
                      <c:pt idx="808">
                        <c:v>-258066.03796110774</c:v>
                      </c:pt>
                      <c:pt idx="809">
                        <c:v>-258810.94245190639</c:v>
                      </c:pt>
                      <c:pt idx="810">
                        <c:v>-259551.46369602354</c:v>
                      </c:pt>
                      <c:pt idx="811">
                        <c:v>-260287.62955471603</c:v>
                      </c:pt>
                      <c:pt idx="812">
                        <c:v>-261019.46749157956</c:v>
                      </c:pt>
                      <c:pt idx="813">
                        <c:v>-261747.00458040761</c:v>
                      </c:pt>
                      <c:pt idx="814">
                        <c:v>-262470.2675128472</c:v>
                      </c:pt>
                      <c:pt idx="815">
                        <c:v>-263189.28260585741</c:v>
                      </c:pt>
                      <c:pt idx="816">
                        <c:v>-263904.07580897777</c:v>
                      </c:pt>
                      <c:pt idx="817">
                        <c:v>-264614.6727114112</c:v>
                      </c:pt>
                      <c:pt idx="818">
                        <c:v>-265321.09854892874</c:v>
                      </c:pt>
                      <c:pt idx="819">
                        <c:v>-266023.37821060017</c:v>
                      </c:pt>
                      <c:pt idx="820">
                        <c:v>-266721.53624535719</c:v>
                      </c:pt>
                      <c:pt idx="821">
                        <c:v>-267415.59686839295</c:v>
                      </c:pt>
                      <c:pt idx="822">
                        <c:v>-268105.58396740415</c:v>
                      </c:pt>
                      <c:pt idx="823">
                        <c:v>-268791.52110867959</c:v>
                      </c:pt>
                      <c:pt idx="824">
                        <c:v>-269473.43154304038</c:v>
                      </c:pt>
                      <c:pt idx="825">
                        <c:v>-270151.33821163548</c:v>
                      </c:pt>
                      <c:pt idx="826">
                        <c:v>-270825.26375159802</c:v>
                      </c:pt>
                      <c:pt idx="827">
                        <c:v>-271495.23050156521</c:v>
                      </c:pt>
                      <c:pt idx="828">
                        <c:v>-272161.26050706703</c:v>
                      </c:pt>
                      <c:pt idx="829">
                        <c:v>-272823.3755257866</c:v>
                      </c:pt>
                      <c:pt idx="830">
                        <c:v>-273481.59703269659</c:v>
                      </c:pt>
                      <c:pt idx="831">
                        <c:v>-274135.94622507499</c:v>
                      </c:pt>
                      <c:pt idx="832">
                        <c:v>-274786.44402740343</c:v>
                      </c:pt>
                      <c:pt idx="833">
                        <c:v>-275433.11109615228</c:v>
                      </c:pt>
                      <c:pt idx="834">
                        <c:v>-276075.96782445483</c:v>
                      </c:pt>
                      <c:pt idx="835">
                        <c:v>-276715.03434667381</c:v>
                      </c:pt>
                      <c:pt idx="836">
                        <c:v>-277350.3305428641</c:v>
                      </c:pt>
                      <c:pt idx="837">
                        <c:v>-277981.8760431335</c:v>
                      </c:pt>
                      <c:pt idx="838">
                        <c:v>-278609.69023190497</c:v>
                      </c:pt>
                      <c:pt idx="839">
                        <c:v>-279233.79225208302</c:v>
                      </c:pt>
                      <c:pt idx="840">
                        <c:v>-279854.20100912655</c:v>
                      </c:pt>
                      <c:pt idx="841">
                        <c:v>-280470.93517503142</c:v>
                      </c:pt>
                      <c:pt idx="842">
                        <c:v>-281084.01319222414</c:v>
                      </c:pt>
                      <c:pt idx="843">
                        <c:v>-281693.45327737025</c:v>
                      </c:pt>
                      <c:pt idx="844">
                        <c:v>-282299.27342509892</c:v>
                      </c:pt>
                      <c:pt idx="845">
                        <c:v>-282901.49141164625</c:v>
                      </c:pt>
                      <c:pt idx="846">
                        <c:v>-283500.12479841925</c:v>
                      </c:pt>
                      <c:pt idx="847">
                        <c:v>-284095.1909354832</c:v>
                      </c:pt>
                      <c:pt idx="848">
                        <c:v>-284686.70696497353</c:v>
                      </c:pt>
                      <c:pt idx="849">
                        <c:v>-285274.68982443528</c:v>
                      </c:pt>
                      <c:pt idx="850">
                        <c:v>-285859.15625009069</c:v>
                      </c:pt>
                      <c:pt idx="851">
                        <c:v>-286440.12278003799</c:v>
                      </c:pt>
                      <c:pt idx="852">
                        <c:v>-287017.60575738287</c:v>
                      </c:pt>
                      <c:pt idx="853">
                        <c:v>-287591.6213333038</c:v>
                      </c:pt>
                      <c:pt idx="854">
                        <c:v>-288162.18547005346</c:v>
                      </c:pt>
                      <c:pt idx="855">
                        <c:v>-288729.3139438979</c:v>
                      </c:pt>
                      <c:pt idx="856">
                        <c:v>-289293.02234799461</c:v>
                      </c:pt>
                      <c:pt idx="857">
                        <c:v>-289853.32609521167</c:v>
                      </c:pt>
                      <c:pt idx="858">
                        <c:v>-290410.24042088876</c:v>
                      </c:pt>
                      <c:pt idx="859">
                        <c:v>-290963.78038554179</c:v>
                      </c:pt>
                      <c:pt idx="860">
                        <c:v>-291513.96087751311</c:v>
                      </c:pt>
                      <c:pt idx="861">
                        <c:v>-292060.79661556741</c:v>
                      </c:pt>
                      <c:pt idx="862">
                        <c:v>-292604.30215143593</c:v>
                      </c:pt>
                      <c:pt idx="863">
                        <c:v>-293144.49187230936</c:v>
                      </c:pt>
                      <c:pt idx="864">
                        <c:v>-293681.38000328117</c:v>
                      </c:pt>
                      <c:pt idx="865">
                        <c:v>-294214.9806097424</c:v>
                      </c:pt>
                      <c:pt idx="866">
                        <c:v>-294745.3075997291</c:v>
                      </c:pt>
                      <c:pt idx="867">
                        <c:v>-295272.37472622341</c:v>
                      </c:pt>
                      <c:pt idx="868">
                        <c:v>-295796.19558940985</c:v>
                      </c:pt>
                      <c:pt idx="869">
                        <c:v>-296316.78363888728</c:v>
                      </c:pt>
                      <c:pt idx="870">
                        <c:v>-296834.15217583813</c:v>
                      </c:pt>
                      <c:pt idx="871">
                        <c:v>-297348.31435515557</c:v>
                      </c:pt>
                      <c:pt idx="872">
                        <c:v>-297859.28318752965</c:v>
                      </c:pt>
                      <c:pt idx="873">
                        <c:v>-298367.07154149347</c:v>
                      </c:pt>
                      <c:pt idx="874">
                        <c:v>-298871.69214543054</c:v>
                      </c:pt>
                      <c:pt idx="875">
                        <c:v>-299373.15758954344</c:v>
                      </c:pt>
                      <c:pt idx="876">
                        <c:v>-299871.48032778577</c:v>
                      </c:pt>
                      <c:pt idx="877">
                        <c:v>-300366.67267975729</c:v>
                      </c:pt>
                      <c:pt idx="878">
                        <c:v>-300858.74683256366</c:v>
                      </c:pt>
                      <c:pt idx="879">
                        <c:v>-301347.7148426412</c:v>
                      </c:pt>
                      <c:pt idx="880">
                        <c:v>-301833.58863754809</c:v>
                      </c:pt>
                      <c:pt idx="881">
                        <c:v>-302316.38001772179</c:v>
                      </c:pt>
                      <c:pt idx="882">
                        <c:v>-302796.10065820452</c:v>
                      </c:pt>
                      <c:pt idx="883">
                        <c:v>-303272.76211033657</c:v>
                      </c:pt>
                      <c:pt idx="884">
                        <c:v>-303746.37580341904</c:v>
                      </c:pt>
                      <c:pt idx="885">
                        <c:v>-304216.95304634573</c:v>
                      </c:pt>
                      <c:pt idx="886">
                        <c:v>-304684.5050292057</c:v>
                      </c:pt>
                      <c:pt idx="887">
                        <c:v>-305149.04282485676</c:v>
                      </c:pt>
                      <c:pt idx="888">
                        <c:v>-305610.57739047066</c:v>
                      </c:pt>
                      <c:pt idx="889">
                        <c:v>-306069.11956905026</c:v>
                      </c:pt>
                      <c:pt idx="890">
                        <c:v>-306524.68009091972</c:v>
                      </c:pt>
                      <c:pt idx="891">
                        <c:v>-306977.26957518817</c:v>
                      </c:pt>
                      <c:pt idx="892">
                        <c:v>-307426.89853118756</c:v>
                      </c:pt>
                      <c:pt idx="893">
                        <c:v>-307873.5773598844</c:v>
                      </c:pt>
                      <c:pt idx="894">
                        <c:v>-308317.31635526754</c:v>
                      </c:pt>
                      <c:pt idx="895">
                        <c:v>-308758.12570571073</c:v>
                      </c:pt>
                      <c:pt idx="896">
                        <c:v>-309196.01549531217</c:v>
                      </c:pt>
                      <c:pt idx="897">
                        <c:v>-309630.99570520991</c:v>
                      </c:pt>
                      <c:pt idx="898">
                        <c:v>-310063.07621487504</c:v>
                      </c:pt>
                      <c:pt idx="899">
                        <c:v>-310492.26680338208</c:v>
                      </c:pt>
                      <c:pt idx="900">
                        <c:v>-310918.57715065789</c:v>
                      </c:pt>
                      <c:pt idx="901">
                        <c:v>-311342.01683870866</c:v>
                      </c:pt>
                      <c:pt idx="902">
                        <c:v>-311762.59535282641</c:v>
                      </c:pt>
                      <c:pt idx="903">
                        <c:v>-312180.32208277448</c:v>
                      </c:pt>
                      <c:pt idx="904">
                        <c:v>-312595.206323953</c:v>
                      </c:pt>
                      <c:pt idx="905">
                        <c:v>-313007.25727854489</c:v>
                      </c:pt>
                      <c:pt idx="906">
                        <c:v>-313416.48405664228</c:v>
                      </c:pt>
                      <c:pt idx="907">
                        <c:v>-313822.89567735384</c:v>
                      </c:pt>
                      <c:pt idx="908">
                        <c:v>-314226.50106989394</c:v>
                      </c:pt>
                      <c:pt idx="909">
                        <c:v>-314627.30907465349</c:v>
                      </c:pt>
                      <c:pt idx="910">
                        <c:v>-315025.32844425272</c:v>
                      </c:pt>
                      <c:pt idx="911">
                        <c:v>-315420.56784457684</c:v>
                      </c:pt>
                      <c:pt idx="912">
                        <c:v>-315813.03585579444</c:v>
                      </c:pt>
                      <c:pt idx="913">
                        <c:v>-316202.74097335897</c:v>
                      </c:pt>
                      <c:pt idx="914">
                        <c:v>-316589.69160899398</c:v>
                      </c:pt>
                      <c:pt idx="915">
                        <c:v>-316973.89609166229</c:v>
                      </c:pt>
                      <c:pt idx="916">
                        <c:v>-317355.36266851902</c:v>
                      </c:pt>
                      <c:pt idx="917">
                        <c:v>-317734.09950584959</c:v>
                      </c:pt>
                      <c:pt idx="918">
                        <c:v>-318110.11468999204</c:v>
                      </c:pt>
                      <c:pt idx="919">
                        <c:v>-318483.41622824472</c:v>
                      </c:pt>
                      <c:pt idx="920">
                        <c:v>-318854.01204975939</c:v>
                      </c:pt>
                      <c:pt idx="921">
                        <c:v>-319221.91000641993</c:v>
                      </c:pt>
                      <c:pt idx="922">
                        <c:v>-319587.1178737068</c:v>
                      </c:pt>
                      <c:pt idx="923">
                        <c:v>-319949.643351548</c:v>
                      </c:pt>
                      <c:pt idx="924">
                        <c:v>-320309.49406515644</c:v>
                      </c:pt>
                      <c:pt idx="925">
                        <c:v>-320666.67756585364</c:v>
                      </c:pt>
                      <c:pt idx="926">
                        <c:v>-321021.20133188111</c:v>
                      </c:pt>
                      <c:pt idx="927">
                        <c:v>-321373.07276919828</c:v>
                      </c:pt>
                      <c:pt idx="928">
                        <c:v>-321722.2992122682</c:v>
                      </c:pt>
                      <c:pt idx="929">
                        <c:v>-322068.88792483107</c:v>
                      </c:pt>
                      <c:pt idx="930">
                        <c:v>-322412.84610066522</c:v>
                      </c:pt>
                      <c:pt idx="931">
                        <c:v>-322754.18086433661</c:v>
                      </c:pt>
                      <c:pt idx="932">
                        <c:v>-323092.89927193674</c:v>
                      </c:pt>
                      <c:pt idx="933">
                        <c:v>-323429.00831180869</c:v>
                      </c:pt>
                      <c:pt idx="934">
                        <c:v>-323762.51490526239</c:v>
                      </c:pt>
                      <c:pt idx="935">
                        <c:v>-324093.42590727872</c:v>
                      </c:pt>
                      <c:pt idx="936">
                        <c:v>-324421.74810720258</c:v>
                      </c:pt>
                      <c:pt idx="937">
                        <c:v>-324747.48822942574</c:v>
                      </c:pt>
                      <c:pt idx="938">
                        <c:v>-325070.65293405886</c:v>
                      </c:pt>
                      <c:pt idx="939">
                        <c:v>-325391.24881759356</c:v>
                      </c:pt>
                      <c:pt idx="940">
                        <c:v>-325709.28241355432</c:v>
                      </c:pt>
                      <c:pt idx="941">
                        <c:v>-326024.76019314025</c:v>
                      </c:pt>
                      <c:pt idx="942">
                        <c:v>-326337.68856585771</c:v>
                      </c:pt>
                      <c:pt idx="943">
                        <c:v>-326648.07388014277</c:v>
                      </c:pt>
                      <c:pt idx="944">
                        <c:v>-326955.92242397461</c:v>
                      </c:pt>
                      <c:pt idx="945">
                        <c:v>-327261.24042547995</c:v>
                      </c:pt>
                      <c:pt idx="946">
                        <c:v>-327564.03405352781</c:v>
                      </c:pt>
                      <c:pt idx="947">
                        <c:v>-327864.30941831594</c:v>
                      </c:pt>
                      <c:pt idx="948">
                        <c:v>-328162.07257194823</c:v>
                      </c:pt>
                      <c:pt idx="949">
                        <c:v>-328457.32950900355</c:v>
                      </c:pt>
                      <c:pt idx="950">
                        <c:v>-328750.08616709628</c:v>
                      </c:pt>
                      <c:pt idx="951">
                        <c:v>-329040.3484274284</c:v>
                      </c:pt>
                      <c:pt idx="952">
                        <c:v>-329328.12211533351</c:v>
                      </c:pt>
                      <c:pt idx="953">
                        <c:v>-329613.4130008127</c:v>
                      </c:pt>
                      <c:pt idx="954">
                        <c:v>-329896.2267990628</c:v>
                      </c:pt>
                      <c:pt idx="955">
                        <c:v>-330176.56917099666</c:v>
                      </c:pt>
                      <c:pt idx="956">
                        <c:v>-330454.44572375575</c:v>
                      </c:pt>
                      <c:pt idx="957">
                        <c:v>-330729.86201121547</c:v>
                      </c:pt>
                      <c:pt idx="958">
                        <c:v>-331002.82353448303</c:v>
                      </c:pt>
                      <c:pt idx="959">
                        <c:v>-331273.33574238798</c:v>
                      </c:pt>
                      <c:pt idx="960">
                        <c:v>-331541.40403196571</c:v>
                      </c:pt>
                      <c:pt idx="961">
                        <c:v>-331807.03374893387</c:v>
                      </c:pt>
                      <c:pt idx="962">
                        <c:v>-332070.23018816207</c:v>
                      </c:pt>
                      <c:pt idx="963">
                        <c:v>-332330.99859413435</c:v>
                      </c:pt>
                      <c:pt idx="964">
                        <c:v>-332589.34416140569</c:v>
                      </c:pt>
                      <c:pt idx="965">
                        <c:v>-332845.2720350512</c:v>
                      </c:pt>
                      <c:pt idx="966">
                        <c:v>-333098.78731110931</c:v>
                      </c:pt>
                      <c:pt idx="967">
                        <c:v>-333349.89503701864</c:v>
                      </c:pt>
                      <c:pt idx="968">
                        <c:v>-333598.6002120481</c:v>
                      </c:pt>
                      <c:pt idx="969">
                        <c:v>-333844.90778772155</c:v>
                      </c:pt>
                      <c:pt idx="970">
                        <c:v>-334088.82266823581</c:v>
                      </c:pt>
                      <c:pt idx="971">
                        <c:v>-334330.34971087304</c:v>
                      </c:pt>
                      <c:pt idx="972">
                        <c:v>-334569.493726407</c:v>
                      </c:pt>
                      <c:pt idx="973">
                        <c:v>-334806.2594795039</c:v>
                      </c:pt>
                      <c:pt idx="974">
                        <c:v>-335040.65168911713</c:v>
                      </c:pt>
                      <c:pt idx="975">
                        <c:v>-335272.67502887669</c:v>
                      </c:pt>
                      <c:pt idx="976">
                        <c:v>-335502.33412747306</c:v>
                      </c:pt>
                      <c:pt idx="977">
                        <c:v>-335729.63356903539</c:v>
                      </c:pt>
                      <c:pt idx="978">
                        <c:v>-335954.57789350481</c:v>
                      </c:pt>
                      <c:pt idx="979">
                        <c:v>-336177.17159700196</c:v>
                      </c:pt>
                      <c:pt idx="980">
                        <c:v>-336397.41913218965</c:v>
                      </c:pt>
                      <c:pt idx="981">
                        <c:v>-336615.32490863046</c:v>
                      </c:pt>
                      <c:pt idx="982">
                        <c:v>-336830.89329313906</c:v>
                      </c:pt>
                      <c:pt idx="983">
                        <c:v>-337044.12861012982</c:v>
                      </c:pt>
                      <c:pt idx="984">
                        <c:v>-337255.03514195926</c:v>
                      </c:pt>
                      <c:pt idx="985">
                        <c:v>-337463.61712926411</c:v>
                      </c:pt>
                      <c:pt idx="986">
                        <c:v>-337669.87877129408</c:v>
                      </c:pt>
                      <c:pt idx="987">
                        <c:v>-337873.82422624051</c:v>
                      </c:pt>
                      <c:pt idx="988">
                        <c:v>-338075.45761156006</c:v>
                      </c:pt>
                      <c:pt idx="989">
                        <c:v>-338274.78300429409</c:v>
                      </c:pt>
                      <c:pt idx="990">
                        <c:v>-338471.80444138334</c:v>
                      </c:pt>
                      <c:pt idx="991">
                        <c:v>-338666.52591997839</c:v>
                      </c:pt>
                      <c:pt idx="992">
                        <c:v>-338858.9513977457</c:v>
                      </c:pt>
                      <c:pt idx="993">
                        <c:v>-339049.08479316946</c:v>
                      </c:pt>
                      <c:pt idx="994">
                        <c:v>-339236.92998584924</c:v>
                      </c:pt>
                      <c:pt idx="995">
                        <c:v>-339422.49081679317</c:v>
                      </c:pt>
                      <c:pt idx="996">
                        <c:v>-339605.77108870749</c:v>
                      </c:pt>
                      <c:pt idx="997">
                        <c:v>-339786.77456628188</c:v>
                      </c:pt>
                      <c:pt idx="998">
                        <c:v>-339965.50497647049</c:v>
                      </c:pt>
                      <c:pt idx="999">
                        <c:v>-340141.96600876958</c:v>
                      </c:pt>
                      <c:pt idx="1000">
                        <c:v>-340316.16131549096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FA23-41CC-9862-E662BA90CC5D}"/>
                  </c:ext>
                </c:extLst>
              </c15:ser>
            </c15:filteredScatterSeries>
          </c:ext>
        </c:extLst>
      </c:scatterChart>
      <c:valAx>
        <c:axId val="722209784"/>
        <c:scaling>
          <c:orientation val="minMax"/>
          <c:max val="50000"/>
          <c:min val="-5000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210112"/>
        <c:crosses val="autoZero"/>
        <c:crossBetween val="midCat"/>
      </c:valAx>
      <c:valAx>
        <c:axId val="722210112"/>
        <c:scaling>
          <c:orientation val="minMax"/>
          <c:max val="50000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2209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700386588467023E-3"/>
          <c:y val="5.8539991845606859E-4"/>
          <c:w val="0.99500180799929439"/>
          <c:h val="0.99941460008154392"/>
        </c:manualLayout>
      </c:layout>
      <c:scatterChart>
        <c:scatterStyle val="smoothMarker"/>
        <c:varyColors val="0"/>
        <c:ser>
          <c:idx val="0"/>
          <c:order val="0"/>
          <c:tx>
            <c:v>planète 1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'Conditions initiale'!$N$5:$N$1004</c:f>
              <c:numCache>
                <c:formatCode>General</c:formatCode>
                <c:ptCount val="1000"/>
                <c:pt idx="0">
                  <c:v>24999.901304280684</c:v>
                </c:pt>
                <c:pt idx="1">
                  <c:v>24999.605221019083</c:v>
                </c:pt>
                <c:pt idx="2">
                  <c:v>24999.111761904045</c:v>
                </c:pt>
                <c:pt idx="3">
                  <c:v>24998.4209464165</c:v>
                </c:pt>
                <c:pt idx="4">
                  <c:v>24997.53280182866</c:v>
                </c:pt>
                <c:pt idx="5">
                  <c:v>24996.447363202948</c:v>
                </c:pt>
                <c:pt idx="6">
                  <c:v>24995.164673390624</c:v>
                </c:pt>
                <c:pt idx="7">
                  <c:v>24993.684783030087</c:v>
                </c:pt>
                <c:pt idx="8">
                  <c:v>24992.007750544875</c:v>
                </c:pt>
                <c:pt idx="9">
                  <c:v>24990.133642141358</c:v>
                </c:pt>
                <c:pt idx="10">
                  <c:v>24988.062531806128</c:v>
                </c:pt>
                <c:pt idx="11">
                  <c:v>24985.794501303069</c:v>
                </c:pt>
                <c:pt idx="12">
                  <c:v>24983.329640170148</c:v>
                </c:pt>
                <c:pt idx="13">
                  <c:v>24980.668045715862</c:v>
                </c:pt>
                <c:pt idx="14">
                  <c:v>24977.809823015399</c:v>
                </c:pt>
                <c:pt idx="15">
                  <c:v>24974.755084906501</c:v>
                </c:pt>
                <c:pt idx="16">
                  <c:v>24971.503951984996</c:v>
                </c:pt>
                <c:pt idx="17">
                  <c:v>24968.056552600043</c:v>
                </c:pt>
                <c:pt idx="18">
                  <c:v>24964.413022849069</c:v>
                </c:pt>
                <c:pt idx="19">
                  <c:v>24960.573506572389</c:v>
                </c:pt>
                <c:pt idx="20">
                  <c:v>24956.538155347531</c:v>
                </c:pt>
                <c:pt idx="21">
                  <c:v>24952.307128483255</c:v>
                </c:pt>
                <c:pt idx="22">
                  <c:v>24947.880593013255</c:v>
                </c:pt>
                <c:pt idx="23">
                  <c:v>24943.258723689571</c:v>
                </c:pt>
                <c:pt idx="24">
                  <c:v>24938.441702975688</c:v>
                </c:pt>
                <c:pt idx="25">
                  <c:v>24933.429721039342</c:v>
                </c:pt>
                <c:pt idx="26">
                  <c:v>24928.22297574499</c:v>
                </c:pt>
                <c:pt idx="27">
                  <c:v>24922.821672646027</c:v>
                </c:pt>
                <c:pt idx="28">
                  <c:v>24917.226024976648</c:v>
                </c:pt>
                <c:pt idx="29">
                  <c:v>24911.436253643442</c:v>
                </c:pt>
                <c:pt idx="30">
                  <c:v>24905.452587216671</c:v>
                </c:pt>
                <c:pt idx="31">
                  <c:v>24899.275261921233</c:v>
                </c:pt>
                <c:pt idx="32">
                  <c:v>24892.904521627359</c:v>
                </c:pt>
                <c:pt idx="33">
                  <c:v>24886.340617840968</c:v>
                </c:pt>
                <c:pt idx="34">
                  <c:v>24879.583809693737</c:v>
                </c:pt>
                <c:pt idx="35">
                  <c:v>24872.634363932884</c:v>
                </c:pt>
                <c:pt idx="36">
                  <c:v>24865.492554910634</c:v>
                </c:pt>
                <c:pt idx="37">
                  <c:v>24858.15866457337</c:v>
                </c:pt>
                <c:pt idx="38">
                  <c:v>24850.63298245053</c:v>
                </c:pt>
                <c:pt idx="39">
                  <c:v>24842.915805643155</c:v>
                </c:pt>
                <c:pt idx="40">
                  <c:v>24835.007438812176</c:v>
                </c:pt>
                <c:pt idx="41">
                  <c:v>24826.908194166368</c:v>
                </c:pt>
                <c:pt idx="42">
                  <c:v>24818.618391450051</c:v>
                </c:pt>
                <c:pt idx="43">
                  <c:v>24810.138357930431</c:v>
                </c:pt>
                <c:pt idx="44">
                  <c:v>24801.468428384716</c:v>
                </c:pt>
                <c:pt idx="45">
                  <c:v>24792.608945086879</c:v>
                </c:pt>
                <c:pt idx="46">
                  <c:v>24783.560257794154</c:v>
                </c:pt>
                <c:pt idx="47">
                  <c:v>24774.322723733214</c:v>
                </c:pt>
                <c:pt idx="48">
                  <c:v>24764.896707586093</c:v>
                </c:pt>
                <c:pt idx="49">
                  <c:v>24755.282581475767</c:v>
                </c:pt>
                <c:pt idx="50">
                  <c:v>24745.480724951474</c:v>
                </c:pt>
                <c:pt idx="51">
                  <c:v>24735.491524973721</c:v>
                </c:pt>
                <c:pt idx="52">
                  <c:v>24725.315375899023</c:v>
                </c:pt>
                <c:pt idx="53">
                  <c:v>24714.952679464324</c:v>
                </c:pt>
                <c:pt idx="54">
                  <c:v>24704.403844771128</c:v>
                </c:pt>
                <c:pt idx="55">
                  <c:v>24693.669288269371</c:v>
                </c:pt>
                <c:pt idx="56">
                  <c:v>24682.749433740963</c:v>
                </c:pt>
                <c:pt idx="57">
                  <c:v>24671.644712283061</c:v>
                </c:pt>
                <c:pt idx="58">
                  <c:v>24660.355562291054</c:v>
                </c:pt>
                <c:pt idx="59">
                  <c:v>24648.882429441255</c:v>
                </c:pt>
                <c:pt idx="60">
                  <c:v>24637.225766673306</c:v>
                </c:pt>
                <c:pt idx="61">
                  <c:v>24625.38603417229</c:v>
                </c:pt>
                <c:pt idx="62">
                  <c:v>24613.363699350575</c:v>
                </c:pt>
                <c:pt idx="63">
                  <c:v>24601.159236829353</c:v>
                </c:pt>
                <c:pt idx="64">
                  <c:v>24588.773128419904</c:v>
                </c:pt>
                <c:pt idx="65">
                  <c:v>24576.205863104587</c:v>
                </c:pt>
                <c:pt idx="66">
                  <c:v>24563.457937017512</c:v>
                </c:pt>
                <c:pt idx="67">
                  <c:v>24550.529853424978</c:v>
                </c:pt>
                <c:pt idx="68">
                  <c:v>24537.422122705586</c:v>
                </c:pt>
                <c:pt idx="69">
                  <c:v>24524.135262330099</c:v>
                </c:pt>
                <c:pt idx="70">
                  <c:v>24510.669796841015</c:v>
                </c:pt>
                <c:pt idx="71">
                  <c:v>24497.026257831854</c:v>
                </c:pt>
                <c:pt idx="72">
                  <c:v>24483.20518392618</c:v>
                </c:pt>
                <c:pt idx="73">
                  <c:v>24469.20712075632</c:v>
                </c:pt>
                <c:pt idx="74">
                  <c:v>24455.032620941842</c:v>
                </c:pt>
                <c:pt idx="75">
                  <c:v>24440.682244067724</c:v>
                </c:pt>
                <c:pt idx="76">
                  <c:v>24426.156556662278</c:v>
                </c:pt>
                <c:pt idx="77">
                  <c:v>24411.456132174768</c:v>
                </c:pt>
                <c:pt idx="78">
                  <c:v>24396.581550952782</c:v>
                </c:pt>
                <c:pt idx="79">
                  <c:v>24381.533400219319</c:v>
                </c:pt>
                <c:pt idx="80">
                  <c:v>24366.3122740496</c:v>
                </c:pt>
                <c:pt idx="81">
                  <c:v>24350.918773347628</c:v>
                </c:pt>
                <c:pt idx="82">
                  <c:v>24335.353505822452</c:v>
                </c:pt>
                <c:pt idx="83">
                  <c:v>24319.617085964175</c:v>
                </c:pt>
                <c:pt idx="84">
                  <c:v>24303.710135019719</c:v>
                </c:pt>
                <c:pt idx="85">
                  <c:v>24287.633280968261</c:v>
                </c:pt>
                <c:pt idx="86">
                  <c:v>24271.387158496476</c:v>
                </c:pt>
                <c:pt idx="87">
                  <c:v>24254.972408973459</c:v>
                </c:pt>
                <c:pt idx="88">
                  <c:v>24238.389680425415</c:v>
                </c:pt>
                <c:pt idx="89">
                  <c:v>24221.639627510074</c:v>
                </c:pt>
                <c:pt idx="90">
                  <c:v>24204.722911490844</c:v>
                </c:pt>
                <c:pt idx="91">
                  <c:v>24187.640200210706</c:v>
                </c:pt>
                <c:pt idx="92">
                  <c:v>24170.392168065853</c:v>
                </c:pt>
                <c:pt idx="93">
                  <c:v>24152.97949597906</c:v>
                </c:pt>
                <c:pt idx="94">
                  <c:v>24135.402871372808</c:v>
                </c:pt>
                <c:pt idx="95">
                  <c:v>24117.662988142136</c:v>
                </c:pt>
                <c:pt idx="96">
                  <c:v>24099.760546627258</c:v>
                </c:pt>
                <c:pt idx="97">
                  <c:v>24081.696253585917</c:v>
                </c:pt>
                <c:pt idx="98">
                  <c:v>24063.470822165466</c:v>
                </c:pt>
                <c:pt idx="99">
                  <c:v>24045.084971874734</c:v>
                </c:pt>
                <c:pt idx="100">
                  <c:v>24026.539428555607</c:v>
                </c:pt>
                <c:pt idx="101">
                  <c:v>24007.834924354378</c:v>
                </c:pt>
                <c:pt idx="102">
                  <c:v>23988.972197692852</c:v>
                </c:pt>
                <c:pt idx="103">
                  <c:v>23969.951993239174</c:v>
                </c:pt>
                <c:pt idx="104">
                  <c:v>23950.775061878448</c:v>
                </c:pt>
                <c:pt idx="105">
                  <c:v>23931.442160683091</c:v>
                </c:pt>
                <c:pt idx="106">
                  <c:v>23911.954052882938</c:v>
                </c:pt>
                <c:pt idx="107">
                  <c:v>23892.311507835111</c:v>
                </c:pt>
                <c:pt idx="108">
                  <c:v>23872.515300993666</c:v>
                </c:pt>
                <c:pt idx="109">
                  <c:v>23852.566213878941</c:v>
                </c:pt>
                <c:pt idx="110">
                  <c:v>23832.465034046745</c:v>
                </c:pt>
                <c:pt idx="111">
                  <c:v>23812.212555057235</c:v>
                </c:pt>
                <c:pt idx="112">
                  <c:v>23791.809576443604</c:v>
                </c:pt>
                <c:pt idx="113">
                  <c:v>23771.256903680514</c:v>
                </c:pt>
                <c:pt idx="114">
                  <c:v>23750.555348152291</c:v>
                </c:pt>
                <c:pt idx="115">
                  <c:v>23729.705727120905</c:v>
                </c:pt>
                <c:pt idx="116">
                  <c:v>23708.70886369369</c:v>
                </c:pt>
                <c:pt idx="117">
                  <c:v>23687.565586790864</c:v>
                </c:pt>
                <c:pt idx="118">
                  <c:v>23666.276731112794</c:v>
                </c:pt>
                <c:pt idx="119">
                  <c:v>23644.843137107051</c:v>
                </c:pt>
                <c:pt idx="120">
                  <c:v>23623.265650935227</c:v>
                </c:pt>
                <c:pt idx="121">
                  <c:v>23601.545124439526</c:v>
                </c:pt>
                <c:pt idx="122">
                  <c:v>23579.68241510915</c:v>
                </c:pt>
                <c:pt idx="123">
                  <c:v>23557.67838604642</c:v>
                </c:pt>
                <c:pt idx="124">
                  <c:v>23535.533905932731</c:v>
                </c:pt>
                <c:pt idx="125">
                  <c:v>23513.249848994237</c:v>
                </c:pt>
                <c:pt idx="126">
                  <c:v>23490.827094967353</c:v>
                </c:pt>
                <c:pt idx="127">
                  <c:v>23468.266529064014</c:v>
                </c:pt>
                <c:pt idx="128">
                  <c:v>23445.569041936731</c:v>
                </c:pt>
                <c:pt idx="129">
                  <c:v>23422.735529643433</c:v>
                </c:pt>
                <c:pt idx="130">
                  <c:v>23399.766893612086</c:v>
                </c:pt>
                <c:pt idx="131">
                  <c:v>23376.664040605112</c:v>
                </c:pt>
                <c:pt idx="132">
                  <c:v>23353.427882683591</c:v>
                </c:pt>
                <c:pt idx="133">
                  <c:v>23330.059337171249</c:v>
                </c:pt>
                <c:pt idx="134">
                  <c:v>23306.559326618248</c:v>
                </c:pt>
                <c:pt idx="135">
                  <c:v>23282.92877876477</c:v>
                </c:pt>
                <c:pt idx="136">
                  <c:v>23259.168626504383</c:v>
                </c:pt>
                <c:pt idx="137">
                  <c:v>23235.279807847211</c:v>
                </c:pt>
                <c:pt idx="138">
                  <c:v>23211.26326588291</c:v>
                </c:pt>
                <c:pt idx="139">
                  <c:v>23187.119948743435</c:v>
                </c:pt>
                <c:pt idx="140">
                  <c:v>23162.850809565611</c:v>
                </c:pt>
                <c:pt idx="141">
                  <c:v>23138.456806453491</c:v>
                </c:pt>
                <c:pt idx="142">
                  <c:v>23113.93890244055</c:v>
                </c:pt>
                <c:pt idx="143">
                  <c:v>23089.298065451658</c:v>
                </c:pt>
                <c:pt idx="144">
                  <c:v>23064.53526826487</c:v>
                </c:pt>
                <c:pt idx="145">
                  <c:v>23039.651488473013</c:v>
                </c:pt>
                <c:pt idx="146">
                  <c:v>23014.647708445111</c:v>
                </c:pt>
                <c:pt idx="147">
                  <c:v>22989.52491528758</c:v>
                </c:pt>
                <c:pt idx="148">
                  <c:v>22964.284100805282</c:v>
                </c:pt>
                <c:pt idx="149">
                  <c:v>22938.926261462351</c:v>
                </c:pt>
                <c:pt idx="150">
                  <c:v>22913.452398342866</c:v>
                </c:pt>
                <c:pt idx="151">
                  <c:v>22887.863517111324</c:v>
                </c:pt>
                <c:pt idx="152">
                  <c:v>22862.160627972939</c:v>
                </c:pt>
                <c:pt idx="153">
                  <c:v>22836.344745633767</c:v>
                </c:pt>
                <c:pt idx="154">
                  <c:v>22810.416889260636</c:v>
                </c:pt>
                <c:pt idx="155">
                  <c:v>22784.378082440922</c:v>
                </c:pt>
                <c:pt idx="156">
                  <c:v>22758.229353142135</c:v>
                </c:pt>
                <c:pt idx="157">
                  <c:v>22731.971733671329</c:v>
                </c:pt>
                <c:pt idx="158">
                  <c:v>22705.606260634362</c:v>
                </c:pt>
                <c:pt idx="159">
                  <c:v>22679.133974894965</c:v>
                </c:pt>
                <c:pt idx="160">
                  <c:v>22652.555921533654</c:v>
                </c:pt>
                <c:pt idx="161">
                  <c:v>22625.873149806459</c:v>
                </c:pt>
                <c:pt idx="162">
                  <c:v>22599.08671310353</c:v>
                </c:pt>
                <c:pt idx="163">
                  <c:v>22572.197668907513</c:v>
                </c:pt>
                <c:pt idx="164">
                  <c:v>22545.207078751839</c:v>
                </c:pt>
                <c:pt idx="165">
                  <c:v>22518.116008178786</c:v>
                </c:pt>
                <c:pt idx="166">
                  <c:v>22490.925526697436</c:v>
                </c:pt>
                <c:pt idx="167">
                  <c:v>22463.63670774144</c:v>
                </c:pt>
                <c:pt idx="168">
                  <c:v>22436.250628626643</c:v>
                </c:pt>
                <c:pt idx="169">
                  <c:v>22408.768370508558</c:v>
                </c:pt>
                <c:pt idx="170">
                  <c:v>22381.191018339676</c:v>
                </c:pt>
                <c:pt idx="171">
                  <c:v>22353.519660826641</c:v>
                </c:pt>
                <c:pt idx="172">
                  <c:v>22325.755390387272</c:v>
                </c:pt>
                <c:pt idx="173">
                  <c:v>22297.899303107417</c:v>
                </c:pt>
                <c:pt idx="174">
                  <c:v>22269.952498697712</c:v>
                </c:pt>
                <c:pt idx="175">
                  <c:v>22241.916080450141</c:v>
                </c:pt>
                <c:pt idx="176">
                  <c:v>22213.791155194485</c:v>
                </c:pt>
                <c:pt idx="177">
                  <c:v>22185.578833254644</c:v>
                </c:pt>
                <c:pt idx="178">
                  <c:v>22157.280228404772</c:v>
                </c:pt>
                <c:pt idx="179">
                  <c:v>22128.89645782534</c:v>
                </c:pt>
                <c:pt idx="180">
                  <c:v>22100.428642059007</c:v>
                </c:pt>
                <c:pt idx="181">
                  <c:v>22071.877904966397</c:v>
                </c:pt>
                <c:pt idx="182">
                  <c:v>22043.245373681722</c:v>
                </c:pt>
                <c:pt idx="183">
                  <c:v>22014.53217856829</c:v>
                </c:pt>
                <c:pt idx="184">
                  <c:v>21985.739453173879</c:v>
                </c:pt>
                <c:pt idx="185">
                  <c:v>21956.868334185987</c:v>
                </c:pt>
                <c:pt idx="186">
                  <c:v>21927.919961386957</c:v>
                </c:pt>
                <c:pt idx="187">
                  <c:v>21898.895477608981</c:v>
                </c:pt>
                <c:pt idx="188">
                  <c:v>21869.796028688976</c:v>
                </c:pt>
                <c:pt idx="189">
                  <c:v>21840.622763423362</c:v>
                </c:pt>
                <c:pt idx="190">
                  <c:v>21811.376833522703</c:v>
                </c:pt>
                <c:pt idx="191">
                  <c:v>21782.059393566225</c:v>
                </c:pt>
                <c:pt idx="192">
                  <c:v>21752.671600956266</c:v>
                </c:pt>
                <c:pt idx="193">
                  <c:v>21723.214615872559</c:v>
                </c:pt>
                <c:pt idx="194">
                  <c:v>21693.68960122643</c:v>
                </c:pt>
                <c:pt idx="195">
                  <c:v>21664.097722614904</c:v>
                </c:pt>
                <c:pt idx="196">
                  <c:v>21634.440148274683</c:v>
                </c:pt>
                <c:pt idx="197">
                  <c:v>21604.718049036019</c:v>
                </c:pt>
                <c:pt idx="198">
                  <c:v>21574.932598276493</c:v>
                </c:pt>
                <c:pt idx="199">
                  <c:v>21545.084971874709</c:v>
                </c:pt>
                <c:pt idx="200">
                  <c:v>21515.176348163841</c:v>
                </c:pt>
                <c:pt idx="201">
                  <c:v>21485.207907885146</c:v>
                </c:pt>
                <c:pt idx="202">
                  <c:v>21455.180834141327</c:v>
                </c:pt>
                <c:pt idx="203">
                  <c:v>21425.096312349851</c:v>
                </c:pt>
                <c:pt idx="204">
                  <c:v>21394.955530196115</c:v>
                </c:pt>
                <c:pt idx="205">
                  <c:v>21364.759677586597</c:v>
                </c:pt>
                <c:pt idx="206">
                  <c:v>21334.509946601847</c:v>
                </c:pt>
                <c:pt idx="207">
                  <c:v>21304.207531449454</c:v>
                </c:pt>
                <c:pt idx="208">
                  <c:v>21273.85362841688</c:v>
                </c:pt>
                <c:pt idx="209">
                  <c:v>21243.449435824241</c:v>
                </c:pt>
                <c:pt idx="210">
                  <c:v>21212.996153977005</c:v>
                </c:pt>
                <c:pt idx="211">
                  <c:v>21182.494985118592</c:v>
                </c:pt>
                <c:pt idx="212">
                  <c:v>21151.947133382921</c:v>
                </c:pt>
                <c:pt idx="213">
                  <c:v>21121.353804746872</c:v>
                </c:pt>
                <c:pt idx="214">
                  <c:v>21090.716206982677</c:v>
                </c:pt>
                <c:pt idx="215">
                  <c:v>21060.035549610238</c:v>
                </c:pt>
                <c:pt idx="216">
                  <c:v>21029.313043849372</c:v>
                </c:pt>
                <c:pt idx="217">
                  <c:v>20998.549902572002</c:v>
                </c:pt>
                <c:pt idx="218">
                  <c:v>20967.747340254267</c:v>
                </c:pt>
                <c:pt idx="219">
                  <c:v>20936.906572928587</c:v>
                </c:pt>
                <c:pt idx="220">
                  <c:v>20906.028818135652</c:v>
                </c:pt>
                <c:pt idx="221">
                  <c:v>20875.115294876345</c:v>
                </c:pt>
                <c:pt idx="222">
                  <c:v>20844.167223563632</c:v>
                </c:pt>
                <c:pt idx="223">
                  <c:v>20813.185825974382</c:v>
                </c:pt>
                <c:pt idx="224">
                  <c:v>20782.172325201118</c:v>
                </c:pt>
                <c:pt idx="225">
                  <c:v>20751.127945603748</c:v>
                </c:pt>
                <c:pt idx="226">
                  <c:v>20720.053912761225</c:v>
                </c:pt>
                <c:pt idx="227">
                  <c:v>20688.951453423153</c:v>
                </c:pt>
                <c:pt idx="228">
                  <c:v>20657.821795461376</c:v>
                </c:pt>
                <c:pt idx="229">
                  <c:v>20626.666167821484</c:v>
                </c:pt>
                <c:pt idx="230">
                  <c:v>20595.485800474311</c:v>
                </c:pt>
                <c:pt idx="231">
                  <c:v>20564.281924367369</c:v>
                </c:pt>
                <c:pt idx="232">
                  <c:v>20533.055771376261</c:v>
                </c:pt>
                <c:pt idx="233">
                  <c:v>20501.808574256036</c:v>
                </c:pt>
                <c:pt idx="234">
                  <c:v>20470.541566592532</c:v>
                </c:pt>
                <c:pt idx="235">
                  <c:v>20439.255982753675</c:v>
                </c:pt>
                <c:pt idx="236">
                  <c:v>20407.953057840747</c:v>
                </c:pt>
                <c:pt idx="237">
                  <c:v>20376.634027639622</c:v>
                </c:pt>
                <c:pt idx="238">
                  <c:v>20345.300128571987</c:v>
                </c:pt>
                <c:pt idx="239">
                  <c:v>20313.952597646527</c:v>
                </c:pt>
                <c:pt idx="240">
                  <c:v>20282.592672410083</c:v>
                </c:pt>
                <c:pt idx="241">
                  <c:v>20251.221590898807</c:v>
                </c:pt>
                <c:pt idx="242">
                  <c:v>20219.840591589284</c:v>
                </c:pt>
                <c:pt idx="243">
                  <c:v>20188.450913349629</c:v>
                </c:pt>
                <c:pt idx="244">
                  <c:v>20157.053795390599</c:v>
                </c:pt>
                <c:pt idx="245">
                  <c:v>20125.650477216645</c:v>
                </c:pt>
                <c:pt idx="246">
                  <c:v>20094.242198576998</c:v>
                </c:pt>
                <c:pt idx="247">
                  <c:v>20062.83019941672</c:v>
                </c:pt>
                <c:pt idx="248">
                  <c:v>20031.41571982775</c:v>
                </c:pt>
                <c:pt idx="249">
                  <c:v>19999.999999999956</c:v>
                </c:pt>
                <c:pt idx="250">
                  <c:v>19968.584280172159</c:v>
                </c:pt>
                <c:pt idx="251">
                  <c:v>19937.169800583193</c:v>
                </c:pt>
                <c:pt idx="252">
                  <c:v>19905.757801422915</c:v>
                </c:pt>
                <c:pt idx="253">
                  <c:v>19874.349522783268</c:v>
                </c:pt>
                <c:pt idx="254">
                  <c:v>19842.946204609314</c:v>
                </c:pt>
                <c:pt idx="255">
                  <c:v>19811.549086650281</c:v>
                </c:pt>
                <c:pt idx="256">
                  <c:v>19780.159408410629</c:v>
                </c:pt>
                <c:pt idx="257">
                  <c:v>19748.778409101105</c:v>
                </c:pt>
                <c:pt idx="258">
                  <c:v>19717.40732758983</c:v>
                </c:pt>
                <c:pt idx="259">
                  <c:v>19686.047402353386</c:v>
                </c:pt>
                <c:pt idx="260">
                  <c:v>19654.699871427925</c:v>
                </c:pt>
                <c:pt idx="261">
                  <c:v>19623.36597236029</c:v>
                </c:pt>
                <c:pt idx="262">
                  <c:v>19592.046942159166</c:v>
                </c:pt>
                <c:pt idx="263">
                  <c:v>19560.744017246237</c:v>
                </c:pt>
                <c:pt idx="264">
                  <c:v>19529.458433407381</c:v>
                </c:pt>
                <c:pt idx="265">
                  <c:v>19498.191425743877</c:v>
                </c:pt>
                <c:pt idx="266">
                  <c:v>19466.944228623652</c:v>
                </c:pt>
                <c:pt idx="267">
                  <c:v>19435.718075632543</c:v>
                </c:pt>
                <c:pt idx="268">
                  <c:v>19404.514199525602</c:v>
                </c:pt>
                <c:pt idx="269">
                  <c:v>19373.333832178429</c:v>
                </c:pt>
                <c:pt idx="270">
                  <c:v>19342.178204538537</c:v>
                </c:pt>
                <c:pt idx="271">
                  <c:v>19311.04854657676</c:v>
                </c:pt>
                <c:pt idx="272">
                  <c:v>19279.946087238688</c:v>
                </c:pt>
                <c:pt idx="273">
                  <c:v>19248.872054396164</c:v>
                </c:pt>
                <c:pt idx="274">
                  <c:v>19217.827674798795</c:v>
                </c:pt>
                <c:pt idx="275">
                  <c:v>19186.814174025531</c:v>
                </c:pt>
                <c:pt idx="276">
                  <c:v>19155.83277643628</c:v>
                </c:pt>
                <c:pt idx="277">
                  <c:v>19124.884705123568</c:v>
                </c:pt>
                <c:pt idx="278">
                  <c:v>19093.971181864261</c:v>
                </c:pt>
                <c:pt idx="279">
                  <c:v>19063.093427071326</c:v>
                </c:pt>
                <c:pt idx="280">
                  <c:v>19032.252659745649</c:v>
                </c:pt>
                <c:pt idx="281">
                  <c:v>19001.450097427914</c:v>
                </c:pt>
                <c:pt idx="282">
                  <c:v>18970.686956150541</c:v>
                </c:pt>
                <c:pt idx="283">
                  <c:v>18939.964450389674</c:v>
                </c:pt>
                <c:pt idx="284">
                  <c:v>18909.283793017235</c:v>
                </c:pt>
                <c:pt idx="285">
                  <c:v>18878.646195253041</c:v>
                </c:pt>
                <c:pt idx="286">
                  <c:v>18848.052866616996</c:v>
                </c:pt>
                <c:pt idx="287">
                  <c:v>18817.505014881324</c:v>
                </c:pt>
                <c:pt idx="288">
                  <c:v>18787.003846022912</c:v>
                </c:pt>
                <c:pt idx="289">
                  <c:v>18756.550564175672</c:v>
                </c:pt>
                <c:pt idx="290">
                  <c:v>18726.146371583036</c:v>
                </c:pt>
                <c:pt idx="291">
                  <c:v>18695.792468550462</c:v>
                </c:pt>
                <c:pt idx="292">
                  <c:v>18665.490053398069</c:v>
                </c:pt>
                <c:pt idx="293">
                  <c:v>18635.24032241332</c:v>
                </c:pt>
                <c:pt idx="294">
                  <c:v>18605.044469803801</c:v>
                </c:pt>
                <c:pt idx="295">
                  <c:v>18574.903687650065</c:v>
                </c:pt>
                <c:pt idx="296">
                  <c:v>18544.819165858586</c:v>
                </c:pt>
                <c:pt idx="297">
                  <c:v>18514.792092114771</c:v>
                </c:pt>
                <c:pt idx="298">
                  <c:v>18484.823651836075</c:v>
                </c:pt>
                <c:pt idx="299">
                  <c:v>18454.915028125208</c:v>
                </c:pt>
                <c:pt idx="300">
                  <c:v>18425.06740172342</c:v>
                </c:pt>
                <c:pt idx="301">
                  <c:v>18395.281950963898</c:v>
                </c:pt>
                <c:pt idx="302">
                  <c:v>18365.559851725233</c:v>
                </c:pt>
                <c:pt idx="303">
                  <c:v>18335.902277385012</c:v>
                </c:pt>
                <c:pt idx="304">
                  <c:v>18306.310398773487</c:v>
                </c:pt>
                <c:pt idx="305">
                  <c:v>18276.785384127361</c:v>
                </c:pt>
                <c:pt idx="306">
                  <c:v>18247.32839904365</c:v>
                </c:pt>
                <c:pt idx="307">
                  <c:v>18217.940606433691</c:v>
                </c:pt>
                <c:pt idx="308">
                  <c:v>18188.623166477217</c:v>
                </c:pt>
                <c:pt idx="309">
                  <c:v>18159.377236576554</c:v>
                </c:pt>
                <c:pt idx="310">
                  <c:v>18130.203971310941</c:v>
                </c:pt>
                <c:pt idx="311">
                  <c:v>18101.104522390939</c:v>
                </c:pt>
                <c:pt idx="312">
                  <c:v>18072.080038612963</c:v>
                </c:pt>
                <c:pt idx="313">
                  <c:v>18043.131665813933</c:v>
                </c:pt>
                <c:pt idx="314">
                  <c:v>18014.260546826041</c:v>
                </c:pt>
                <c:pt idx="315">
                  <c:v>17985.46782143163</c:v>
                </c:pt>
                <c:pt idx="316">
                  <c:v>17956.754626318198</c:v>
                </c:pt>
                <c:pt idx="317">
                  <c:v>17928.122095033523</c:v>
                </c:pt>
                <c:pt idx="318">
                  <c:v>17899.571357940913</c:v>
                </c:pt>
                <c:pt idx="319">
                  <c:v>17871.10354217458</c:v>
                </c:pt>
                <c:pt idx="320">
                  <c:v>17842.719771595148</c:v>
                </c:pt>
                <c:pt idx="321">
                  <c:v>17814.42116674528</c:v>
                </c:pt>
                <c:pt idx="322">
                  <c:v>17786.208844805435</c:v>
                </c:pt>
                <c:pt idx="323">
                  <c:v>17758.083919549783</c:v>
                </c:pt>
                <c:pt idx="324">
                  <c:v>17730.047501302208</c:v>
                </c:pt>
                <c:pt idx="325">
                  <c:v>17702.100696892503</c:v>
                </c:pt>
                <c:pt idx="326">
                  <c:v>17674.244609612651</c:v>
                </c:pt>
                <c:pt idx="327">
                  <c:v>17646.480339173278</c:v>
                </c:pt>
                <c:pt idx="328">
                  <c:v>17618.808981660248</c:v>
                </c:pt>
                <c:pt idx="329">
                  <c:v>17591.231629491365</c:v>
                </c:pt>
                <c:pt idx="330">
                  <c:v>17563.74937137328</c:v>
                </c:pt>
                <c:pt idx="331">
                  <c:v>17536.363292258484</c:v>
                </c:pt>
                <c:pt idx="332">
                  <c:v>17509.074473302488</c:v>
                </c:pt>
                <c:pt idx="333">
                  <c:v>17481.883991821138</c:v>
                </c:pt>
                <c:pt idx="334">
                  <c:v>17454.792921248085</c:v>
                </c:pt>
                <c:pt idx="335">
                  <c:v>17427.802331092411</c:v>
                </c:pt>
                <c:pt idx="336">
                  <c:v>17400.913286896393</c:v>
                </c:pt>
                <c:pt idx="337">
                  <c:v>17374.126850193465</c:v>
                </c:pt>
                <c:pt idx="338">
                  <c:v>17347.444078466273</c:v>
                </c:pt>
                <c:pt idx="339">
                  <c:v>17320.866025104959</c:v>
                </c:pt>
                <c:pt idx="340">
                  <c:v>17294.393739365565</c:v>
                </c:pt>
                <c:pt idx="341">
                  <c:v>17268.028266328598</c:v>
                </c:pt>
                <c:pt idx="342">
                  <c:v>17241.770646857793</c:v>
                </c:pt>
                <c:pt idx="343">
                  <c:v>17215.621917559001</c:v>
                </c:pt>
                <c:pt idx="344">
                  <c:v>17189.583110739291</c:v>
                </c:pt>
                <c:pt idx="345">
                  <c:v>17163.65525436616</c:v>
                </c:pt>
                <c:pt idx="346">
                  <c:v>17137.839372026989</c:v>
                </c:pt>
                <c:pt idx="347">
                  <c:v>17112.136482888603</c:v>
                </c:pt>
                <c:pt idx="348">
                  <c:v>17086.547601657061</c:v>
                </c:pt>
                <c:pt idx="349">
                  <c:v>17061.073738537576</c:v>
                </c:pt>
                <c:pt idx="350">
                  <c:v>17035.715899194645</c:v>
                </c:pt>
                <c:pt idx="351">
                  <c:v>17010.475084712351</c:v>
                </c:pt>
                <c:pt idx="352">
                  <c:v>16985.35229155482</c:v>
                </c:pt>
                <c:pt idx="353">
                  <c:v>16960.348511526914</c:v>
                </c:pt>
                <c:pt idx="354">
                  <c:v>16935.464731735061</c:v>
                </c:pt>
                <c:pt idx="355">
                  <c:v>16910.701934548273</c:v>
                </c:pt>
                <c:pt idx="356">
                  <c:v>16886.061097559381</c:v>
                </c:pt>
                <c:pt idx="357">
                  <c:v>16861.54319354644</c:v>
                </c:pt>
                <c:pt idx="358">
                  <c:v>16837.14919043432</c:v>
                </c:pt>
                <c:pt idx="359">
                  <c:v>16812.880051256496</c:v>
                </c:pt>
                <c:pt idx="360">
                  <c:v>16788.736734117021</c:v>
                </c:pt>
                <c:pt idx="361">
                  <c:v>16764.720192152723</c:v>
                </c:pt>
                <c:pt idx="362">
                  <c:v>16740.831373495552</c:v>
                </c:pt>
                <c:pt idx="363">
                  <c:v>16717.071221235161</c:v>
                </c:pt>
                <c:pt idx="364">
                  <c:v>16693.440673381687</c:v>
                </c:pt>
                <c:pt idx="365">
                  <c:v>16669.940662828685</c:v>
                </c:pt>
                <c:pt idx="366">
                  <c:v>16646.572117316344</c:v>
                </c:pt>
                <c:pt idx="367">
                  <c:v>16623.335959394823</c:v>
                </c:pt>
                <c:pt idx="368">
                  <c:v>16600.233106387848</c:v>
                </c:pt>
                <c:pt idx="369">
                  <c:v>16577.264470356502</c:v>
                </c:pt>
                <c:pt idx="370">
                  <c:v>16554.430958063203</c:v>
                </c:pt>
                <c:pt idx="371">
                  <c:v>16531.73347093592</c:v>
                </c:pt>
                <c:pt idx="372">
                  <c:v>16509.172905032581</c:v>
                </c:pt>
                <c:pt idx="373">
                  <c:v>16486.750151005697</c:v>
                </c:pt>
                <c:pt idx="374">
                  <c:v>16464.466094067207</c:v>
                </c:pt>
                <c:pt idx="375">
                  <c:v>16442.321613953518</c:v>
                </c:pt>
                <c:pt idx="376">
                  <c:v>16420.317584890789</c:v>
                </c:pt>
                <c:pt idx="377">
                  <c:v>16398.454875560412</c:v>
                </c:pt>
                <c:pt idx="378">
                  <c:v>16376.734349064713</c:v>
                </c:pt>
                <c:pt idx="379">
                  <c:v>16355.156862892889</c:v>
                </c:pt>
                <c:pt idx="380">
                  <c:v>16333.723268887146</c:v>
                </c:pt>
                <c:pt idx="381">
                  <c:v>16312.434413209077</c:v>
                </c:pt>
                <c:pt idx="382">
                  <c:v>16291.29113630625</c:v>
                </c:pt>
                <c:pt idx="383">
                  <c:v>16270.294272879037</c:v>
                </c:pt>
                <c:pt idx="384">
                  <c:v>16249.444651847649</c:v>
                </c:pt>
                <c:pt idx="385">
                  <c:v>16228.743096319427</c:v>
                </c:pt>
                <c:pt idx="386">
                  <c:v>16208.190423556338</c:v>
                </c:pt>
                <c:pt idx="387">
                  <c:v>16187.787444942709</c:v>
                </c:pt>
                <c:pt idx="388">
                  <c:v>16167.534965953198</c:v>
                </c:pt>
                <c:pt idx="389">
                  <c:v>16147.433786121002</c:v>
                </c:pt>
                <c:pt idx="390">
                  <c:v>16127.48469900628</c:v>
                </c:pt>
                <c:pt idx="391">
                  <c:v>16107.688492164831</c:v>
                </c:pt>
                <c:pt idx="392">
                  <c:v>16088.045947117009</c:v>
                </c:pt>
                <c:pt idx="393">
                  <c:v>16068.557839316854</c:v>
                </c:pt>
                <c:pt idx="394">
                  <c:v>16049.224938121497</c:v>
                </c:pt>
                <c:pt idx="395">
                  <c:v>16030.048006760773</c:v>
                </c:pt>
                <c:pt idx="396">
                  <c:v>16011.027802307095</c:v>
                </c:pt>
                <c:pt idx="397">
                  <c:v>15992.165075645567</c:v>
                </c:pt>
                <c:pt idx="398">
                  <c:v>15973.460571444341</c:v>
                </c:pt>
                <c:pt idx="399">
                  <c:v>15954.915028125213</c:v>
                </c:pt>
                <c:pt idx="400">
                  <c:v>15936.529177834482</c:v>
                </c:pt>
                <c:pt idx="401">
                  <c:v>15918.303746414033</c:v>
                </c:pt>
                <c:pt idx="402">
                  <c:v>15900.239453372691</c:v>
                </c:pt>
                <c:pt idx="403">
                  <c:v>15882.337011857813</c:v>
                </c:pt>
                <c:pt idx="404">
                  <c:v>15864.597128627143</c:v>
                </c:pt>
                <c:pt idx="405">
                  <c:v>15847.020504020889</c:v>
                </c:pt>
                <c:pt idx="406">
                  <c:v>15829.607831934096</c:v>
                </c:pt>
                <c:pt idx="407">
                  <c:v>15812.359799789245</c:v>
                </c:pt>
                <c:pt idx="408">
                  <c:v>15795.277088509109</c:v>
                </c:pt>
                <c:pt idx="409">
                  <c:v>15778.360372489879</c:v>
                </c:pt>
                <c:pt idx="410">
                  <c:v>15761.610319574538</c:v>
                </c:pt>
                <c:pt idx="411">
                  <c:v>15745.027591026494</c:v>
                </c:pt>
                <c:pt idx="412">
                  <c:v>15728.61284150348</c:v>
                </c:pt>
                <c:pt idx="413">
                  <c:v>15712.366719031694</c:v>
                </c:pt>
                <c:pt idx="414">
                  <c:v>15696.289864980237</c:v>
                </c:pt>
                <c:pt idx="415">
                  <c:v>15680.382914035779</c:v>
                </c:pt>
                <c:pt idx="416">
                  <c:v>15664.646494177505</c:v>
                </c:pt>
                <c:pt idx="417">
                  <c:v>15649.081226652328</c:v>
                </c:pt>
                <c:pt idx="418">
                  <c:v>15633.687725950356</c:v>
                </c:pt>
                <c:pt idx="419">
                  <c:v>15618.466599780641</c:v>
                </c:pt>
                <c:pt idx="420">
                  <c:v>15603.418449047176</c:v>
                </c:pt>
                <c:pt idx="421">
                  <c:v>15588.543867825192</c:v>
                </c:pt>
                <c:pt idx="422">
                  <c:v>15573.843443337682</c:v>
                </c:pt>
                <c:pt idx="423">
                  <c:v>15559.317755932236</c:v>
                </c:pt>
                <c:pt idx="424">
                  <c:v>15544.967379058118</c:v>
                </c:pt>
                <c:pt idx="425">
                  <c:v>15530.79287924364</c:v>
                </c:pt>
                <c:pt idx="426">
                  <c:v>15516.79481607378</c:v>
                </c:pt>
                <c:pt idx="427">
                  <c:v>15502.973742168106</c:v>
                </c:pt>
                <c:pt idx="428">
                  <c:v>15489.330203158946</c:v>
                </c:pt>
                <c:pt idx="429">
                  <c:v>15475.864737669865</c:v>
                </c:pt>
                <c:pt idx="430">
                  <c:v>15462.577877294378</c:v>
                </c:pt>
                <c:pt idx="431">
                  <c:v>15449.470146574982</c:v>
                </c:pt>
                <c:pt idx="432">
                  <c:v>15436.542062982448</c:v>
                </c:pt>
                <c:pt idx="433">
                  <c:v>15423.794136895374</c:v>
                </c:pt>
                <c:pt idx="434">
                  <c:v>15411.226871580056</c:v>
                </c:pt>
                <c:pt idx="435">
                  <c:v>15398.840763170612</c:v>
                </c:pt>
                <c:pt idx="436">
                  <c:v>15386.636300649388</c:v>
                </c:pt>
                <c:pt idx="437">
                  <c:v>15374.613965827673</c:v>
                </c:pt>
                <c:pt idx="438">
                  <c:v>15362.774233326658</c:v>
                </c:pt>
                <c:pt idx="439">
                  <c:v>15351.117570558708</c:v>
                </c:pt>
                <c:pt idx="440">
                  <c:v>15339.64443770891</c:v>
                </c:pt>
                <c:pt idx="441">
                  <c:v>15328.355287716906</c:v>
                </c:pt>
                <c:pt idx="442">
                  <c:v>15317.250566259005</c:v>
                </c:pt>
                <c:pt idx="443">
                  <c:v>15306.330711730596</c:v>
                </c:pt>
                <c:pt idx="444">
                  <c:v>15295.596155228839</c:v>
                </c:pt>
                <c:pt idx="445">
                  <c:v>15285.047320535647</c:v>
                </c:pt>
                <c:pt idx="446">
                  <c:v>15274.684624100944</c:v>
                </c:pt>
                <c:pt idx="447">
                  <c:v>15264.508475026247</c:v>
                </c:pt>
                <c:pt idx="448">
                  <c:v>15254.519275048497</c:v>
                </c:pt>
                <c:pt idx="449">
                  <c:v>15244.717418524202</c:v>
                </c:pt>
                <c:pt idx="450">
                  <c:v>15235.103292413876</c:v>
                </c:pt>
                <c:pt idx="451">
                  <c:v>15225.677276266757</c:v>
                </c:pt>
                <c:pt idx="452">
                  <c:v>15216.439742205819</c:v>
                </c:pt>
                <c:pt idx="453">
                  <c:v>15207.391054913092</c:v>
                </c:pt>
                <c:pt idx="454">
                  <c:v>15198.531571615258</c:v>
                </c:pt>
                <c:pt idx="455">
                  <c:v>15189.861642069543</c:v>
                </c:pt>
                <c:pt idx="456">
                  <c:v>15181.381608549924</c:v>
                </c:pt>
                <c:pt idx="457">
                  <c:v>15173.091805833605</c:v>
                </c:pt>
                <c:pt idx="458">
                  <c:v>15164.992561187799</c:v>
                </c:pt>
                <c:pt idx="459">
                  <c:v>15157.084194356819</c:v>
                </c:pt>
                <c:pt idx="460">
                  <c:v>15149.367017549446</c:v>
                </c:pt>
                <c:pt idx="461">
                  <c:v>15141.841335426607</c:v>
                </c:pt>
                <c:pt idx="462">
                  <c:v>15134.507445089344</c:v>
                </c:pt>
                <c:pt idx="463">
                  <c:v>15127.365636067092</c:v>
                </c:pt>
                <c:pt idx="464">
                  <c:v>15120.416190306241</c:v>
                </c:pt>
                <c:pt idx="465">
                  <c:v>15113.65938215901</c:v>
                </c:pt>
                <c:pt idx="466">
                  <c:v>15107.095478372619</c:v>
                </c:pt>
                <c:pt idx="467">
                  <c:v>15100.724738078745</c:v>
                </c:pt>
                <c:pt idx="468">
                  <c:v>15094.547412783309</c:v>
                </c:pt>
                <c:pt idx="469">
                  <c:v>15088.563746356536</c:v>
                </c:pt>
                <c:pt idx="470">
                  <c:v>15082.773975023334</c:v>
                </c:pt>
                <c:pt idx="471">
                  <c:v>15077.178327353955</c:v>
                </c:pt>
                <c:pt idx="472">
                  <c:v>15071.777024254992</c:v>
                </c:pt>
                <c:pt idx="473">
                  <c:v>15066.570278960644</c:v>
                </c:pt>
                <c:pt idx="474">
                  <c:v>15061.558297024294</c:v>
                </c:pt>
                <c:pt idx="475">
                  <c:v>15056.741276310415</c:v>
                </c:pt>
                <c:pt idx="476">
                  <c:v>15052.119406986731</c:v>
                </c:pt>
                <c:pt idx="477">
                  <c:v>15047.692871516731</c:v>
                </c:pt>
                <c:pt idx="478">
                  <c:v>15043.461844652453</c:v>
                </c:pt>
                <c:pt idx="479">
                  <c:v>15039.426493427598</c:v>
                </c:pt>
                <c:pt idx="480">
                  <c:v>15035.586977150921</c:v>
                </c:pt>
                <c:pt idx="481">
                  <c:v>15031.943447399946</c:v>
                </c:pt>
                <c:pt idx="482">
                  <c:v>15028.496048014993</c:v>
                </c:pt>
                <c:pt idx="483">
                  <c:v>15025.244915093488</c:v>
                </c:pt>
                <c:pt idx="484">
                  <c:v>15022.19017698459</c:v>
                </c:pt>
                <c:pt idx="485">
                  <c:v>15019.331954284127</c:v>
                </c:pt>
                <c:pt idx="486">
                  <c:v>15016.670359829841</c:v>
                </c:pt>
                <c:pt idx="487">
                  <c:v>15014.205498696923</c:v>
                </c:pt>
                <c:pt idx="488">
                  <c:v>15011.937468193868</c:v>
                </c:pt>
                <c:pt idx="489">
                  <c:v>15009.866357858635</c:v>
                </c:pt>
                <c:pt idx="490">
                  <c:v>15007.992249455119</c:v>
                </c:pt>
                <c:pt idx="491">
                  <c:v>15006.315216969906</c:v>
                </c:pt>
                <c:pt idx="492">
                  <c:v>15004.835326609373</c:v>
                </c:pt>
                <c:pt idx="493">
                  <c:v>15003.552636797049</c:v>
                </c:pt>
                <c:pt idx="494">
                  <c:v>15002.46719817134</c:v>
                </c:pt>
                <c:pt idx="495">
                  <c:v>15001.579053583497</c:v>
                </c:pt>
                <c:pt idx="496">
                  <c:v>15000.888238095953</c:v>
                </c:pt>
                <c:pt idx="497">
                  <c:v>15000.394778980917</c:v>
                </c:pt>
                <c:pt idx="498">
                  <c:v>15000.098695719313</c:v>
                </c:pt>
                <c:pt idx="499">
                  <c:v>15000</c:v>
                </c:pt>
                <c:pt idx="500">
                  <c:v>15000.098695719316</c:v>
                </c:pt>
                <c:pt idx="501">
                  <c:v>15000.394778980921</c:v>
                </c:pt>
                <c:pt idx="502">
                  <c:v>15000.888238095957</c:v>
                </c:pt>
                <c:pt idx="503">
                  <c:v>15001.579053583504</c:v>
                </c:pt>
                <c:pt idx="504">
                  <c:v>15002.467198171345</c:v>
                </c:pt>
                <c:pt idx="505">
                  <c:v>15003.552636797058</c:v>
                </c:pt>
                <c:pt idx="506">
                  <c:v>15004.835326609382</c:v>
                </c:pt>
                <c:pt idx="507">
                  <c:v>15006.315216969917</c:v>
                </c:pt>
                <c:pt idx="508">
                  <c:v>15007.992249455132</c:v>
                </c:pt>
                <c:pt idx="509">
                  <c:v>15009.866357858649</c:v>
                </c:pt>
                <c:pt idx="510">
                  <c:v>15011.937468193883</c:v>
                </c:pt>
                <c:pt idx="511">
                  <c:v>15014.205498696938</c:v>
                </c:pt>
                <c:pt idx="512">
                  <c:v>15016.670359829859</c:v>
                </c:pt>
                <c:pt idx="513">
                  <c:v>15019.331954284147</c:v>
                </c:pt>
                <c:pt idx="514">
                  <c:v>15022.190176984612</c:v>
                </c:pt>
                <c:pt idx="515">
                  <c:v>15025.24491509351</c:v>
                </c:pt>
                <c:pt idx="516">
                  <c:v>15028.496048015018</c:v>
                </c:pt>
                <c:pt idx="517">
                  <c:v>15031.943447399972</c:v>
                </c:pt>
                <c:pt idx="518">
                  <c:v>15035.586977150946</c:v>
                </c:pt>
                <c:pt idx="519">
                  <c:v>15039.426493427625</c:v>
                </c:pt>
                <c:pt idx="520">
                  <c:v>15043.461844652484</c:v>
                </c:pt>
                <c:pt idx="521">
                  <c:v>15047.69287151676</c:v>
                </c:pt>
                <c:pt idx="522">
                  <c:v>15052.119406986762</c:v>
                </c:pt>
                <c:pt idx="523">
                  <c:v>15056.741276310448</c:v>
                </c:pt>
                <c:pt idx="524">
                  <c:v>15061.55829702433</c:v>
                </c:pt>
                <c:pt idx="525">
                  <c:v>15066.570278960678</c:v>
                </c:pt>
                <c:pt idx="526">
                  <c:v>15071.777024255029</c:v>
                </c:pt>
                <c:pt idx="527">
                  <c:v>15077.178327353995</c:v>
                </c:pt>
                <c:pt idx="528">
                  <c:v>15082.773975023374</c:v>
                </c:pt>
                <c:pt idx="529">
                  <c:v>15088.56374635658</c:v>
                </c:pt>
                <c:pt idx="530">
                  <c:v>15094.547412783351</c:v>
                </c:pt>
                <c:pt idx="531">
                  <c:v>15100.724738078789</c:v>
                </c:pt>
                <c:pt idx="532">
                  <c:v>15107.095478372663</c:v>
                </c:pt>
                <c:pt idx="533">
                  <c:v>15113.659382159058</c:v>
                </c:pt>
                <c:pt idx="534">
                  <c:v>15120.416190306289</c:v>
                </c:pt>
                <c:pt idx="535">
                  <c:v>15127.365636067141</c:v>
                </c:pt>
                <c:pt idx="536">
                  <c:v>15134.507445089395</c:v>
                </c:pt>
                <c:pt idx="537">
                  <c:v>15141.841335426659</c:v>
                </c:pt>
                <c:pt idx="538">
                  <c:v>15149.367017549499</c:v>
                </c:pt>
                <c:pt idx="539">
                  <c:v>15157.084194356874</c:v>
                </c:pt>
                <c:pt idx="540">
                  <c:v>15164.992561187855</c:v>
                </c:pt>
                <c:pt idx="541">
                  <c:v>15173.091805833661</c:v>
                </c:pt>
                <c:pt idx="542">
                  <c:v>15181.381608549984</c:v>
                </c:pt>
                <c:pt idx="543">
                  <c:v>15189.861642069603</c:v>
                </c:pt>
                <c:pt idx="544">
                  <c:v>15198.531571615318</c:v>
                </c:pt>
                <c:pt idx="545">
                  <c:v>15207.391054913154</c:v>
                </c:pt>
                <c:pt idx="546">
                  <c:v>15216.439742205883</c:v>
                </c:pt>
                <c:pt idx="547">
                  <c:v>15225.677276266822</c:v>
                </c:pt>
                <c:pt idx="548">
                  <c:v>15235.103292413944</c:v>
                </c:pt>
                <c:pt idx="549">
                  <c:v>15244.717418524269</c:v>
                </c:pt>
                <c:pt idx="550">
                  <c:v>15254.519275048566</c:v>
                </c:pt>
                <c:pt idx="551">
                  <c:v>15264.50847502632</c:v>
                </c:pt>
                <c:pt idx="552">
                  <c:v>15274.684624101017</c:v>
                </c:pt>
                <c:pt idx="553">
                  <c:v>15285.047320535719</c:v>
                </c:pt>
                <c:pt idx="554">
                  <c:v>15295.596155228915</c:v>
                </c:pt>
                <c:pt idx="555">
                  <c:v>15306.330711730672</c:v>
                </c:pt>
                <c:pt idx="556">
                  <c:v>15317.250566259081</c:v>
                </c:pt>
                <c:pt idx="557">
                  <c:v>15328.355287716986</c:v>
                </c:pt>
                <c:pt idx="558">
                  <c:v>15339.64443770899</c:v>
                </c:pt>
                <c:pt idx="559">
                  <c:v>15351.117570558788</c:v>
                </c:pt>
                <c:pt idx="560">
                  <c:v>15362.774233326742</c:v>
                </c:pt>
                <c:pt idx="561">
                  <c:v>15374.613965827757</c:v>
                </c:pt>
                <c:pt idx="562">
                  <c:v>15386.636300649476</c:v>
                </c:pt>
                <c:pt idx="563">
                  <c:v>15398.840763170698</c:v>
                </c:pt>
                <c:pt idx="564">
                  <c:v>15411.226871580144</c:v>
                </c:pt>
                <c:pt idx="565">
                  <c:v>15423.794136895463</c:v>
                </c:pt>
                <c:pt idx="566">
                  <c:v>15436.542062982538</c:v>
                </c:pt>
                <c:pt idx="567">
                  <c:v>15449.470146575075</c:v>
                </c:pt>
                <c:pt idx="568">
                  <c:v>15462.577877294469</c:v>
                </c:pt>
                <c:pt idx="569">
                  <c:v>15475.864737669957</c:v>
                </c:pt>
                <c:pt idx="570">
                  <c:v>15489.330203159043</c:v>
                </c:pt>
                <c:pt idx="571">
                  <c:v>15502.9737421682</c:v>
                </c:pt>
                <c:pt idx="572">
                  <c:v>15516.794816073878</c:v>
                </c:pt>
                <c:pt idx="573">
                  <c:v>15530.79287924374</c:v>
                </c:pt>
                <c:pt idx="574">
                  <c:v>15544.96737905822</c:v>
                </c:pt>
                <c:pt idx="575">
                  <c:v>15559.317755932338</c:v>
                </c:pt>
                <c:pt idx="576">
                  <c:v>15573.843443337784</c:v>
                </c:pt>
                <c:pt idx="577">
                  <c:v>15588.543867825294</c:v>
                </c:pt>
                <c:pt idx="578">
                  <c:v>15603.41844904728</c:v>
                </c:pt>
                <c:pt idx="579">
                  <c:v>15618.466599780746</c:v>
                </c:pt>
                <c:pt idx="580">
                  <c:v>15633.687725950464</c:v>
                </c:pt>
                <c:pt idx="581">
                  <c:v>15649.081226652437</c:v>
                </c:pt>
                <c:pt idx="582">
                  <c:v>15664.646494177616</c:v>
                </c:pt>
                <c:pt idx="583">
                  <c:v>15680.38291403589</c:v>
                </c:pt>
                <c:pt idx="584">
                  <c:v>15696.28986498035</c:v>
                </c:pt>
                <c:pt idx="585">
                  <c:v>15712.366719031808</c:v>
                </c:pt>
                <c:pt idx="586">
                  <c:v>15728.612841503593</c:v>
                </c:pt>
                <c:pt idx="587">
                  <c:v>15745.02759102661</c:v>
                </c:pt>
                <c:pt idx="588">
                  <c:v>15761.610319574655</c:v>
                </c:pt>
                <c:pt idx="589">
                  <c:v>15778.360372489997</c:v>
                </c:pt>
                <c:pt idx="590">
                  <c:v>15795.277088509229</c:v>
                </c:pt>
                <c:pt idx="591">
                  <c:v>15812.359799789365</c:v>
                </c:pt>
                <c:pt idx="592">
                  <c:v>15829.60783193422</c:v>
                </c:pt>
                <c:pt idx="593">
                  <c:v>15847.020504021013</c:v>
                </c:pt>
                <c:pt idx="594">
                  <c:v>15864.597128627267</c:v>
                </c:pt>
                <c:pt idx="595">
                  <c:v>15882.337011857941</c:v>
                </c:pt>
                <c:pt idx="596">
                  <c:v>15900.239453372817</c:v>
                </c:pt>
                <c:pt idx="597">
                  <c:v>15918.30374641416</c:v>
                </c:pt>
                <c:pt idx="598">
                  <c:v>15936.529177834609</c:v>
                </c:pt>
                <c:pt idx="599">
                  <c:v>15954.915028125342</c:v>
                </c:pt>
                <c:pt idx="600">
                  <c:v>15973.460571444471</c:v>
                </c:pt>
                <c:pt idx="601">
                  <c:v>15992.1650756457</c:v>
                </c:pt>
                <c:pt idx="602">
                  <c:v>16011.027802307228</c:v>
                </c:pt>
                <c:pt idx="603">
                  <c:v>16030.048006760908</c:v>
                </c:pt>
                <c:pt idx="604">
                  <c:v>16049.224938121633</c:v>
                </c:pt>
                <c:pt idx="605">
                  <c:v>16068.557839316991</c:v>
                </c:pt>
                <c:pt idx="606">
                  <c:v>16088.045947117145</c:v>
                </c:pt>
                <c:pt idx="607">
                  <c:v>16107.688492164969</c:v>
                </c:pt>
                <c:pt idx="608">
                  <c:v>16127.48469900642</c:v>
                </c:pt>
                <c:pt idx="609">
                  <c:v>16147.433786121142</c:v>
                </c:pt>
                <c:pt idx="610">
                  <c:v>16167.53496595334</c:v>
                </c:pt>
                <c:pt idx="611">
                  <c:v>16187.787444942851</c:v>
                </c:pt>
                <c:pt idx="612">
                  <c:v>16208.190423556482</c:v>
                </c:pt>
                <c:pt idx="613">
                  <c:v>16228.743096319573</c:v>
                </c:pt>
                <c:pt idx="614">
                  <c:v>16249.444651847796</c:v>
                </c:pt>
                <c:pt idx="615">
                  <c:v>16270.294272879182</c:v>
                </c:pt>
                <c:pt idx="616">
                  <c:v>16291.291136306399</c:v>
                </c:pt>
                <c:pt idx="617">
                  <c:v>16312.434413209226</c:v>
                </c:pt>
                <c:pt idx="618">
                  <c:v>16333.723268887297</c:v>
                </c:pt>
                <c:pt idx="619">
                  <c:v>16355.15686289304</c:v>
                </c:pt>
                <c:pt idx="620">
                  <c:v>16376.734349064865</c:v>
                </c:pt>
                <c:pt idx="621">
                  <c:v>16398.454875560565</c:v>
                </c:pt>
                <c:pt idx="622">
                  <c:v>16420.317584890945</c:v>
                </c:pt>
                <c:pt idx="623">
                  <c:v>16442.321613953674</c:v>
                </c:pt>
                <c:pt idx="624">
                  <c:v>16464.466094067364</c:v>
                </c:pt>
                <c:pt idx="625">
                  <c:v>16486.750151005857</c:v>
                </c:pt>
                <c:pt idx="626">
                  <c:v>16509.172905032741</c:v>
                </c:pt>
                <c:pt idx="627">
                  <c:v>16531.73347093608</c:v>
                </c:pt>
                <c:pt idx="628">
                  <c:v>16554.430958063364</c:v>
                </c:pt>
                <c:pt idx="629">
                  <c:v>16577.264470356662</c:v>
                </c:pt>
                <c:pt idx="630">
                  <c:v>16600.233106388012</c:v>
                </c:pt>
                <c:pt idx="631">
                  <c:v>16623.335959394986</c:v>
                </c:pt>
                <c:pt idx="632">
                  <c:v>16646.572117316508</c:v>
                </c:pt>
                <c:pt idx="633">
                  <c:v>16669.940662828853</c:v>
                </c:pt>
                <c:pt idx="634">
                  <c:v>16693.440673381851</c:v>
                </c:pt>
                <c:pt idx="635">
                  <c:v>16717.071221235328</c:v>
                </c:pt>
                <c:pt idx="636">
                  <c:v>16740.831373495716</c:v>
                </c:pt>
                <c:pt idx="637">
                  <c:v>16764.720192152887</c:v>
                </c:pt>
                <c:pt idx="638">
                  <c:v>16788.736734117185</c:v>
                </c:pt>
                <c:pt idx="639">
                  <c:v>16812.880051256659</c:v>
                </c:pt>
                <c:pt idx="640">
                  <c:v>16837.149190434484</c:v>
                </c:pt>
                <c:pt idx="641">
                  <c:v>16861.543193546604</c:v>
                </c:pt>
                <c:pt idx="642">
                  <c:v>16886.061097559541</c:v>
                </c:pt>
                <c:pt idx="643">
                  <c:v>16910.70193454843</c:v>
                </c:pt>
                <c:pt idx="644">
                  <c:v>16935.464731735221</c:v>
                </c:pt>
                <c:pt idx="645">
                  <c:v>16960.348511527074</c:v>
                </c:pt>
                <c:pt idx="646">
                  <c:v>16985.352291554977</c:v>
                </c:pt>
                <c:pt idx="647">
                  <c:v>17010.475084712503</c:v>
                </c:pt>
                <c:pt idx="648">
                  <c:v>17035.715899194802</c:v>
                </c:pt>
                <c:pt idx="649">
                  <c:v>17061.073738537732</c:v>
                </c:pt>
                <c:pt idx="650">
                  <c:v>17086.547601657214</c:v>
                </c:pt>
                <c:pt idx="651">
                  <c:v>17112.136482888756</c:v>
                </c:pt>
                <c:pt idx="652">
                  <c:v>17137.839372027138</c:v>
                </c:pt>
                <c:pt idx="653">
                  <c:v>17163.655254366309</c:v>
                </c:pt>
                <c:pt idx="654">
                  <c:v>17189.583110739437</c:v>
                </c:pt>
                <c:pt idx="655">
                  <c:v>17215.62191755915</c:v>
                </c:pt>
                <c:pt idx="656">
                  <c:v>17241.770646857938</c:v>
                </c:pt>
                <c:pt idx="657">
                  <c:v>17268.02826632874</c:v>
                </c:pt>
                <c:pt idx="658">
                  <c:v>17294.393739365707</c:v>
                </c:pt>
                <c:pt idx="659">
                  <c:v>17320.866025105101</c:v>
                </c:pt>
                <c:pt idx="660">
                  <c:v>17347.444078466411</c:v>
                </c:pt>
                <c:pt idx="661">
                  <c:v>17374.126850193603</c:v>
                </c:pt>
                <c:pt idx="662">
                  <c:v>17400.913286896532</c:v>
                </c:pt>
                <c:pt idx="663">
                  <c:v>17427.802331092546</c:v>
                </c:pt>
                <c:pt idx="664">
                  <c:v>17454.792921248219</c:v>
                </c:pt>
                <c:pt idx="665">
                  <c:v>17481.883991821273</c:v>
                </c:pt>
                <c:pt idx="666">
                  <c:v>17509.074473302622</c:v>
                </c:pt>
                <c:pt idx="667">
                  <c:v>17536.363292258615</c:v>
                </c:pt>
                <c:pt idx="668">
                  <c:v>17563.749371373411</c:v>
                </c:pt>
                <c:pt idx="669">
                  <c:v>17591.231629491493</c:v>
                </c:pt>
                <c:pt idx="670">
                  <c:v>17618.808981660372</c:v>
                </c:pt>
                <c:pt idx="671">
                  <c:v>17646.480339173406</c:v>
                </c:pt>
                <c:pt idx="672">
                  <c:v>17674.244609612775</c:v>
                </c:pt>
                <c:pt idx="673">
                  <c:v>17702.100696892623</c:v>
                </c:pt>
                <c:pt idx="674">
                  <c:v>17730.047501302328</c:v>
                </c:pt>
                <c:pt idx="675">
                  <c:v>17758.083919549899</c:v>
                </c:pt>
                <c:pt idx="676">
                  <c:v>17786.208844805551</c:v>
                </c:pt>
                <c:pt idx="677">
                  <c:v>17814.421166745393</c:v>
                </c:pt>
                <c:pt idx="678">
                  <c:v>17842.719771595261</c:v>
                </c:pt>
                <c:pt idx="679">
                  <c:v>17871.103542174693</c:v>
                </c:pt>
                <c:pt idx="680">
                  <c:v>17899.571357941022</c:v>
                </c:pt>
                <c:pt idx="681">
                  <c:v>17928.122095033632</c:v>
                </c:pt>
                <c:pt idx="682">
                  <c:v>17956.754626318303</c:v>
                </c:pt>
                <c:pt idx="683">
                  <c:v>17985.467821431736</c:v>
                </c:pt>
                <c:pt idx="684">
                  <c:v>18014.260546826143</c:v>
                </c:pt>
                <c:pt idx="685">
                  <c:v>18043.131665814031</c:v>
                </c:pt>
                <c:pt idx="686">
                  <c:v>18072.080038613061</c:v>
                </c:pt>
                <c:pt idx="687">
                  <c:v>18101.104522391037</c:v>
                </c:pt>
                <c:pt idx="688">
                  <c:v>18130.203971311039</c:v>
                </c:pt>
                <c:pt idx="689">
                  <c:v>18159.377236576649</c:v>
                </c:pt>
                <c:pt idx="690">
                  <c:v>18188.623166477308</c:v>
                </c:pt>
                <c:pt idx="691">
                  <c:v>18217.940606433782</c:v>
                </c:pt>
                <c:pt idx="692">
                  <c:v>18247.328399043738</c:v>
                </c:pt>
                <c:pt idx="693">
                  <c:v>18276.785384127445</c:v>
                </c:pt>
                <c:pt idx="694">
                  <c:v>18306.310398773574</c:v>
                </c:pt>
                <c:pt idx="695">
                  <c:v>18335.902277385096</c:v>
                </c:pt>
                <c:pt idx="696">
                  <c:v>18365.559851725313</c:v>
                </c:pt>
                <c:pt idx="697">
                  <c:v>18395.281950963978</c:v>
                </c:pt>
                <c:pt idx="698">
                  <c:v>18425.0674017235</c:v>
                </c:pt>
                <c:pt idx="699">
                  <c:v>18454.915028125284</c:v>
                </c:pt>
                <c:pt idx="700">
                  <c:v>18484.823651836148</c:v>
                </c:pt>
                <c:pt idx="701">
                  <c:v>18514.792092114843</c:v>
                </c:pt>
                <c:pt idx="702">
                  <c:v>18544.819165858655</c:v>
                </c:pt>
                <c:pt idx="703">
                  <c:v>18574.903687650134</c:v>
                </c:pt>
                <c:pt idx="704">
                  <c:v>18605.044469803866</c:v>
                </c:pt>
                <c:pt idx="705">
                  <c:v>18635.240322413381</c:v>
                </c:pt>
                <c:pt idx="706">
                  <c:v>18665.490053398131</c:v>
                </c:pt>
                <c:pt idx="707">
                  <c:v>18695.79246855052</c:v>
                </c:pt>
                <c:pt idx="708">
                  <c:v>18726.146371583094</c:v>
                </c:pt>
                <c:pt idx="709">
                  <c:v>18756.550564175726</c:v>
                </c:pt>
                <c:pt idx="710">
                  <c:v>18787.003846022963</c:v>
                </c:pt>
                <c:pt idx="711">
                  <c:v>18817.505014881375</c:v>
                </c:pt>
                <c:pt idx="712">
                  <c:v>18848.052866617043</c:v>
                </c:pt>
                <c:pt idx="713">
                  <c:v>18878.646195253088</c:v>
                </c:pt>
                <c:pt idx="714">
                  <c:v>18909.283793017279</c:v>
                </c:pt>
                <c:pt idx="715">
                  <c:v>18939.964450389718</c:v>
                </c:pt>
                <c:pt idx="716">
                  <c:v>18970.686956150581</c:v>
                </c:pt>
                <c:pt idx="717">
                  <c:v>19001.450097427951</c:v>
                </c:pt>
                <c:pt idx="718">
                  <c:v>19032.252659745682</c:v>
                </c:pt>
                <c:pt idx="719">
                  <c:v>19063.093427071359</c:v>
                </c:pt>
                <c:pt idx="720">
                  <c:v>19093.971181864294</c:v>
                </c:pt>
                <c:pt idx="721">
                  <c:v>19124.884705123597</c:v>
                </c:pt>
                <c:pt idx="722">
                  <c:v>19155.832776436306</c:v>
                </c:pt>
                <c:pt idx="723">
                  <c:v>19186.814174025556</c:v>
                </c:pt>
                <c:pt idx="724">
                  <c:v>19217.82767479882</c:v>
                </c:pt>
                <c:pt idx="725">
                  <c:v>19248.872054396186</c:v>
                </c:pt>
                <c:pt idx="726">
                  <c:v>19279.946087238706</c:v>
                </c:pt>
                <c:pt idx="727">
                  <c:v>19311.048546576778</c:v>
                </c:pt>
                <c:pt idx="728">
                  <c:v>19342.178204538552</c:v>
                </c:pt>
                <c:pt idx="729">
                  <c:v>19373.333832178443</c:v>
                </c:pt>
                <c:pt idx="730">
                  <c:v>19404.514199525613</c:v>
                </c:pt>
                <c:pt idx="731">
                  <c:v>19435.718075632551</c:v>
                </c:pt>
                <c:pt idx="732">
                  <c:v>19466.944228623659</c:v>
                </c:pt>
                <c:pt idx="733">
                  <c:v>19498.19142574388</c:v>
                </c:pt>
                <c:pt idx="734">
                  <c:v>19529.458433407381</c:v>
                </c:pt>
                <c:pt idx="735">
                  <c:v>19560.744017246234</c:v>
                </c:pt>
                <c:pt idx="736">
                  <c:v>19592.046942159162</c:v>
                </c:pt>
                <c:pt idx="737">
                  <c:v>19623.365972360283</c:v>
                </c:pt>
                <c:pt idx="738">
                  <c:v>19654.699871427918</c:v>
                </c:pt>
                <c:pt idx="739">
                  <c:v>19686.047402353375</c:v>
                </c:pt>
                <c:pt idx="740">
                  <c:v>19717.407327589819</c:v>
                </c:pt>
                <c:pt idx="741">
                  <c:v>19748.778409101091</c:v>
                </c:pt>
                <c:pt idx="742">
                  <c:v>19780.159408410615</c:v>
                </c:pt>
                <c:pt idx="743">
                  <c:v>19811.549086650262</c:v>
                </c:pt>
                <c:pt idx="744">
                  <c:v>19842.946204609292</c:v>
                </c:pt>
                <c:pt idx="745">
                  <c:v>19874.349522783243</c:v>
                </c:pt>
                <c:pt idx="746">
                  <c:v>19905.757801422889</c:v>
                </c:pt>
                <c:pt idx="747">
                  <c:v>19937.169800583164</c:v>
                </c:pt>
                <c:pt idx="748">
                  <c:v>19968.58428017213</c:v>
                </c:pt>
                <c:pt idx="749">
                  <c:v>19999.999999999924</c:v>
                </c:pt>
                <c:pt idx="750">
                  <c:v>20031.415719827717</c:v>
                </c:pt>
                <c:pt idx="751">
                  <c:v>20062.830199416683</c:v>
                </c:pt>
                <c:pt idx="752">
                  <c:v>20094.242198576958</c:v>
                </c:pt>
                <c:pt idx="753">
                  <c:v>20125.650477216604</c:v>
                </c:pt>
                <c:pt idx="754">
                  <c:v>20157.053795390555</c:v>
                </c:pt>
                <c:pt idx="755">
                  <c:v>20188.450913349585</c:v>
                </c:pt>
                <c:pt idx="756">
                  <c:v>20219.840591589236</c:v>
                </c:pt>
                <c:pt idx="757">
                  <c:v>20251.221590898756</c:v>
                </c:pt>
                <c:pt idx="758">
                  <c:v>20282.592672410028</c:v>
                </c:pt>
                <c:pt idx="759">
                  <c:v>20313.952597646472</c:v>
                </c:pt>
                <c:pt idx="760">
                  <c:v>20345.300128571933</c:v>
                </c:pt>
                <c:pt idx="761">
                  <c:v>20376.634027639564</c:v>
                </c:pt>
                <c:pt idx="762">
                  <c:v>20407.953057840685</c:v>
                </c:pt>
                <c:pt idx="763">
                  <c:v>20439.255982753613</c:v>
                </c:pt>
                <c:pt idx="764">
                  <c:v>20470.541566592467</c:v>
                </c:pt>
                <c:pt idx="765">
                  <c:v>20501.808574255967</c:v>
                </c:pt>
                <c:pt idx="766">
                  <c:v>20533.055771376192</c:v>
                </c:pt>
                <c:pt idx="767">
                  <c:v>20564.281924367297</c:v>
                </c:pt>
                <c:pt idx="768">
                  <c:v>20595.485800474235</c:v>
                </c:pt>
                <c:pt idx="769">
                  <c:v>20626.666167821408</c:v>
                </c:pt>
                <c:pt idx="770">
                  <c:v>20657.821795461296</c:v>
                </c:pt>
                <c:pt idx="771">
                  <c:v>20688.951453423073</c:v>
                </c:pt>
                <c:pt idx="772">
                  <c:v>20720.053912761141</c:v>
                </c:pt>
                <c:pt idx="773">
                  <c:v>20751.127945603665</c:v>
                </c:pt>
                <c:pt idx="774">
                  <c:v>20782.172325201031</c:v>
                </c:pt>
                <c:pt idx="775">
                  <c:v>20813.185825974291</c:v>
                </c:pt>
                <c:pt idx="776">
                  <c:v>20844.167223563541</c:v>
                </c:pt>
                <c:pt idx="777">
                  <c:v>20875.11529487625</c:v>
                </c:pt>
                <c:pt idx="778">
                  <c:v>20906.028818135557</c:v>
                </c:pt>
                <c:pt idx="779">
                  <c:v>20936.906572928492</c:v>
                </c:pt>
                <c:pt idx="780">
                  <c:v>20967.747340254165</c:v>
                </c:pt>
                <c:pt idx="781">
                  <c:v>20998.5499025719</c:v>
                </c:pt>
                <c:pt idx="782">
                  <c:v>21029.31304384927</c:v>
                </c:pt>
                <c:pt idx="783">
                  <c:v>21060.035549610133</c:v>
                </c:pt>
                <c:pt idx="784">
                  <c:v>21090.716206982572</c:v>
                </c:pt>
                <c:pt idx="785">
                  <c:v>21121.353804746763</c:v>
                </c:pt>
                <c:pt idx="786">
                  <c:v>21151.947133382808</c:v>
                </c:pt>
                <c:pt idx="787">
                  <c:v>21182.494985118476</c:v>
                </c:pt>
                <c:pt idx="788">
                  <c:v>21212.996153976888</c:v>
                </c:pt>
                <c:pt idx="789">
                  <c:v>21243.449435824125</c:v>
                </c:pt>
                <c:pt idx="790">
                  <c:v>21273.85362841676</c:v>
                </c:pt>
                <c:pt idx="791">
                  <c:v>21304.20753144933</c:v>
                </c:pt>
                <c:pt idx="792">
                  <c:v>21334.509946601724</c:v>
                </c:pt>
                <c:pt idx="793">
                  <c:v>21364.759677586469</c:v>
                </c:pt>
                <c:pt idx="794">
                  <c:v>21394.955530195988</c:v>
                </c:pt>
                <c:pt idx="795">
                  <c:v>21425.09631234972</c:v>
                </c:pt>
                <c:pt idx="796">
                  <c:v>21455.1808341412</c:v>
                </c:pt>
                <c:pt idx="797">
                  <c:v>21485.207907885011</c:v>
                </c:pt>
                <c:pt idx="798">
                  <c:v>21515.176348163706</c:v>
                </c:pt>
                <c:pt idx="799">
                  <c:v>21545.08497187457</c:v>
                </c:pt>
                <c:pt idx="800">
                  <c:v>21574.932598276358</c:v>
                </c:pt>
                <c:pt idx="801">
                  <c:v>21604.718049035881</c:v>
                </c:pt>
                <c:pt idx="802">
                  <c:v>21634.440148274542</c:v>
                </c:pt>
                <c:pt idx="803">
                  <c:v>21664.097722614762</c:v>
                </c:pt>
                <c:pt idx="804">
                  <c:v>21693.689601226284</c:v>
                </c:pt>
                <c:pt idx="805">
                  <c:v>21723.21461587241</c:v>
                </c:pt>
                <c:pt idx="806">
                  <c:v>21752.671600956121</c:v>
                </c:pt>
                <c:pt idx="807">
                  <c:v>21782.059393566076</c:v>
                </c:pt>
                <c:pt idx="808">
                  <c:v>21811.37683352255</c:v>
                </c:pt>
                <c:pt idx="809">
                  <c:v>21840.622763423209</c:v>
                </c:pt>
                <c:pt idx="810">
                  <c:v>21869.796028688819</c:v>
                </c:pt>
                <c:pt idx="811">
                  <c:v>21898.895477608821</c:v>
                </c:pt>
                <c:pt idx="812">
                  <c:v>21927.919961386797</c:v>
                </c:pt>
                <c:pt idx="813">
                  <c:v>21956.868334185827</c:v>
                </c:pt>
                <c:pt idx="814">
                  <c:v>21985.739453173715</c:v>
                </c:pt>
                <c:pt idx="815">
                  <c:v>22014.532178568126</c:v>
                </c:pt>
                <c:pt idx="816">
                  <c:v>22043.245373681555</c:v>
                </c:pt>
                <c:pt idx="817">
                  <c:v>22071.87790496623</c:v>
                </c:pt>
                <c:pt idx="818">
                  <c:v>22100.42864205884</c:v>
                </c:pt>
                <c:pt idx="819">
                  <c:v>22128.896457825169</c:v>
                </c:pt>
                <c:pt idx="820">
                  <c:v>22157.280228404601</c:v>
                </c:pt>
                <c:pt idx="821">
                  <c:v>22185.578833254469</c:v>
                </c:pt>
                <c:pt idx="822">
                  <c:v>22213.791155194311</c:v>
                </c:pt>
                <c:pt idx="823">
                  <c:v>22241.916080449962</c:v>
                </c:pt>
                <c:pt idx="824">
                  <c:v>22269.952498697534</c:v>
                </c:pt>
                <c:pt idx="825">
                  <c:v>22297.899303107239</c:v>
                </c:pt>
                <c:pt idx="826">
                  <c:v>22325.75539038709</c:v>
                </c:pt>
                <c:pt idx="827">
                  <c:v>22353.51966082646</c:v>
                </c:pt>
                <c:pt idx="828">
                  <c:v>22381.191018339494</c:v>
                </c:pt>
                <c:pt idx="829">
                  <c:v>22408.768370508373</c:v>
                </c:pt>
                <c:pt idx="830">
                  <c:v>22436.250628626458</c:v>
                </c:pt>
                <c:pt idx="831">
                  <c:v>22463.636707741251</c:v>
                </c:pt>
                <c:pt idx="832">
                  <c:v>22490.925526697247</c:v>
                </c:pt>
                <c:pt idx="833">
                  <c:v>22518.116008178597</c:v>
                </c:pt>
                <c:pt idx="834">
                  <c:v>22545.20707875165</c:v>
                </c:pt>
                <c:pt idx="835">
                  <c:v>22572.197668907324</c:v>
                </c:pt>
                <c:pt idx="836">
                  <c:v>22599.086713103337</c:v>
                </c:pt>
                <c:pt idx="837">
                  <c:v>22625.873149806266</c:v>
                </c:pt>
                <c:pt idx="838">
                  <c:v>22652.555921533458</c:v>
                </c:pt>
                <c:pt idx="839">
                  <c:v>22679.133974894772</c:v>
                </c:pt>
                <c:pt idx="840">
                  <c:v>22705.606260634166</c:v>
                </c:pt>
                <c:pt idx="841">
                  <c:v>22731.971733671129</c:v>
                </c:pt>
                <c:pt idx="842">
                  <c:v>22758.229353141935</c:v>
                </c:pt>
                <c:pt idx="843">
                  <c:v>22784.378082440722</c:v>
                </c:pt>
                <c:pt idx="844">
                  <c:v>22810.416889260436</c:v>
                </c:pt>
                <c:pt idx="845">
                  <c:v>22836.344745633563</c:v>
                </c:pt>
                <c:pt idx="846">
                  <c:v>22862.160627972735</c:v>
                </c:pt>
                <c:pt idx="847">
                  <c:v>22887.86351711112</c:v>
                </c:pt>
                <c:pt idx="848">
                  <c:v>22913.452398342662</c:v>
                </c:pt>
                <c:pt idx="849">
                  <c:v>22938.926261462148</c:v>
                </c:pt>
                <c:pt idx="850">
                  <c:v>22964.284100805075</c:v>
                </c:pt>
                <c:pt idx="851">
                  <c:v>22989.524915287373</c:v>
                </c:pt>
                <c:pt idx="852">
                  <c:v>23014.647708444903</c:v>
                </c:pt>
                <c:pt idx="853">
                  <c:v>23039.651488472806</c:v>
                </c:pt>
                <c:pt idx="854">
                  <c:v>23064.535268264659</c:v>
                </c:pt>
                <c:pt idx="855">
                  <c:v>23089.298065451447</c:v>
                </c:pt>
                <c:pt idx="856">
                  <c:v>23113.938902440339</c:v>
                </c:pt>
                <c:pt idx="857">
                  <c:v>23138.45680645328</c:v>
                </c:pt>
                <c:pt idx="858">
                  <c:v>23162.850809565396</c:v>
                </c:pt>
                <c:pt idx="859">
                  <c:v>23187.119948743224</c:v>
                </c:pt>
                <c:pt idx="860">
                  <c:v>23211.263265882699</c:v>
                </c:pt>
                <c:pt idx="861">
                  <c:v>23235.279807846997</c:v>
                </c:pt>
                <c:pt idx="862">
                  <c:v>23259.168626504168</c:v>
                </c:pt>
                <c:pt idx="863">
                  <c:v>23282.928778764555</c:v>
                </c:pt>
                <c:pt idx="864">
                  <c:v>23306.559326618033</c:v>
                </c:pt>
                <c:pt idx="865">
                  <c:v>23330.059337171031</c:v>
                </c:pt>
                <c:pt idx="866">
                  <c:v>23353.427882683376</c:v>
                </c:pt>
                <c:pt idx="867">
                  <c:v>23376.664040604897</c:v>
                </c:pt>
                <c:pt idx="868">
                  <c:v>23399.766893611868</c:v>
                </c:pt>
                <c:pt idx="869">
                  <c:v>23422.735529643218</c:v>
                </c:pt>
                <c:pt idx="870">
                  <c:v>23445.569041936516</c:v>
                </c:pt>
                <c:pt idx="871">
                  <c:v>23468.2665290638</c:v>
                </c:pt>
                <c:pt idx="872">
                  <c:v>23490.827094967135</c:v>
                </c:pt>
                <c:pt idx="873">
                  <c:v>23513.249848994019</c:v>
                </c:pt>
                <c:pt idx="874">
                  <c:v>23535.533905932512</c:v>
                </c:pt>
                <c:pt idx="875">
                  <c:v>23557.678386046198</c:v>
                </c:pt>
                <c:pt idx="876">
                  <c:v>23579.682415108928</c:v>
                </c:pt>
                <c:pt idx="877">
                  <c:v>23601.545124439308</c:v>
                </c:pt>
                <c:pt idx="878">
                  <c:v>23623.265650935005</c:v>
                </c:pt>
                <c:pt idx="879">
                  <c:v>23644.843137106833</c:v>
                </c:pt>
                <c:pt idx="880">
                  <c:v>23666.276731112575</c:v>
                </c:pt>
                <c:pt idx="881">
                  <c:v>23687.565586790643</c:v>
                </c:pt>
                <c:pt idx="882">
                  <c:v>23708.708863693471</c:v>
                </c:pt>
                <c:pt idx="883">
                  <c:v>23729.705727120687</c:v>
                </c:pt>
                <c:pt idx="884">
                  <c:v>23750.555348152073</c:v>
                </c:pt>
                <c:pt idx="885">
                  <c:v>23771.256903680296</c:v>
                </c:pt>
                <c:pt idx="886">
                  <c:v>23791.809576443386</c:v>
                </c:pt>
                <c:pt idx="887">
                  <c:v>23812.212555057016</c:v>
                </c:pt>
                <c:pt idx="888">
                  <c:v>23832.465034046527</c:v>
                </c:pt>
                <c:pt idx="889">
                  <c:v>23852.566213878723</c:v>
                </c:pt>
                <c:pt idx="890">
                  <c:v>23872.515300993447</c:v>
                </c:pt>
                <c:pt idx="891">
                  <c:v>23892.311507834893</c:v>
                </c:pt>
                <c:pt idx="892">
                  <c:v>23911.95405288272</c:v>
                </c:pt>
                <c:pt idx="893">
                  <c:v>23931.442160682873</c:v>
                </c:pt>
                <c:pt idx="894">
                  <c:v>23950.77506187823</c:v>
                </c:pt>
                <c:pt idx="895">
                  <c:v>23969.951993238956</c:v>
                </c:pt>
                <c:pt idx="896">
                  <c:v>23988.972197692638</c:v>
                </c:pt>
                <c:pt idx="897">
                  <c:v>24007.834924354163</c:v>
                </c:pt>
                <c:pt idx="898">
                  <c:v>24026.539428555392</c:v>
                </c:pt>
                <c:pt idx="899">
                  <c:v>24045.084971874519</c:v>
                </c:pt>
                <c:pt idx="900">
                  <c:v>24063.470822165255</c:v>
                </c:pt>
                <c:pt idx="901">
                  <c:v>24081.696253585702</c:v>
                </c:pt>
                <c:pt idx="902">
                  <c:v>24099.760546627047</c:v>
                </c:pt>
                <c:pt idx="903">
                  <c:v>24117.662988141921</c:v>
                </c:pt>
                <c:pt idx="904">
                  <c:v>24135.402871372597</c:v>
                </c:pt>
                <c:pt idx="905">
                  <c:v>24152.979495978849</c:v>
                </c:pt>
                <c:pt idx="906">
                  <c:v>24170.392168065642</c:v>
                </c:pt>
                <c:pt idx="907">
                  <c:v>24187.640200210499</c:v>
                </c:pt>
                <c:pt idx="908">
                  <c:v>24204.722911490637</c:v>
                </c:pt>
                <c:pt idx="909">
                  <c:v>24221.639627509867</c:v>
                </c:pt>
                <c:pt idx="910">
                  <c:v>24238.389680425207</c:v>
                </c:pt>
                <c:pt idx="911">
                  <c:v>24254.972408973252</c:v>
                </c:pt>
                <c:pt idx="912">
                  <c:v>24271.387158496269</c:v>
                </c:pt>
                <c:pt idx="913">
                  <c:v>24287.633280968057</c:v>
                </c:pt>
                <c:pt idx="914">
                  <c:v>24303.710135019515</c:v>
                </c:pt>
                <c:pt idx="915">
                  <c:v>24319.617085963975</c:v>
                </c:pt>
                <c:pt idx="916">
                  <c:v>24335.353505822248</c:v>
                </c:pt>
                <c:pt idx="917">
                  <c:v>24350.918773347428</c:v>
                </c:pt>
                <c:pt idx="918">
                  <c:v>24366.312274049404</c:v>
                </c:pt>
                <c:pt idx="919">
                  <c:v>24381.533400219123</c:v>
                </c:pt>
                <c:pt idx="920">
                  <c:v>24396.581550952586</c:v>
                </c:pt>
                <c:pt idx="921">
                  <c:v>24411.456132174571</c:v>
                </c:pt>
                <c:pt idx="922">
                  <c:v>24426.156556662085</c:v>
                </c:pt>
                <c:pt idx="923">
                  <c:v>24440.682244067531</c:v>
                </c:pt>
                <c:pt idx="924">
                  <c:v>24455.032620941649</c:v>
                </c:pt>
                <c:pt idx="925">
                  <c:v>24469.207120756131</c:v>
                </c:pt>
                <c:pt idx="926">
                  <c:v>24483.205183925991</c:v>
                </c:pt>
                <c:pt idx="927">
                  <c:v>24497.026257831669</c:v>
                </c:pt>
                <c:pt idx="928">
                  <c:v>24510.66979684083</c:v>
                </c:pt>
                <c:pt idx="929">
                  <c:v>24524.135262329917</c:v>
                </c:pt>
                <c:pt idx="930">
                  <c:v>24537.422122705404</c:v>
                </c:pt>
                <c:pt idx="931">
                  <c:v>24550.5298534248</c:v>
                </c:pt>
                <c:pt idx="932">
                  <c:v>24563.457937017338</c:v>
                </c:pt>
                <c:pt idx="933">
                  <c:v>24576.205863104413</c:v>
                </c:pt>
                <c:pt idx="934">
                  <c:v>24588.773128419733</c:v>
                </c:pt>
                <c:pt idx="935">
                  <c:v>24601.159236829179</c:v>
                </c:pt>
                <c:pt idx="936">
                  <c:v>24613.363699350404</c:v>
                </c:pt>
                <c:pt idx="937">
                  <c:v>24625.386034172123</c:v>
                </c:pt>
                <c:pt idx="938">
                  <c:v>24637.225766673138</c:v>
                </c:pt>
                <c:pt idx="939">
                  <c:v>24648.882429441092</c:v>
                </c:pt>
                <c:pt idx="940">
                  <c:v>24660.355562290893</c:v>
                </c:pt>
                <c:pt idx="941">
                  <c:v>24671.644712282898</c:v>
                </c:pt>
                <c:pt idx="942">
                  <c:v>24682.749433740802</c:v>
                </c:pt>
                <c:pt idx="943">
                  <c:v>24693.669288269215</c:v>
                </c:pt>
                <c:pt idx="944">
                  <c:v>24704.403844770972</c:v>
                </c:pt>
                <c:pt idx="945">
                  <c:v>24714.952679464172</c:v>
                </c:pt>
                <c:pt idx="946">
                  <c:v>24725.315375898874</c:v>
                </c:pt>
                <c:pt idx="947">
                  <c:v>24735.491524973571</c:v>
                </c:pt>
                <c:pt idx="948">
                  <c:v>24745.480724951325</c:v>
                </c:pt>
                <c:pt idx="949">
                  <c:v>24755.282581475622</c:v>
                </c:pt>
                <c:pt idx="950">
                  <c:v>24764.896707585951</c:v>
                </c:pt>
                <c:pt idx="951">
                  <c:v>24774.322723733076</c:v>
                </c:pt>
                <c:pt idx="952">
                  <c:v>24783.560257794015</c:v>
                </c:pt>
                <c:pt idx="953">
                  <c:v>24792.608945086744</c:v>
                </c:pt>
                <c:pt idx="954">
                  <c:v>24801.468428384582</c:v>
                </c:pt>
                <c:pt idx="955">
                  <c:v>24810.1383579303</c:v>
                </c:pt>
                <c:pt idx="956">
                  <c:v>24818.61839144992</c:v>
                </c:pt>
                <c:pt idx="957">
                  <c:v>24826.908194166244</c:v>
                </c:pt>
                <c:pt idx="958">
                  <c:v>24835.007438812052</c:v>
                </c:pt>
                <c:pt idx="959">
                  <c:v>24842.915805643035</c:v>
                </c:pt>
                <c:pt idx="960">
                  <c:v>24850.63298245041</c:v>
                </c:pt>
                <c:pt idx="961">
                  <c:v>24858.158664573253</c:v>
                </c:pt>
                <c:pt idx="962">
                  <c:v>24865.492554910517</c:v>
                </c:pt>
                <c:pt idx="963">
                  <c:v>24872.634363932775</c:v>
                </c:pt>
                <c:pt idx="964">
                  <c:v>24879.583809693628</c:v>
                </c:pt>
                <c:pt idx="965">
                  <c:v>24886.340617840862</c:v>
                </c:pt>
                <c:pt idx="966">
                  <c:v>24892.904521627257</c:v>
                </c:pt>
                <c:pt idx="967">
                  <c:v>24899.275261921135</c:v>
                </c:pt>
                <c:pt idx="968">
                  <c:v>24905.452587216572</c:v>
                </c:pt>
                <c:pt idx="969">
                  <c:v>24911.436253643347</c:v>
                </c:pt>
                <c:pt idx="970">
                  <c:v>24917.226024976557</c:v>
                </c:pt>
                <c:pt idx="971">
                  <c:v>24922.821672645936</c:v>
                </c:pt>
                <c:pt idx="972">
                  <c:v>24928.222975744902</c:v>
                </c:pt>
                <c:pt idx="973">
                  <c:v>24933.429721039258</c:v>
                </c:pt>
                <c:pt idx="974">
                  <c:v>24938.441702975608</c:v>
                </c:pt>
                <c:pt idx="975">
                  <c:v>24943.258723689491</c:v>
                </c:pt>
                <c:pt idx="976">
                  <c:v>24947.880593013178</c:v>
                </c:pt>
                <c:pt idx="977">
                  <c:v>24952.307128483182</c:v>
                </c:pt>
                <c:pt idx="978">
                  <c:v>24956.538155347465</c:v>
                </c:pt>
                <c:pt idx="979">
                  <c:v>24960.573506572324</c:v>
                </c:pt>
                <c:pt idx="980">
                  <c:v>24964.413022849003</c:v>
                </c:pt>
                <c:pt idx="981">
                  <c:v>24968.056552599981</c:v>
                </c:pt>
                <c:pt idx="982">
                  <c:v>24971.503951984938</c:v>
                </c:pt>
                <c:pt idx="983">
                  <c:v>24974.755084906446</c:v>
                </c:pt>
                <c:pt idx="984">
                  <c:v>24977.809823015348</c:v>
                </c:pt>
                <c:pt idx="985">
                  <c:v>24980.668045715815</c:v>
                </c:pt>
                <c:pt idx="986">
                  <c:v>24983.329640170105</c:v>
                </c:pt>
                <c:pt idx="987">
                  <c:v>24985.794501303029</c:v>
                </c:pt>
                <c:pt idx="988">
                  <c:v>24988.062531806088</c:v>
                </c:pt>
                <c:pt idx="989">
                  <c:v>24990.133642141322</c:v>
                </c:pt>
                <c:pt idx="990">
                  <c:v>24992.007750544843</c:v>
                </c:pt>
                <c:pt idx="991">
                  <c:v>24993.684783030061</c:v>
                </c:pt>
                <c:pt idx="992">
                  <c:v>24995.164673390602</c:v>
                </c:pt>
                <c:pt idx="993">
                  <c:v>24996.447363202926</c:v>
                </c:pt>
                <c:pt idx="994">
                  <c:v>24997.532801828638</c:v>
                </c:pt>
                <c:pt idx="995">
                  <c:v>24998.420946416485</c:v>
                </c:pt>
                <c:pt idx="996">
                  <c:v>24999.111761904034</c:v>
                </c:pt>
                <c:pt idx="997">
                  <c:v>24999.605221019076</c:v>
                </c:pt>
                <c:pt idx="998">
                  <c:v>24999.901304280684</c:v>
                </c:pt>
                <c:pt idx="999">
                  <c:v>25000</c:v>
                </c:pt>
              </c:numCache>
            </c:numRef>
          </c:xVal>
          <c:yVal>
            <c:numRef>
              <c:f>'Conditions initiale'!$O$5:$O$1004</c:f>
              <c:numCache>
                <c:formatCode>General</c:formatCode>
                <c:ptCount val="1000"/>
                <c:pt idx="0">
                  <c:v>7531.4157198277944</c:v>
                </c:pt>
                <c:pt idx="1">
                  <c:v>7562.8301994167632</c:v>
                </c:pt>
                <c:pt idx="2">
                  <c:v>7594.2421985770407</c:v>
                </c:pt>
                <c:pt idx="3">
                  <c:v>7625.6504772166872</c:v>
                </c:pt>
                <c:pt idx="4">
                  <c:v>7657.0537953906414</c:v>
                </c:pt>
                <c:pt idx="5">
                  <c:v>7688.4509133496731</c:v>
                </c:pt>
                <c:pt idx="6">
                  <c:v>7719.8405915893245</c:v>
                </c:pt>
                <c:pt idx="7">
                  <c:v>7751.2215908988474</c:v>
                </c:pt>
                <c:pt idx="8">
                  <c:v>7782.5926724101228</c:v>
                </c:pt>
                <c:pt idx="9">
                  <c:v>7813.9525976465666</c:v>
                </c:pt>
                <c:pt idx="10">
                  <c:v>7845.3001285720293</c:v>
                </c:pt>
                <c:pt idx="11">
                  <c:v>7876.6340276396631</c:v>
                </c:pt>
                <c:pt idx="12">
                  <c:v>7907.9530578407876</c:v>
                </c:pt>
                <c:pt idx="13">
                  <c:v>7939.2559827537161</c:v>
                </c:pt>
                <c:pt idx="14">
                  <c:v>7970.5415665925711</c:v>
                </c:pt>
                <c:pt idx="15">
                  <c:v>8001.8085742560743</c:v>
                </c:pt>
                <c:pt idx="16">
                  <c:v>8033.0557713762992</c:v>
                </c:pt>
                <c:pt idx="17">
                  <c:v>8064.2819243674085</c:v>
                </c:pt>
                <c:pt idx="18">
                  <c:v>8095.4858004743483</c:v>
                </c:pt>
                <c:pt idx="19">
                  <c:v>8126.6661678215214</c:v>
                </c:pt>
                <c:pt idx="20">
                  <c:v>8157.821795461412</c:v>
                </c:pt>
                <c:pt idx="21">
                  <c:v>8188.9514534231903</c:v>
                </c:pt>
                <c:pt idx="22">
                  <c:v>8220.053912761261</c:v>
                </c:pt>
                <c:pt idx="23">
                  <c:v>8251.1279456037846</c:v>
                </c:pt>
                <c:pt idx="24">
                  <c:v>8282.1723252011543</c:v>
                </c:pt>
                <c:pt idx="25">
                  <c:v>8313.1858259744185</c:v>
                </c:pt>
                <c:pt idx="26">
                  <c:v>8344.1672235636688</c:v>
                </c:pt>
                <c:pt idx="27">
                  <c:v>8375.1152948763793</c:v>
                </c:pt>
                <c:pt idx="28">
                  <c:v>8406.0288181356864</c:v>
                </c:pt>
                <c:pt idx="29">
                  <c:v>8436.9065729286231</c:v>
                </c:pt>
                <c:pt idx="30">
                  <c:v>8467.7473402543001</c:v>
                </c:pt>
                <c:pt idx="31">
                  <c:v>8498.5499025720346</c:v>
                </c:pt>
                <c:pt idx="32">
                  <c:v>8529.3130438494063</c:v>
                </c:pt>
                <c:pt idx="33">
                  <c:v>8560.0355496102729</c:v>
                </c:pt>
                <c:pt idx="34">
                  <c:v>8590.7162069827118</c:v>
                </c:pt>
                <c:pt idx="35">
                  <c:v>8621.3538047469046</c:v>
                </c:pt>
                <c:pt idx="36">
                  <c:v>8651.9471333829533</c:v>
                </c:pt>
                <c:pt idx="37">
                  <c:v>8682.4949851186229</c:v>
                </c:pt>
                <c:pt idx="38">
                  <c:v>8712.9961539770375</c:v>
                </c:pt>
                <c:pt idx="39">
                  <c:v>8743.4494358242737</c:v>
                </c:pt>
                <c:pt idx="40">
                  <c:v>8773.8536284169113</c:v>
                </c:pt>
                <c:pt idx="41">
                  <c:v>8804.207531449485</c:v>
                </c:pt>
                <c:pt idx="42">
                  <c:v>8834.5099466018783</c:v>
                </c:pt>
                <c:pt idx="43">
                  <c:v>8864.7596775866259</c:v>
                </c:pt>
                <c:pt idx="44">
                  <c:v>8894.9555301961464</c:v>
                </c:pt>
                <c:pt idx="45">
                  <c:v>8925.0963123498805</c:v>
                </c:pt>
                <c:pt idx="46">
                  <c:v>8955.1808341413598</c:v>
                </c:pt>
                <c:pt idx="47">
                  <c:v>8985.2079078851748</c:v>
                </c:pt>
                <c:pt idx="48">
                  <c:v>9015.17634816387</c:v>
                </c:pt>
                <c:pt idx="49">
                  <c:v>9045.0849718747377</c:v>
                </c:pt>
                <c:pt idx="50">
                  <c:v>9074.932598276524</c:v>
                </c:pt>
                <c:pt idx="51">
                  <c:v>9104.7180490360479</c:v>
                </c:pt>
                <c:pt idx="52">
                  <c:v>9134.4401482747126</c:v>
                </c:pt>
                <c:pt idx="53">
                  <c:v>9164.0977226149334</c:v>
                </c:pt>
                <c:pt idx="54">
                  <c:v>9193.6896012264569</c:v>
                </c:pt>
                <c:pt idx="55">
                  <c:v>9223.2146158725845</c:v>
                </c:pt>
                <c:pt idx="56">
                  <c:v>9252.6716009562952</c:v>
                </c:pt>
                <c:pt idx="57">
                  <c:v>9282.0593935662528</c:v>
                </c:pt>
                <c:pt idx="58">
                  <c:v>9311.3768335227287</c:v>
                </c:pt>
                <c:pt idx="59">
                  <c:v>9340.6227634233892</c:v>
                </c:pt>
                <c:pt idx="60">
                  <c:v>9369.7960286890011</c:v>
                </c:pt>
                <c:pt idx="61">
                  <c:v>9398.895477609005</c:v>
                </c:pt>
                <c:pt idx="62">
                  <c:v>9427.9199613869823</c:v>
                </c:pt>
                <c:pt idx="63">
                  <c:v>9456.8683341860124</c:v>
                </c:pt>
                <c:pt idx="64">
                  <c:v>9485.7394531739028</c:v>
                </c:pt>
                <c:pt idx="65">
                  <c:v>9514.5321785683136</c:v>
                </c:pt>
                <c:pt idx="66">
                  <c:v>9543.2453736817442</c:v>
                </c:pt>
                <c:pt idx="67">
                  <c:v>9571.8779049664208</c:v>
                </c:pt>
                <c:pt idx="68">
                  <c:v>9600.4286420590306</c:v>
                </c:pt>
                <c:pt idx="69">
                  <c:v>9628.8964578253617</c:v>
                </c:pt>
                <c:pt idx="70">
                  <c:v>9657.2802284047939</c:v>
                </c:pt>
                <c:pt idx="71">
                  <c:v>9685.5788332546636</c:v>
                </c:pt>
                <c:pt idx="72">
                  <c:v>9713.7911551945072</c:v>
                </c:pt>
                <c:pt idx="73">
                  <c:v>9741.9160804501607</c:v>
                </c:pt>
                <c:pt idx="74">
                  <c:v>9769.952498697734</c:v>
                </c:pt>
                <c:pt idx="75">
                  <c:v>9797.8993031074388</c:v>
                </c:pt>
                <c:pt idx="76">
                  <c:v>9825.7553903872904</c:v>
                </c:pt>
                <c:pt idx="77">
                  <c:v>9853.5196608266633</c:v>
                </c:pt>
                <c:pt idx="78">
                  <c:v>9881.191018339694</c:v>
                </c:pt>
                <c:pt idx="79">
                  <c:v>9908.7683705085765</c:v>
                </c:pt>
                <c:pt idx="80">
                  <c:v>9936.2506286266616</c:v>
                </c:pt>
                <c:pt idx="81">
                  <c:v>9963.6367077414579</c:v>
                </c:pt>
                <c:pt idx="82">
                  <c:v>9990.9255266974542</c:v>
                </c:pt>
                <c:pt idx="83">
                  <c:v>10018.116008178804</c:v>
                </c:pt>
                <c:pt idx="84">
                  <c:v>10045.207078751857</c:v>
                </c:pt>
                <c:pt idx="85">
                  <c:v>10072.197668907533</c:v>
                </c:pt>
                <c:pt idx="86">
                  <c:v>10099.086713103548</c:v>
                </c:pt>
                <c:pt idx="87">
                  <c:v>10125.873149806481</c:v>
                </c:pt>
                <c:pt idx="88">
                  <c:v>10152.555921533673</c:v>
                </c:pt>
                <c:pt idx="89">
                  <c:v>10179.133974894985</c:v>
                </c:pt>
                <c:pt idx="90">
                  <c:v>10205.60626063438</c:v>
                </c:pt>
                <c:pt idx="91">
                  <c:v>10231.971733671347</c:v>
                </c:pt>
                <c:pt idx="92">
                  <c:v>10258.229353142153</c:v>
                </c:pt>
                <c:pt idx="93">
                  <c:v>10284.378082440942</c:v>
                </c:pt>
                <c:pt idx="94">
                  <c:v>10310.416889260656</c:v>
                </c:pt>
                <c:pt idx="95">
                  <c:v>10336.344745633785</c:v>
                </c:pt>
                <c:pt idx="96">
                  <c:v>10362.160627972957</c:v>
                </c:pt>
                <c:pt idx="97">
                  <c:v>10387.863517111342</c:v>
                </c:pt>
                <c:pt idx="98">
                  <c:v>10413.452398342884</c:v>
                </c:pt>
                <c:pt idx="99">
                  <c:v>10438.926261462369</c:v>
                </c:pt>
                <c:pt idx="100">
                  <c:v>10464.2841008053</c:v>
                </c:pt>
                <c:pt idx="101">
                  <c:v>10489.524915287599</c:v>
                </c:pt>
                <c:pt idx="102">
                  <c:v>10514.647708445129</c:v>
                </c:pt>
                <c:pt idx="103">
                  <c:v>10539.651488473031</c:v>
                </c:pt>
                <c:pt idx="104">
                  <c:v>10564.535268264888</c:v>
                </c:pt>
                <c:pt idx="105">
                  <c:v>10589.298065451676</c:v>
                </c:pt>
                <c:pt idx="106">
                  <c:v>10613.938902440568</c:v>
                </c:pt>
                <c:pt idx="107">
                  <c:v>10638.456806453509</c:v>
                </c:pt>
                <c:pt idx="108">
                  <c:v>10662.850809565627</c:v>
                </c:pt>
                <c:pt idx="109">
                  <c:v>10687.119948743453</c:v>
                </c:pt>
                <c:pt idx="110">
                  <c:v>10711.263265882928</c:v>
                </c:pt>
                <c:pt idx="111">
                  <c:v>10735.279807847228</c:v>
                </c:pt>
                <c:pt idx="112">
                  <c:v>10759.168626504401</c:v>
                </c:pt>
                <c:pt idx="113">
                  <c:v>10782.928778764788</c:v>
                </c:pt>
                <c:pt idx="114">
                  <c:v>10806.559326618266</c:v>
                </c:pt>
                <c:pt idx="115">
                  <c:v>10830.059337171264</c:v>
                </c:pt>
                <c:pt idx="116">
                  <c:v>10853.427882683607</c:v>
                </c:pt>
                <c:pt idx="117">
                  <c:v>10876.66404060513</c:v>
                </c:pt>
                <c:pt idx="118">
                  <c:v>10899.766893612104</c:v>
                </c:pt>
                <c:pt idx="119">
                  <c:v>10922.735529643451</c:v>
                </c:pt>
                <c:pt idx="120">
                  <c:v>10945.569041936749</c:v>
                </c:pt>
                <c:pt idx="121">
                  <c:v>10968.266529064033</c:v>
                </c:pt>
                <c:pt idx="122">
                  <c:v>10990.827094967372</c:v>
                </c:pt>
                <c:pt idx="123">
                  <c:v>11013.249848994254</c:v>
                </c:pt>
                <c:pt idx="124">
                  <c:v>11035.533905932745</c:v>
                </c:pt>
                <c:pt idx="125">
                  <c:v>11057.678386046435</c:v>
                </c:pt>
                <c:pt idx="126">
                  <c:v>11079.682415109164</c:v>
                </c:pt>
                <c:pt idx="127">
                  <c:v>11101.545124439543</c:v>
                </c:pt>
                <c:pt idx="128">
                  <c:v>11123.265650935242</c:v>
                </c:pt>
                <c:pt idx="129">
                  <c:v>11144.843137107066</c:v>
                </c:pt>
                <c:pt idx="130">
                  <c:v>11166.276731112808</c:v>
                </c:pt>
                <c:pt idx="131">
                  <c:v>11187.565586790879</c:v>
                </c:pt>
                <c:pt idx="132">
                  <c:v>11208.708863693706</c:v>
                </c:pt>
                <c:pt idx="133">
                  <c:v>11229.70572712092</c:v>
                </c:pt>
                <c:pt idx="134">
                  <c:v>11250.555348152307</c:v>
                </c:pt>
                <c:pt idx="135">
                  <c:v>11271.256903680529</c:v>
                </c:pt>
                <c:pt idx="136">
                  <c:v>11291.809576443618</c:v>
                </c:pt>
                <c:pt idx="137">
                  <c:v>11312.212555057249</c:v>
                </c:pt>
                <c:pt idx="138">
                  <c:v>11332.46503404676</c:v>
                </c:pt>
                <c:pt idx="139">
                  <c:v>11352.566213878956</c:v>
                </c:pt>
                <c:pt idx="140">
                  <c:v>11372.515300993678</c:v>
                </c:pt>
                <c:pt idx="141">
                  <c:v>11392.311507835127</c:v>
                </c:pt>
                <c:pt idx="142">
                  <c:v>11411.954052882951</c:v>
                </c:pt>
                <c:pt idx="143">
                  <c:v>11431.442160683106</c:v>
                </c:pt>
                <c:pt idx="144">
                  <c:v>11450.775061878463</c:v>
                </c:pt>
                <c:pt idx="145">
                  <c:v>11469.951993239187</c:v>
                </c:pt>
                <c:pt idx="146">
                  <c:v>11488.972197692865</c:v>
                </c:pt>
                <c:pt idx="147">
                  <c:v>11507.834924354393</c:v>
                </c:pt>
                <c:pt idx="148">
                  <c:v>11526.539428555621</c:v>
                </c:pt>
                <c:pt idx="149">
                  <c:v>11545.084971874749</c:v>
                </c:pt>
                <c:pt idx="150">
                  <c:v>11563.47082216548</c:v>
                </c:pt>
                <c:pt idx="151">
                  <c:v>11581.696253585931</c:v>
                </c:pt>
                <c:pt idx="152">
                  <c:v>11599.760546627273</c:v>
                </c:pt>
                <c:pt idx="153">
                  <c:v>11617.662988142147</c:v>
                </c:pt>
                <c:pt idx="154">
                  <c:v>11635.40287137282</c:v>
                </c:pt>
                <c:pt idx="155">
                  <c:v>11652.979495979074</c:v>
                </c:pt>
                <c:pt idx="156">
                  <c:v>11670.392168065868</c:v>
                </c:pt>
                <c:pt idx="157">
                  <c:v>11687.640200210721</c:v>
                </c:pt>
                <c:pt idx="158">
                  <c:v>11704.722911490855</c:v>
                </c:pt>
                <c:pt idx="159">
                  <c:v>11721.639627510085</c:v>
                </c:pt>
                <c:pt idx="160">
                  <c:v>11738.389680425427</c:v>
                </c:pt>
                <c:pt idx="161">
                  <c:v>11754.97240897347</c:v>
                </c:pt>
                <c:pt idx="162">
                  <c:v>11771.387158496487</c:v>
                </c:pt>
                <c:pt idx="163">
                  <c:v>11787.633280968272</c:v>
                </c:pt>
                <c:pt idx="164">
                  <c:v>11803.71013501973</c:v>
                </c:pt>
                <c:pt idx="165">
                  <c:v>11819.617085964186</c:v>
                </c:pt>
                <c:pt idx="166">
                  <c:v>11835.353505822462</c:v>
                </c:pt>
                <c:pt idx="167">
                  <c:v>11850.918773347639</c:v>
                </c:pt>
                <c:pt idx="168">
                  <c:v>11866.312274049611</c:v>
                </c:pt>
                <c:pt idx="169">
                  <c:v>11881.53340021933</c:v>
                </c:pt>
                <c:pt idx="170">
                  <c:v>11896.581550952793</c:v>
                </c:pt>
                <c:pt idx="171">
                  <c:v>11911.456132174779</c:v>
                </c:pt>
                <c:pt idx="172">
                  <c:v>11926.156556662287</c:v>
                </c:pt>
                <c:pt idx="173">
                  <c:v>11940.682244067733</c:v>
                </c:pt>
                <c:pt idx="174">
                  <c:v>11955.032620941849</c:v>
                </c:pt>
                <c:pt idx="175">
                  <c:v>11969.207120756331</c:v>
                </c:pt>
                <c:pt idx="176">
                  <c:v>11983.205183926191</c:v>
                </c:pt>
                <c:pt idx="177">
                  <c:v>11997.026257831865</c:v>
                </c:pt>
                <c:pt idx="178">
                  <c:v>12010.669796841026</c:v>
                </c:pt>
                <c:pt idx="179">
                  <c:v>12024.135262330108</c:v>
                </c:pt>
                <c:pt idx="180">
                  <c:v>12037.422122705597</c:v>
                </c:pt>
                <c:pt idx="181">
                  <c:v>12050.529853424989</c:v>
                </c:pt>
                <c:pt idx="182">
                  <c:v>12063.457937017525</c:v>
                </c:pt>
                <c:pt idx="183">
                  <c:v>12076.205863104598</c:v>
                </c:pt>
                <c:pt idx="184">
                  <c:v>12088.773128419916</c:v>
                </c:pt>
                <c:pt idx="185">
                  <c:v>12101.159236829362</c:v>
                </c:pt>
                <c:pt idx="186">
                  <c:v>12113.363699350586</c:v>
                </c:pt>
                <c:pt idx="187">
                  <c:v>12125.386034172301</c:v>
                </c:pt>
                <c:pt idx="188">
                  <c:v>12137.225766673317</c:v>
                </c:pt>
                <c:pt idx="189">
                  <c:v>12148.882429441266</c:v>
                </c:pt>
                <c:pt idx="190">
                  <c:v>12160.355562291064</c:v>
                </c:pt>
                <c:pt idx="191">
                  <c:v>12171.64471228307</c:v>
                </c:pt>
                <c:pt idx="192">
                  <c:v>12182.749433740972</c:v>
                </c:pt>
                <c:pt idx="193">
                  <c:v>12193.669288269381</c:v>
                </c:pt>
                <c:pt idx="194">
                  <c:v>12204.403844771137</c:v>
                </c:pt>
                <c:pt idx="195">
                  <c:v>12214.952679464332</c:v>
                </c:pt>
                <c:pt idx="196">
                  <c:v>12225.315375899034</c:v>
                </c:pt>
                <c:pt idx="197">
                  <c:v>12235.491524973731</c:v>
                </c:pt>
                <c:pt idx="198">
                  <c:v>12245.480724951482</c:v>
                </c:pt>
                <c:pt idx="199">
                  <c:v>12255.282581475778</c:v>
                </c:pt>
                <c:pt idx="200">
                  <c:v>12264.896707586104</c:v>
                </c:pt>
                <c:pt idx="201">
                  <c:v>12274.322723733225</c:v>
                </c:pt>
                <c:pt idx="202">
                  <c:v>12283.560257794161</c:v>
                </c:pt>
                <c:pt idx="203">
                  <c:v>12292.608945086889</c:v>
                </c:pt>
                <c:pt idx="204">
                  <c:v>12301.468428384724</c:v>
                </c:pt>
                <c:pt idx="205">
                  <c:v>12310.138357930438</c:v>
                </c:pt>
                <c:pt idx="206">
                  <c:v>12318.618391450058</c:v>
                </c:pt>
                <c:pt idx="207">
                  <c:v>12326.908194166379</c:v>
                </c:pt>
                <c:pt idx="208">
                  <c:v>12335.007438812183</c:v>
                </c:pt>
                <c:pt idx="209">
                  <c:v>12342.915805643162</c:v>
                </c:pt>
                <c:pt idx="210">
                  <c:v>12350.632982450537</c:v>
                </c:pt>
                <c:pt idx="211">
                  <c:v>12358.158664573377</c:v>
                </c:pt>
                <c:pt idx="212">
                  <c:v>12365.492554910641</c:v>
                </c:pt>
                <c:pt idx="213">
                  <c:v>12372.634363932893</c:v>
                </c:pt>
                <c:pt idx="214">
                  <c:v>12379.583809693744</c:v>
                </c:pt>
                <c:pt idx="215">
                  <c:v>12386.340617840975</c:v>
                </c:pt>
                <c:pt idx="216">
                  <c:v>12392.904521627366</c:v>
                </c:pt>
                <c:pt idx="217">
                  <c:v>12399.275261921241</c:v>
                </c:pt>
                <c:pt idx="218">
                  <c:v>12405.452587216678</c:v>
                </c:pt>
                <c:pt idx="219">
                  <c:v>12411.436253643449</c:v>
                </c:pt>
                <c:pt idx="220">
                  <c:v>12417.226024976655</c:v>
                </c:pt>
                <c:pt idx="221">
                  <c:v>12422.821672646034</c:v>
                </c:pt>
                <c:pt idx="222">
                  <c:v>12428.222975744997</c:v>
                </c:pt>
                <c:pt idx="223">
                  <c:v>12433.429721039345</c:v>
                </c:pt>
                <c:pt idx="224">
                  <c:v>12438.441702975695</c:v>
                </c:pt>
                <c:pt idx="225">
                  <c:v>12443.258723689576</c:v>
                </c:pt>
                <c:pt idx="226">
                  <c:v>12447.88059301326</c:v>
                </c:pt>
                <c:pt idx="227">
                  <c:v>12452.307128483262</c:v>
                </c:pt>
                <c:pt idx="228">
                  <c:v>12456.538155347538</c:v>
                </c:pt>
                <c:pt idx="229">
                  <c:v>12460.573506572393</c:v>
                </c:pt>
                <c:pt idx="230">
                  <c:v>12464.413022849072</c:v>
                </c:pt>
                <c:pt idx="231">
                  <c:v>12468.056552600046</c:v>
                </c:pt>
                <c:pt idx="232">
                  <c:v>12471.503951985</c:v>
                </c:pt>
                <c:pt idx="233">
                  <c:v>12474.755084906505</c:v>
                </c:pt>
                <c:pt idx="234">
                  <c:v>12477.809823015403</c:v>
                </c:pt>
                <c:pt idx="235">
                  <c:v>12480.668045715865</c:v>
                </c:pt>
                <c:pt idx="236">
                  <c:v>12483.329640170152</c:v>
                </c:pt>
                <c:pt idx="237">
                  <c:v>12485.794501303073</c:v>
                </c:pt>
                <c:pt idx="238">
                  <c:v>12488.062531806128</c:v>
                </c:pt>
                <c:pt idx="239">
                  <c:v>12490.133642141362</c:v>
                </c:pt>
                <c:pt idx="240">
                  <c:v>12492.007750544877</c:v>
                </c:pt>
                <c:pt idx="241">
                  <c:v>12493.68478303009</c:v>
                </c:pt>
                <c:pt idx="242">
                  <c:v>12495.164673390625</c:v>
                </c:pt>
                <c:pt idx="243">
                  <c:v>12496.447363202948</c:v>
                </c:pt>
                <c:pt idx="244">
                  <c:v>12497.53280182866</c:v>
                </c:pt>
                <c:pt idx="245">
                  <c:v>12498.4209464165</c:v>
                </c:pt>
                <c:pt idx="246">
                  <c:v>12499.111761904045</c:v>
                </c:pt>
                <c:pt idx="247">
                  <c:v>12499.605221019081</c:v>
                </c:pt>
                <c:pt idx="248">
                  <c:v>12499.901304280687</c:v>
                </c:pt>
                <c:pt idx="249">
                  <c:v>12500</c:v>
                </c:pt>
                <c:pt idx="250">
                  <c:v>12499.901304280686</c:v>
                </c:pt>
                <c:pt idx="251">
                  <c:v>12499.605221019079</c:v>
                </c:pt>
                <c:pt idx="252">
                  <c:v>12499.111761904045</c:v>
                </c:pt>
                <c:pt idx="253">
                  <c:v>12498.4209464165</c:v>
                </c:pt>
                <c:pt idx="254">
                  <c:v>12497.532801828656</c:v>
                </c:pt>
                <c:pt idx="255">
                  <c:v>12496.447363202944</c:v>
                </c:pt>
                <c:pt idx="256">
                  <c:v>12495.164673390622</c:v>
                </c:pt>
                <c:pt idx="257">
                  <c:v>12493.684783030085</c:v>
                </c:pt>
                <c:pt idx="258">
                  <c:v>12492.007750544872</c:v>
                </c:pt>
                <c:pt idx="259">
                  <c:v>12490.133642141354</c:v>
                </c:pt>
                <c:pt idx="260">
                  <c:v>12488.062531806123</c:v>
                </c:pt>
                <c:pt idx="261">
                  <c:v>12485.794501303066</c:v>
                </c:pt>
                <c:pt idx="262">
                  <c:v>12483.329640170145</c:v>
                </c:pt>
                <c:pt idx="263">
                  <c:v>12480.668045715858</c:v>
                </c:pt>
                <c:pt idx="264">
                  <c:v>12477.809823015396</c:v>
                </c:pt>
                <c:pt idx="265">
                  <c:v>12474.755084906496</c:v>
                </c:pt>
                <c:pt idx="266">
                  <c:v>12471.503951984989</c:v>
                </c:pt>
                <c:pt idx="267">
                  <c:v>12468.056552600036</c:v>
                </c:pt>
                <c:pt idx="268">
                  <c:v>12464.413022849061</c:v>
                </c:pt>
                <c:pt idx="269">
                  <c:v>12460.573506572382</c:v>
                </c:pt>
                <c:pt idx="270">
                  <c:v>12456.538155347527</c:v>
                </c:pt>
                <c:pt idx="271">
                  <c:v>12452.307128483249</c:v>
                </c:pt>
                <c:pt idx="272">
                  <c:v>12447.880593013248</c:v>
                </c:pt>
                <c:pt idx="273">
                  <c:v>12443.258723689563</c:v>
                </c:pt>
                <c:pt idx="274">
                  <c:v>12438.441702975681</c:v>
                </c:pt>
                <c:pt idx="275">
                  <c:v>12433.429721039331</c:v>
                </c:pt>
                <c:pt idx="276">
                  <c:v>12428.222975744982</c:v>
                </c:pt>
                <c:pt idx="277">
                  <c:v>12422.821672646018</c:v>
                </c:pt>
                <c:pt idx="278">
                  <c:v>12417.22602497664</c:v>
                </c:pt>
                <c:pt idx="279">
                  <c:v>12411.436253643435</c:v>
                </c:pt>
                <c:pt idx="280">
                  <c:v>12405.45258721666</c:v>
                </c:pt>
                <c:pt idx="281">
                  <c:v>12399.275261921222</c:v>
                </c:pt>
                <c:pt idx="282">
                  <c:v>12392.90452162735</c:v>
                </c:pt>
                <c:pt idx="283">
                  <c:v>12386.340617840957</c:v>
                </c:pt>
                <c:pt idx="284">
                  <c:v>12379.583809693726</c:v>
                </c:pt>
                <c:pt idx="285">
                  <c:v>12372.634363932873</c:v>
                </c:pt>
                <c:pt idx="286">
                  <c:v>12365.492554910619</c:v>
                </c:pt>
                <c:pt idx="287">
                  <c:v>12358.158664573357</c:v>
                </c:pt>
                <c:pt idx="288">
                  <c:v>12350.632982450516</c:v>
                </c:pt>
                <c:pt idx="289">
                  <c:v>12342.915805643142</c:v>
                </c:pt>
                <c:pt idx="290">
                  <c:v>12335.007438812161</c:v>
                </c:pt>
                <c:pt idx="291">
                  <c:v>12326.908194166355</c:v>
                </c:pt>
                <c:pt idx="292">
                  <c:v>12318.618391450033</c:v>
                </c:pt>
                <c:pt idx="293">
                  <c:v>12310.138357930413</c:v>
                </c:pt>
                <c:pt idx="294">
                  <c:v>12301.4684283847</c:v>
                </c:pt>
                <c:pt idx="295">
                  <c:v>12292.608945086864</c:v>
                </c:pt>
                <c:pt idx="296">
                  <c:v>12283.560257794135</c:v>
                </c:pt>
                <c:pt idx="297">
                  <c:v>12274.322723733199</c:v>
                </c:pt>
                <c:pt idx="298">
                  <c:v>12264.896707586076</c:v>
                </c:pt>
                <c:pt idx="299">
                  <c:v>12255.282581475749</c:v>
                </c:pt>
                <c:pt idx="300">
                  <c:v>12245.480724951454</c:v>
                </c:pt>
                <c:pt idx="301">
                  <c:v>12235.491524973702</c:v>
                </c:pt>
                <c:pt idx="302">
                  <c:v>12225.315375899005</c:v>
                </c:pt>
                <c:pt idx="303">
                  <c:v>12214.952679464302</c:v>
                </c:pt>
                <c:pt idx="304">
                  <c:v>12204.403844771106</c:v>
                </c:pt>
                <c:pt idx="305">
                  <c:v>12193.66928826935</c:v>
                </c:pt>
                <c:pt idx="306">
                  <c:v>12182.749433740941</c:v>
                </c:pt>
                <c:pt idx="307">
                  <c:v>12171.64471228304</c:v>
                </c:pt>
                <c:pt idx="308">
                  <c:v>12160.355562291033</c:v>
                </c:pt>
                <c:pt idx="309">
                  <c:v>12148.882429441235</c:v>
                </c:pt>
                <c:pt idx="310">
                  <c:v>12137.225766673284</c:v>
                </c:pt>
                <c:pt idx="311">
                  <c:v>12125.386034172268</c:v>
                </c:pt>
                <c:pt idx="312">
                  <c:v>12113.36369935055</c:v>
                </c:pt>
                <c:pt idx="313">
                  <c:v>12101.159236829328</c:v>
                </c:pt>
                <c:pt idx="314">
                  <c:v>12088.773128419882</c:v>
                </c:pt>
                <c:pt idx="315">
                  <c:v>12076.205863104562</c:v>
                </c:pt>
                <c:pt idx="316">
                  <c:v>12063.457937017489</c:v>
                </c:pt>
                <c:pt idx="317">
                  <c:v>12050.529853424952</c:v>
                </c:pt>
                <c:pt idx="318">
                  <c:v>12037.422122705559</c:v>
                </c:pt>
                <c:pt idx="319">
                  <c:v>12024.13526233007</c:v>
                </c:pt>
                <c:pt idx="320">
                  <c:v>12010.669796840986</c:v>
                </c:pt>
                <c:pt idx="321">
                  <c:v>11997.026257831829</c:v>
                </c:pt>
                <c:pt idx="322">
                  <c:v>11983.205183926151</c:v>
                </c:pt>
                <c:pt idx="323">
                  <c:v>11969.207120756291</c:v>
                </c:pt>
                <c:pt idx="324">
                  <c:v>11955.032620941809</c:v>
                </c:pt>
                <c:pt idx="325">
                  <c:v>11940.682244067693</c:v>
                </c:pt>
                <c:pt idx="326">
                  <c:v>11926.156556662247</c:v>
                </c:pt>
                <c:pt idx="327">
                  <c:v>11911.456132174735</c:v>
                </c:pt>
                <c:pt idx="328">
                  <c:v>11896.581550952749</c:v>
                </c:pt>
                <c:pt idx="329">
                  <c:v>11881.533400219287</c:v>
                </c:pt>
                <c:pt idx="330">
                  <c:v>11866.312274049569</c:v>
                </c:pt>
                <c:pt idx="331">
                  <c:v>11850.918773347596</c:v>
                </c:pt>
                <c:pt idx="332">
                  <c:v>11835.353505822417</c:v>
                </c:pt>
                <c:pt idx="333">
                  <c:v>11819.617085964142</c:v>
                </c:pt>
                <c:pt idx="334">
                  <c:v>11803.710135019684</c:v>
                </c:pt>
                <c:pt idx="335">
                  <c:v>11787.633280968226</c:v>
                </c:pt>
                <c:pt idx="336">
                  <c:v>11771.38715849644</c:v>
                </c:pt>
                <c:pt idx="337">
                  <c:v>11754.972408973423</c:v>
                </c:pt>
                <c:pt idx="338">
                  <c:v>11738.38968042538</c:v>
                </c:pt>
                <c:pt idx="339">
                  <c:v>11721.639627510038</c:v>
                </c:pt>
                <c:pt idx="340">
                  <c:v>11704.722911490808</c:v>
                </c:pt>
                <c:pt idx="341">
                  <c:v>11687.64020021067</c:v>
                </c:pt>
                <c:pt idx="342">
                  <c:v>11670.392168065817</c:v>
                </c:pt>
                <c:pt idx="343">
                  <c:v>11652.979495979023</c:v>
                </c:pt>
                <c:pt idx="344">
                  <c:v>11635.402871372771</c:v>
                </c:pt>
                <c:pt idx="345">
                  <c:v>11617.662988142098</c:v>
                </c:pt>
                <c:pt idx="346">
                  <c:v>11599.760546627222</c:v>
                </c:pt>
                <c:pt idx="347">
                  <c:v>11581.69625358588</c:v>
                </c:pt>
                <c:pt idx="348">
                  <c:v>11563.470822165429</c:v>
                </c:pt>
                <c:pt idx="349">
                  <c:v>11545.084971874696</c:v>
                </c:pt>
                <c:pt idx="350">
                  <c:v>11526.539428555567</c:v>
                </c:pt>
                <c:pt idx="351">
                  <c:v>11507.83492435434</c:v>
                </c:pt>
                <c:pt idx="352">
                  <c:v>11488.972197692812</c:v>
                </c:pt>
                <c:pt idx="353">
                  <c:v>11469.951993239134</c:v>
                </c:pt>
                <c:pt idx="354">
                  <c:v>11450.775061878408</c:v>
                </c:pt>
                <c:pt idx="355">
                  <c:v>11431.442160683049</c:v>
                </c:pt>
                <c:pt idx="356">
                  <c:v>11411.954052882895</c:v>
                </c:pt>
                <c:pt idx="357">
                  <c:v>11392.311507835071</c:v>
                </c:pt>
                <c:pt idx="358">
                  <c:v>11372.515300993622</c:v>
                </c:pt>
                <c:pt idx="359">
                  <c:v>11352.566213878899</c:v>
                </c:pt>
                <c:pt idx="360">
                  <c:v>11332.465034046701</c:v>
                </c:pt>
                <c:pt idx="361">
                  <c:v>11312.212555057191</c:v>
                </c:pt>
                <c:pt idx="362">
                  <c:v>11291.80957644356</c:v>
                </c:pt>
                <c:pt idx="363">
                  <c:v>11271.256903680471</c:v>
                </c:pt>
                <c:pt idx="364">
                  <c:v>11250.555348152247</c:v>
                </c:pt>
                <c:pt idx="365">
                  <c:v>11229.705727120861</c:v>
                </c:pt>
                <c:pt idx="366">
                  <c:v>11208.708863693646</c:v>
                </c:pt>
                <c:pt idx="367">
                  <c:v>11187.565586790819</c:v>
                </c:pt>
                <c:pt idx="368">
                  <c:v>11166.276731112748</c:v>
                </c:pt>
                <c:pt idx="369">
                  <c:v>11144.843137107006</c:v>
                </c:pt>
                <c:pt idx="370">
                  <c:v>11123.26565093518</c:v>
                </c:pt>
                <c:pt idx="371">
                  <c:v>11101.545124439481</c:v>
                </c:pt>
                <c:pt idx="372">
                  <c:v>11079.682415109102</c:v>
                </c:pt>
                <c:pt idx="373">
                  <c:v>11057.678386046373</c:v>
                </c:pt>
                <c:pt idx="374">
                  <c:v>11035.533905932683</c:v>
                </c:pt>
                <c:pt idx="375">
                  <c:v>11013.24984899419</c:v>
                </c:pt>
                <c:pt idx="376">
                  <c:v>10990.827094967308</c:v>
                </c:pt>
                <c:pt idx="377">
                  <c:v>10968.266529063969</c:v>
                </c:pt>
                <c:pt idx="378">
                  <c:v>10945.569041936686</c:v>
                </c:pt>
                <c:pt idx="379">
                  <c:v>10922.735529643385</c:v>
                </c:pt>
                <c:pt idx="380">
                  <c:v>10899.766893612039</c:v>
                </c:pt>
                <c:pt idx="381">
                  <c:v>10876.664040605065</c:v>
                </c:pt>
                <c:pt idx="382">
                  <c:v>10853.427882683542</c:v>
                </c:pt>
                <c:pt idx="383">
                  <c:v>10830.059337171198</c:v>
                </c:pt>
                <c:pt idx="384">
                  <c:v>10806.559326618199</c:v>
                </c:pt>
                <c:pt idx="385">
                  <c:v>10782.928778764723</c:v>
                </c:pt>
                <c:pt idx="386">
                  <c:v>10759.168626504334</c:v>
                </c:pt>
                <c:pt idx="387">
                  <c:v>10735.279807847161</c:v>
                </c:pt>
                <c:pt idx="388">
                  <c:v>10711.263265882859</c:v>
                </c:pt>
                <c:pt idx="389">
                  <c:v>10687.119948743386</c:v>
                </c:pt>
                <c:pt idx="390">
                  <c:v>10662.85080956556</c:v>
                </c:pt>
                <c:pt idx="391">
                  <c:v>10638.456806453438</c:v>
                </c:pt>
                <c:pt idx="392">
                  <c:v>10613.938902440499</c:v>
                </c:pt>
                <c:pt idx="393">
                  <c:v>10589.298065451607</c:v>
                </c:pt>
                <c:pt idx="394">
                  <c:v>10564.535268264817</c:v>
                </c:pt>
                <c:pt idx="395">
                  <c:v>10539.651488472962</c:v>
                </c:pt>
                <c:pt idx="396">
                  <c:v>10514.647708445058</c:v>
                </c:pt>
                <c:pt idx="397">
                  <c:v>10489.524915287528</c:v>
                </c:pt>
                <c:pt idx="398">
                  <c:v>10464.284100805229</c:v>
                </c:pt>
                <c:pt idx="399">
                  <c:v>10438.926261462298</c:v>
                </c:pt>
                <c:pt idx="400">
                  <c:v>10413.452398342812</c:v>
                </c:pt>
                <c:pt idx="401">
                  <c:v>10387.863517111269</c:v>
                </c:pt>
                <c:pt idx="402">
                  <c:v>10362.160627972884</c:v>
                </c:pt>
                <c:pt idx="403">
                  <c:v>10336.344745633713</c:v>
                </c:pt>
                <c:pt idx="404">
                  <c:v>10310.416889260583</c:v>
                </c:pt>
                <c:pt idx="405">
                  <c:v>10284.37808244087</c:v>
                </c:pt>
                <c:pt idx="406">
                  <c:v>10258.22935314208</c:v>
                </c:pt>
                <c:pt idx="407">
                  <c:v>10231.971733671273</c:v>
                </c:pt>
                <c:pt idx="408">
                  <c:v>10205.606260634308</c:v>
                </c:pt>
                <c:pt idx="409">
                  <c:v>10179.13397489491</c:v>
                </c:pt>
                <c:pt idx="410">
                  <c:v>10152.555921533596</c:v>
                </c:pt>
                <c:pt idx="411">
                  <c:v>10125.873149806404</c:v>
                </c:pt>
                <c:pt idx="412">
                  <c:v>10099.086713103472</c:v>
                </c:pt>
                <c:pt idx="413">
                  <c:v>10072.197668907458</c:v>
                </c:pt>
                <c:pt idx="414">
                  <c:v>10045.207078751781</c:v>
                </c:pt>
                <c:pt idx="415">
                  <c:v>10018.116008178727</c:v>
                </c:pt>
                <c:pt idx="416">
                  <c:v>9990.9255266973778</c:v>
                </c:pt>
                <c:pt idx="417">
                  <c:v>9963.6367077413815</c:v>
                </c:pt>
                <c:pt idx="418">
                  <c:v>9936.2506286265834</c:v>
                </c:pt>
                <c:pt idx="419">
                  <c:v>9908.7683705084983</c:v>
                </c:pt>
                <c:pt idx="420">
                  <c:v>9881.1910183396176</c:v>
                </c:pt>
                <c:pt idx="421">
                  <c:v>9853.5196608265833</c:v>
                </c:pt>
                <c:pt idx="422">
                  <c:v>9825.7553903872122</c:v>
                </c:pt>
                <c:pt idx="423">
                  <c:v>9797.8993031073587</c:v>
                </c:pt>
                <c:pt idx="424">
                  <c:v>9769.9524986976539</c:v>
                </c:pt>
                <c:pt idx="425">
                  <c:v>9741.9160804500807</c:v>
                </c:pt>
                <c:pt idx="426">
                  <c:v>9713.7911551944253</c:v>
                </c:pt>
                <c:pt idx="427">
                  <c:v>9685.5788332545817</c:v>
                </c:pt>
                <c:pt idx="428">
                  <c:v>9657.280228404712</c:v>
                </c:pt>
                <c:pt idx="429">
                  <c:v>9628.8964578252799</c:v>
                </c:pt>
                <c:pt idx="430">
                  <c:v>9600.4286420589488</c:v>
                </c:pt>
                <c:pt idx="431">
                  <c:v>9571.8779049663372</c:v>
                </c:pt>
                <c:pt idx="432">
                  <c:v>9543.2453736816606</c:v>
                </c:pt>
                <c:pt idx="433">
                  <c:v>9514.5321785682281</c:v>
                </c:pt>
                <c:pt idx="434">
                  <c:v>9485.7394531738173</c:v>
                </c:pt>
                <c:pt idx="435">
                  <c:v>9456.8683341859269</c:v>
                </c:pt>
                <c:pt idx="436">
                  <c:v>9427.9199613868968</c:v>
                </c:pt>
                <c:pt idx="437">
                  <c:v>9398.8954776089195</c:v>
                </c:pt>
                <c:pt idx="438">
                  <c:v>9369.7960286889138</c:v>
                </c:pt>
                <c:pt idx="439">
                  <c:v>9340.6227634233019</c:v>
                </c:pt>
                <c:pt idx="440">
                  <c:v>9311.3768335226396</c:v>
                </c:pt>
                <c:pt idx="441">
                  <c:v>9282.0593935661655</c:v>
                </c:pt>
                <c:pt idx="442">
                  <c:v>9252.671600956206</c:v>
                </c:pt>
                <c:pt idx="443">
                  <c:v>9223.2146158724954</c:v>
                </c:pt>
                <c:pt idx="444">
                  <c:v>9193.689601226366</c:v>
                </c:pt>
                <c:pt idx="445">
                  <c:v>9164.0977226148425</c:v>
                </c:pt>
                <c:pt idx="446">
                  <c:v>9134.4401482746216</c:v>
                </c:pt>
                <c:pt idx="447">
                  <c:v>9104.7180490359551</c:v>
                </c:pt>
                <c:pt idx="448">
                  <c:v>9074.9325982764312</c:v>
                </c:pt>
                <c:pt idx="449">
                  <c:v>9045.0849718746449</c:v>
                </c:pt>
                <c:pt idx="450">
                  <c:v>9015.1763481637772</c:v>
                </c:pt>
                <c:pt idx="451">
                  <c:v>8985.207907885082</c:v>
                </c:pt>
                <c:pt idx="452">
                  <c:v>8955.1808341412652</c:v>
                </c:pt>
                <c:pt idx="453">
                  <c:v>8925.0963123497859</c:v>
                </c:pt>
                <c:pt idx="454">
                  <c:v>8894.9555301960518</c:v>
                </c:pt>
                <c:pt idx="455">
                  <c:v>8864.7596775865313</c:v>
                </c:pt>
                <c:pt idx="456">
                  <c:v>8834.5099466017818</c:v>
                </c:pt>
                <c:pt idx="457">
                  <c:v>8804.2075314493886</c:v>
                </c:pt>
                <c:pt idx="458">
                  <c:v>8773.8536284168149</c:v>
                </c:pt>
                <c:pt idx="459">
                  <c:v>8743.4494358241773</c:v>
                </c:pt>
                <c:pt idx="460">
                  <c:v>8712.9961539769392</c:v>
                </c:pt>
                <c:pt idx="461">
                  <c:v>8682.4949851185265</c:v>
                </c:pt>
                <c:pt idx="462">
                  <c:v>8651.9471333828551</c:v>
                </c:pt>
                <c:pt idx="463">
                  <c:v>8621.3538047468082</c:v>
                </c:pt>
                <c:pt idx="464">
                  <c:v>8590.7162069826136</c:v>
                </c:pt>
                <c:pt idx="465">
                  <c:v>8560.0355496101747</c:v>
                </c:pt>
                <c:pt idx="466">
                  <c:v>8529.3130438493063</c:v>
                </c:pt>
                <c:pt idx="467">
                  <c:v>8498.5499025719346</c:v>
                </c:pt>
                <c:pt idx="468">
                  <c:v>8467.7473402542018</c:v>
                </c:pt>
                <c:pt idx="469">
                  <c:v>8436.906572928523</c:v>
                </c:pt>
                <c:pt idx="470">
                  <c:v>8406.0288181355863</c:v>
                </c:pt>
                <c:pt idx="471">
                  <c:v>8375.1152948762792</c:v>
                </c:pt>
                <c:pt idx="472">
                  <c:v>8344.1672235635669</c:v>
                </c:pt>
                <c:pt idx="473">
                  <c:v>8313.1858259743167</c:v>
                </c:pt>
                <c:pt idx="474">
                  <c:v>8282.1723252010524</c:v>
                </c:pt>
                <c:pt idx="475">
                  <c:v>8251.1279456036827</c:v>
                </c:pt>
                <c:pt idx="476">
                  <c:v>8220.0539127611573</c:v>
                </c:pt>
                <c:pt idx="477">
                  <c:v>8188.9514534230866</c:v>
                </c:pt>
                <c:pt idx="478">
                  <c:v>8157.8217954613083</c:v>
                </c:pt>
                <c:pt idx="479">
                  <c:v>8126.6661678214168</c:v>
                </c:pt>
                <c:pt idx="480">
                  <c:v>8095.4858004742437</c:v>
                </c:pt>
                <c:pt idx="481">
                  <c:v>8064.2819243673039</c:v>
                </c:pt>
                <c:pt idx="482">
                  <c:v>8033.0557713761946</c:v>
                </c:pt>
                <c:pt idx="483">
                  <c:v>8001.8085742559688</c:v>
                </c:pt>
                <c:pt idx="484">
                  <c:v>7970.5415665924656</c:v>
                </c:pt>
                <c:pt idx="485">
                  <c:v>7939.2559827536097</c:v>
                </c:pt>
                <c:pt idx="486">
                  <c:v>7907.9530578406811</c:v>
                </c:pt>
                <c:pt idx="487">
                  <c:v>7876.6340276395567</c:v>
                </c:pt>
                <c:pt idx="488">
                  <c:v>7845.300128571922</c:v>
                </c:pt>
                <c:pt idx="489">
                  <c:v>7813.9525976464593</c:v>
                </c:pt>
                <c:pt idx="490">
                  <c:v>7782.5926724100145</c:v>
                </c:pt>
                <c:pt idx="491">
                  <c:v>7751.22159089874</c:v>
                </c:pt>
                <c:pt idx="492">
                  <c:v>7719.8405915892163</c:v>
                </c:pt>
                <c:pt idx="493">
                  <c:v>7688.450913349564</c:v>
                </c:pt>
                <c:pt idx="494">
                  <c:v>7657.0537953905323</c:v>
                </c:pt>
                <c:pt idx="495">
                  <c:v>7625.6504772165781</c:v>
                </c:pt>
                <c:pt idx="496">
                  <c:v>7594.2421985769315</c:v>
                </c:pt>
                <c:pt idx="497">
                  <c:v>7562.8301994166532</c:v>
                </c:pt>
                <c:pt idx="498">
                  <c:v>7531.4157198276844</c:v>
                </c:pt>
                <c:pt idx="499">
                  <c:v>7499.99999999989</c:v>
                </c:pt>
                <c:pt idx="500">
                  <c:v>7468.5842801720946</c:v>
                </c:pt>
                <c:pt idx="501">
                  <c:v>7437.1698005831258</c:v>
                </c:pt>
                <c:pt idx="502">
                  <c:v>7405.7578014228475</c:v>
                </c:pt>
                <c:pt idx="503">
                  <c:v>7374.3495227832009</c:v>
                </c:pt>
                <c:pt idx="504">
                  <c:v>7342.9462046092467</c:v>
                </c:pt>
                <c:pt idx="505">
                  <c:v>7311.549086650215</c:v>
                </c:pt>
                <c:pt idx="506">
                  <c:v>7280.1594084105636</c:v>
                </c:pt>
                <c:pt idx="507">
                  <c:v>7248.7784091010399</c:v>
                </c:pt>
                <c:pt idx="508">
                  <c:v>7217.4073275897645</c:v>
                </c:pt>
                <c:pt idx="509">
                  <c:v>7186.0474023533206</c:v>
                </c:pt>
                <c:pt idx="510">
                  <c:v>7154.6998714278579</c:v>
                </c:pt>
                <c:pt idx="511">
                  <c:v>7123.3659723602232</c:v>
                </c:pt>
                <c:pt idx="512">
                  <c:v>7092.0469421590988</c:v>
                </c:pt>
                <c:pt idx="513">
                  <c:v>7060.7440172461702</c:v>
                </c:pt>
                <c:pt idx="514">
                  <c:v>7029.4584334073143</c:v>
                </c:pt>
                <c:pt idx="515">
                  <c:v>6998.1914257438111</c:v>
                </c:pt>
                <c:pt idx="516">
                  <c:v>6966.9442286235862</c:v>
                </c:pt>
                <c:pt idx="517">
                  <c:v>6935.7180756324769</c:v>
                </c:pt>
                <c:pt idx="518">
                  <c:v>6904.5141995255362</c:v>
                </c:pt>
                <c:pt idx="519">
                  <c:v>6873.333832178364</c:v>
                </c:pt>
                <c:pt idx="520">
                  <c:v>6842.1782045384725</c:v>
                </c:pt>
                <c:pt idx="521">
                  <c:v>6811.0485465766942</c:v>
                </c:pt>
                <c:pt idx="522">
                  <c:v>6779.9460872386235</c:v>
                </c:pt>
                <c:pt idx="523">
                  <c:v>6748.872054396099</c:v>
                </c:pt>
                <c:pt idx="524">
                  <c:v>6717.8276747987302</c:v>
                </c:pt>
                <c:pt idx="525">
                  <c:v>6686.8141740254659</c:v>
                </c:pt>
                <c:pt idx="526">
                  <c:v>6655.8327764362148</c:v>
                </c:pt>
                <c:pt idx="527">
                  <c:v>6624.8847051235034</c:v>
                </c:pt>
                <c:pt idx="528">
                  <c:v>6593.9711818641972</c:v>
                </c:pt>
                <c:pt idx="529">
                  <c:v>6563.0934270712605</c:v>
                </c:pt>
                <c:pt idx="530">
                  <c:v>6532.2526597455826</c:v>
                </c:pt>
                <c:pt idx="531">
                  <c:v>6501.450097427848</c:v>
                </c:pt>
                <c:pt idx="532">
                  <c:v>6470.6869561504773</c:v>
                </c:pt>
                <c:pt idx="533">
                  <c:v>6439.9644503896097</c:v>
                </c:pt>
                <c:pt idx="534">
                  <c:v>6409.28379301717</c:v>
                </c:pt>
                <c:pt idx="535">
                  <c:v>6378.6461952529771</c:v>
                </c:pt>
                <c:pt idx="536">
                  <c:v>6348.0528666169303</c:v>
                </c:pt>
                <c:pt idx="537">
                  <c:v>6317.5050148812597</c:v>
                </c:pt>
                <c:pt idx="538">
                  <c:v>6287.0038460228461</c:v>
                </c:pt>
                <c:pt idx="539">
                  <c:v>6256.550564175609</c:v>
                </c:pt>
                <c:pt idx="540">
                  <c:v>6226.1463715829723</c:v>
                </c:pt>
                <c:pt idx="541">
                  <c:v>6195.7924685503976</c:v>
                </c:pt>
                <c:pt idx="542">
                  <c:v>6165.4900533980053</c:v>
                </c:pt>
                <c:pt idx="543">
                  <c:v>6135.2403224132568</c:v>
                </c:pt>
                <c:pt idx="544">
                  <c:v>6105.0444698037363</c:v>
                </c:pt>
                <c:pt idx="545">
                  <c:v>6074.9036876500013</c:v>
                </c:pt>
                <c:pt idx="546">
                  <c:v>6044.8191658585229</c:v>
                </c:pt>
                <c:pt idx="547">
                  <c:v>6014.7920921147079</c:v>
                </c:pt>
                <c:pt idx="548">
                  <c:v>5984.8236518360127</c:v>
                </c:pt>
                <c:pt idx="549">
                  <c:v>5954.915028125145</c:v>
                </c:pt>
                <c:pt idx="550">
                  <c:v>5925.0674017233587</c:v>
                </c:pt>
                <c:pt idx="551">
                  <c:v>5895.2819509638348</c:v>
                </c:pt>
                <c:pt idx="552">
                  <c:v>5865.5598517251701</c:v>
                </c:pt>
                <c:pt idx="553">
                  <c:v>5835.9022773849492</c:v>
                </c:pt>
                <c:pt idx="554">
                  <c:v>5806.3103987734257</c:v>
                </c:pt>
                <c:pt idx="555">
                  <c:v>5776.7853841272972</c:v>
                </c:pt>
                <c:pt idx="556">
                  <c:v>5747.3283990435875</c:v>
                </c:pt>
                <c:pt idx="557">
                  <c:v>5717.940606433629</c:v>
                </c:pt>
                <c:pt idx="558">
                  <c:v>5688.623166477154</c:v>
                </c:pt>
                <c:pt idx="559">
                  <c:v>5659.3772365764926</c:v>
                </c:pt>
                <c:pt idx="560">
                  <c:v>5630.2039713108807</c:v>
                </c:pt>
                <c:pt idx="561">
                  <c:v>5601.1045223908768</c:v>
                </c:pt>
                <c:pt idx="562">
                  <c:v>5572.0800386128994</c:v>
                </c:pt>
                <c:pt idx="563">
                  <c:v>5543.1316658138712</c:v>
                </c:pt>
                <c:pt idx="564">
                  <c:v>5514.2605468259799</c:v>
                </c:pt>
                <c:pt idx="565">
                  <c:v>5485.46782143157</c:v>
                </c:pt>
                <c:pt idx="566">
                  <c:v>5456.7546263181375</c:v>
                </c:pt>
                <c:pt idx="567">
                  <c:v>5428.1220950334628</c:v>
                </c:pt>
                <c:pt idx="568">
                  <c:v>5399.5713579408521</c:v>
                </c:pt>
                <c:pt idx="569">
                  <c:v>5371.10354217452</c:v>
                </c:pt>
                <c:pt idx="570">
                  <c:v>5342.7197715950888</c:v>
                </c:pt>
                <c:pt idx="571">
                  <c:v>5314.4211667452191</c:v>
                </c:pt>
                <c:pt idx="572">
                  <c:v>5286.2088448053764</c:v>
                </c:pt>
                <c:pt idx="573">
                  <c:v>5258.0839195497229</c:v>
                </c:pt>
                <c:pt idx="574">
                  <c:v>5230.0475013021496</c:v>
                </c:pt>
                <c:pt idx="575">
                  <c:v>5202.1006968924448</c:v>
                </c:pt>
                <c:pt idx="576">
                  <c:v>5174.2446096125923</c:v>
                </c:pt>
                <c:pt idx="577">
                  <c:v>5146.4803391732212</c:v>
                </c:pt>
                <c:pt idx="578">
                  <c:v>5118.8089816601896</c:v>
                </c:pt>
                <c:pt idx="579">
                  <c:v>5091.231629491308</c:v>
                </c:pt>
                <c:pt idx="580">
                  <c:v>5063.7493713732238</c:v>
                </c:pt>
                <c:pt idx="581">
                  <c:v>5036.3632922584275</c:v>
                </c:pt>
                <c:pt idx="582">
                  <c:v>5009.0744733024312</c:v>
                </c:pt>
                <c:pt idx="583">
                  <c:v>4981.8839918210815</c:v>
                </c:pt>
                <c:pt idx="584">
                  <c:v>4954.7929212480285</c:v>
                </c:pt>
                <c:pt idx="585">
                  <c:v>4927.8023310923536</c:v>
                </c:pt>
                <c:pt idx="586">
                  <c:v>4900.9132868963388</c:v>
                </c:pt>
                <c:pt idx="587">
                  <c:v>4874.1268501934082</c:v>
                </c:pt>
                <c:pt idx="588">
                  <c:v>4847.4440784662165</c:v>
                </c:pt>
                <c:pt idx="589">
                  <c:v>4820.8660251049041</c:v>
                </c:pt>
                <c:pt idx="590">
                  <c:v>4794.3937393655078</c:v>
                </c:pt>
                <c:pt idx="591">
                  <c:v>4768.0282663285416</c:v>
                </c:pt>
                <c:pt idx="592">
                  <c:v>4741.7706468577362</c:v>
                </c:pt>
                <c:pt idx="593">
                  <c:v>4715.6219175589476</c:v>
                </c:pt>
                <c:pt idx="594">
                  <c:v>4689.5831107392351</c:v>
                </c:pt>
                <c:pt idx="595">
                  <c:v>4663.6552543661055</c:v>
                </c:pt>
                <c:pt idx="596">
                  <c:v>4637.8393720269341</c:v>
                </c:pt>
                <c:pt idx="597">
                  <c:v>4612.1364828885507</c:v>
                </c:pt>
                <c:pt idx="598">
                  <c:v>4586.5476016570083</c:v>
                </c:pt>
                <c:pt idx="599">
                  <c:v>4561.0737385375232</c:v>
                </c:pt>
                <c:pt idx="600">
                  <c:v>4535.7158991945935</c:v>
                </c:pt>
                <c:pt idx="601">
                  <c:v>4510.4750847122959</c:v>
                </c:pt>
                <c:pt idx="602">
                  <c:v>4485.3522915547665</c:v>
                </c:pt>
                <c:pt idx="603">
                  <c:v>4460.3485115268631</c:v>
                </c:pt>
                <c:pt idx="604">
                  <c:v>4435.4647317350082</c:v>
                </c:pt>
                <c:pt idx="605">
                  <c:v>4410.7019345482195</c:v>
                </c:pt>
                <c:pt idx="606">
                  <c:v>4386.061097559329</c:v>
                </c:pt>
                <c:pt idx="607">
                  <c:v>4361.5431935463894</c:v>
                </c:pt>
                <c:pt idx="608">
                  <c:v>4337.1491904342693</c:v>
                </c:pt>
                <c:pt idx="609">
                  <c:v>4312.8800512564439</c:v>
                </c:pt>
                <c:pt idx="610">
                  <c:v>4288.7367341169702</c:v>
                </c:pt>
                <c:pt idx="611">
                  <c:v>4264.7201921526721</c:v>
                </c:pt>
                <c:pt idx="612">
                  <c:v>4240.8313734955</c:v>
                </c:pt>
                <c:pt idx="613">
                  <c:v>4217.0712212351118</c:v>
                </c:pt>
                <c:pt idx="614">
                  <c:v>4193.440673381635</c:v>
                </c:pt>
                <c:pt idx="615">
                  <c:v>4169.940662828637</c:v>
                </c:pt>
                <c:pt idx="616">
                  <c:v>4146.5721173162947</c:v>
                </c:pt>
                <c:pt idx="617">
                  <c:v>4123.3359593947735</c:v>
                </c:pt>
                <c:pt idx="618">
                  <c:v>4100.2331063878</c:v>
                </c:pt>
                <c:pt idx="619">
                  <c:v>4077.2644703564533</c:v>
                </c:pt>
                <c:pt idx="620">
                  <c:v>4054.4309580631543</c:v>
                </c:pt>
                <c:pt idx="621">
                  <c:v>4031.733470935872</c:v>
                </c:pt>
                <c:pt idx="622">
                  <c:v>4009.1729050325343</c:v>
                </c:pt>
                <c:pt idx="623">
                  <c:v>3986.7501510056518</c:v>
                </c:pt>
                <c:pt idx="624">
                  <c:v>3964.4660940671611</c:v>
                </c:pt>
                <c:pt idx="625">
                  <c:v>3942.321613953472</c:v>
                </c:pt>
                <c:pt idx="626">
                  <c:v>3920.3175848907435</c:v>
                </c:pt>
                <c:pt idx="627">
                  <c:v>3898.4548755603655</c:v>
                </c:pt>
                <c:pt idx="628">
                  <c:v>3876.7343490646672</c:v>
                </c:pt>
                <c:pt idx="629">
                  <c:v>3855.1568628928435</c:v>
                </c:pt>
                <c:pt idx="630">
                  <c:v>3833.7232688871013</c:v>
                </c:pt>
                <c:pt idx="631">
                  <c:v>3812.4344132090323</c:v>
                </c:pt>
                <c:pt idx="632">
                  <c:v>3791.2911363062062</c:v>
                </c:pt>
                <c:pt idx="633">
                  <c:v>3770.2942728789922</c:v>
                </c:pt>
                <c:pt idx="634">
                  <c:v>3749.4446518476057</c:v>
                </c:pt>
                <c:pt idx="635">
                  <c:v>3728.7430963193847</c:v>
                </c:pt>
                <c:pt idx="636">
                  <c:v>3708.190423556297</c:v>
                </c:pt>
                <c:pt idx="637">
                  <c:v>3687.7874449426686</c:v>
                </c:pt>
                <c:pt idx="638">
                  <c:v>3667.5349659531603</c:v>
                </c:pt>
                <c:pt idx="639">
                  <c:v>3647.4337861209656</c:v>
                </c:pt>
                <c:pt idx="640">
                  <c:v>3627.4846990062442</c:v>
                </c:pt>
                <c:pt idx="641">
                  <c:v>3607.6884921647984</c:v>
                </c:pt>
                <c:pt idx="642">
                  <c:v>3588.0459471169765</c:v>
                </c:pt>
                <c:pt idx="643">
                  <c:v>3568.5578393168248</c:v>
                </c:pt>
                <c:pt idx="644">
                  <c:v>3549.2249381214692</c:v>
                </c:pt>
                <c:pt idx="645">
                  <c:v>3530.0480067607459</c:v>
                </c:pt>
                <c:pt idx="646">
                  <c:v>3511.0278023070696</c:v>
                </c:pt>
                <c:pt idx="647">
                  <c:v>3492.1650756455438</c:v>
                </c:pt>
                <c:pt idx="648">
                  <c:v>3473.4605714443182</c:v>
                </c:pt>
                <c:pt idx="649">
                  <c:v>3454.9150281251927</c:v>
                </c:pt>
                <c:pt idx="650">
                  <c:v>3436.5291778344622</c:v>
                </c:pt>
                <c:pt idx="651">
                  <c:v>3418.3037464140139</c:v>
                </c:pt>
                <c:pt idx="652">
                  <c:v>3400.2394533726738</c:v>
                </c:pt>
                <c:pt idx="653">
                  <c:v>3382.3370118577996</c:v>
                </c:pt>
                <c:pt idx="654">
                  <c:v>3364.5971286271297</c:v>
                </c:pt>
                <c:pt idx="655">
                  <c:v>3347.0205040208775</c:v>
                </c:pt>
                <c:pt idx="656">
                  <c:v>3329.6078319340859</c:v>
                </c:pt>
                <c:pt idx="657">
                  <c:v>3312.3597997892348</c:v>
                </c:pt>
                <c:pt idx="658">
                  <c:v>3295.2770885090995</c:v>
                </c:pt>
                <c:pt idx="659">
                  <c:v>3278.3603724898712</c:v>
                </c:pt>
                <c:pt idx="660">
                  <c:v>3261.6103195745318</c:v>
                </c:pt>
                <c:pt idx="661">
                  <c:v>3245.02759102649</c:v>
                </c:pt>
                <c:pt idx="662">
                  <c:v>3228.6128415034755</c:v>
                </c:pt>
                <c:pt idx="663">
                  <c:v>3212.3667190316919</c:v>
                </c:pt>
                <c:pt idx="664">
                  <c:v>3196.2898649802364</c:v>
                </c:pt>
                <c:pt idx="665">
                  <c:v>3180.3829140357793</c:v>
                </c:pt>
                <c:pt idx="666">
                  <c:v>3164.6464941775075</c:v>
                </c:pt>
                <c:pt idx="667">
                  <c:v>3149.0812266523308</c:v>
                </c:pt>
                <c:pt idx="668">
                  <c:v>3133.687725950359</c:v>
                </c:pt>
                <c:pt idx="669">
                  <c:v>3118.4665997806442</c:v>
                </c:pt>
                <c:pt idx="670">
                  <c:v>3103.4184490471816</c:v>
                </c:pt>
                <c:pt idx="671">
                  <c:v>3088.5438678251976</c:v>
                </c:pt>
                <c:pt idx="672">
                  <c:v>3073.8434433376897</c:v>
                </c:pt>
                <c:pt idx="673">
                  <c:v>3059.3177559322439</c:v>
                </c:pt>
                <c:pt idx="674">
                  <c:v>3044.9673790581292</c:v>
                </c:pt>
                <c:pt idx="675">
                  <c:v>3030.7928792436505</c:v>
                </c:pt>
                <c:pt idx="676">
                  <c:v>3016.7948160737915</c:v>
                </c:pt>
                <c:pt idx="677">
                  <c:v>3002.9737421681166</c:v>
                </c:pt>
                <c:pt idx="678">
                  <c:v>2989.3302031589592</c:v>
                </c:pt>
                <c:pt idx="679">
                  <c:v>2975.8647376698764</c:v>
                </c:pt>
                <c:pt idx="680">
                  <c:v>2962.5778772943904</c:v>
                </c:pt>
                <c:pt idx="681">
                  <c:v>2949.4701465749986</c:v>
                </c:pt>
                <c:pt idx="682">
                  <c:v>2936.5420629824639</c:v>
                </c:pt>
                <c:pt idx="683">
                  <c:v>2923.7941368953916</c:v>
                </c:pt>
                <c:pt idx="684">
                  <c:v>2911.2268715800747</c:v>
                </c:pt>
                <c:pt idx="685">
                  <c:v>2898.8407631706295</c:v>
                </c:pt>
                <c:pt idx="686">
                  <c:v>2886.6363006494075</c:v>
                </c:pt>
                <c:pt idx="687">
                  <c:v>2874.6139658276925</c:v>
                </c:pt>
                <c:pt idx="688">
                  <c:v>2862.7742333266779</c:v>
                </c:pt>
                <c:pt idx="689">
                  <c:v>2851.1175705587275</c:v>
                </c:pt>
                <c:pt idx="690">
                  <c:v>2839.644437708931</c:v>
                </c:pt>
                <c:pt idx="691">
                  <c:v>2828.3552877169268</c:v>
                </c:pt>
                <c:pt idx="692">
                  <c:v>2817.2505662590256</c:v>
                </c:pt>
                <c:pt idx="693">
                  <c:v>2806.3307117306176</c:v>
                </c:pt>
                <c:pt idx="694">
                  <c:v>2795.5961552288618</c:v>
                </c:pt>
                <c:pt idx="695">
                  <c:v>2785.0473205356675</c:v>
                </c:pt>
                <c:pt idx="696">
                  <c:v>2774.6846241009671</c:v>
                </c:pt>
                <c:pt idx="697">
                  <c:v>2764.5084750262704</c:v>
                </c:pt>
                <c:pt idx="698">
                  <c:v>2754.5192750485194</c:v>
                </c:pt>
                <c:pt idx="699">
                  <c:v>2744.7174185242256</c:v>
                </c:pt>
                <c:pt idx="700">
                  <c:v>2735.1032924138999</c:v>
                </c:pt>
                <c:pt idx="701">
                  <c:v>2725.6772762667806</c:v>
                </c:pt>
                <c:pt idx="702">
                  <c:v>2716.4397422058428</c:v>
                </c:pt>
                <c:pt idx="703">
                  <c:v>2707.3910549131169</c:v>
                </c:pt>
                <c:pt idx="704">
                  <c:v>2698.5315716152818</c:v>
                </c:pt>
                <c:pt idx="705">
                  <c:v>2689.861642069568</c:v>
                </c:pt>
                <c:pt idx="706">
                  <c:v>2681.3816085499493</c:v>
                </c:pt>
                <c:pt idx="707">
                  <c:v>2673.0918058336292</c:v>
                </c:pt>
                <c:pt idx="708">
                  <c:v>2664.9925611878243</c:v>
                </c:pt>
                <c:pt idx="709">
                  <c:v>2657.0841943568439</c:v>
                </c:pt>
                <c:pt idx="710">
                  <c:v>2649.3670175494708</c:v>
                </c:pt>
                <c:pt idx="711">
                  <c:v>2641.8413354266304</c:v>
                </c:pt>
                <c:pt idx="712">
                  <c:v>2634.507445089368</c:v>
                </c:pt>
                <c:pt idx="713">
                  <c:v>2627.3656360671157</c:v>
                </c:pt>
                <c:pt idx="714">
                  <c:v>2620.4161903062641</c:v>
                </c:pt>
                <c:pt idx="715">
                  <c:v>2613.659382159035</c:v>
                </c:pt>
                <c:pt idx="716">
                  <c:v>2607.095478372642</c:v>
                </c:pt>
                <c:pt idx="717">
                  <c:v>2600.7247380787685</c:v>
                </c:pt>
                <c:pt idx="718">
                  <c:v>2594.5474127833331</c:v>
                </c:pt>
                <c:pt idx="719">
                  <c:v>2588.5637463565599</c:v>
                </c:pt>
                <c:pt idx="720">
                  <c:v>2582.773975023355</c:v>
                </c:pt>
                <c:pt idx="721">
                  <c:v>2577.1783273539768</c:v>
                </c:pt>
                <c:pt idx="722">
                  <c:v>2571.7770242550132</c:v>
                </c:pt>
                <c:pt idx="723">
                  <c:v>2566.5702789606639</c:v>
                </c:pt>
                <c:pt idx="724">
                  <c:v>2561.5582970243158</c:v>
                </c:pt>
                <c:pt idx="725">
                  <c:v>2556.7412763104339</c:v>
                </c:pt>
                <c:pt idx="726">
                  <c:v>2552.1194069867497</c:v>
                </c:pt>
                <c:pt idx="727">
                  <c:v>2547.6928715167487</c:v>
                </c:pt>
                <c:pt idx="728">
                  <c:v>2543.4618446524719</c:v>
                </c:pt>
                <c:pt idx="729">
                  <c:v>2539.4264934276152</c:v>
                </c:pt>
                <c:pt idx="730">
                  <c:v>2535.5869771509369</c:v>
                </c:pt>
                <c:pt idx="731">
                  <c:v>2531.9434473999627</c:v>
                </c:pt>
                <c:pt idx="732">
                  <c:v>2528.4960480150103</c:v>
                </c:pt>
                <c:pt idx="733">
                  <c:v>2525.2449150935036</c:v>
                </c:pt>
                <c:pt idx="734">
                  <c:v>2522.1901769846045</c:v>
                </c:pt>
                <c:pt idx="735">
                  <c:v>2519.3319542841418</c:v>
                </c:pt>
                <c:pt idx="736">
                  <c:v>2516.6703598298545</c:v>
                </c:pt>
                <c:pt idx="737">
                  <c:v>2514.2054986969342</c:v>
                </c:pt>
                <c:pt idx="738">
                  <c:v>2511.937468193878</c:v>
                </c:pt>
                <c:pt idx="739">
                  <c:v>2509.8663578586456</c:v>
                </c:pt>
                <c:pt idx="740">
                  <c:v>2507.9922494551283</c:v>
                </c:pt>
                <c:pt idx="741">
                  <c:v>2506.3152169699151</c:v>
                </c:pt>
                <c:pt idx="742">
                  <c:v>2504.8353266093791</c:v>
                </c:pt>
                <c:pt idx="743">
                  <c:v>2503.552636797056</c:v>
                </c:pt>
                <c:pt idx="744">
                  <c:v>2502.4671981713445</c:v>
                </c:pt>
                <c:pt idx="745">
                  <c:v>2501.5790535835022</c:v>
                </c:pt>
                <c:pt idx="746">
                  <c:v>2500.8882380959567</c:v>
                </c:pt>
                <c:pt idx="747">
                  <c:v>2500.3947789809208</c:v>
                </c:pt>
                <c:pt idx="748">
                  <c:v>2500.0986957193154</c:v>
                </c:pt>
                <c:pt idx="749">
                  <c:v>2500</c:v>
                </c:pt>
                <c:pt idx="750">
                  <c:v>2500.0986957193136</c:v>
                </c:pt>
                <c:pt idx="751">
                  <c:v>2500.3947789809181</c:v>
                </c:pt>
                <c:pt idx="752">
                  <c:v>2500.8882380959531</c:v>
                </c:pt>
                <c:pt idx="753">
                  <c:v>2501.5790535834985</c:v>
                </c:pt>
                <c:pt idx="754">
                  <c:v>2502.46719817134</c:v>
                </c:pt>
                <c:pt idx="755">
                  <c:v>2503.5526367970506</c:v>
                </c:pt>
                <c:pt idx="756">
                  <c:v>2504.8353266093727</c:v>
                </c:pt>
                <c:pt idx="757">
                  <c:v>2506.3152169699079</c:v>
                </c:pt>
                <c:pt idx="758">
                  <c:v>2507.9922494551192</c:v>
                </c:pt>
                <c:pt idx="759">
                  <c:v>2509.8663578586365</c:v>
                </c:pt>
                <c:pt idx="760">
                  <c:v>2511.9374681938671</c:v>
                </c:pt>
                <c:pt idx="761">
                  <c:v>2514.2054986969224</c:v>
                </c:pt>
                <c:pt idx="762">
                  <c:v>2516.6703598298427</c:v>
                </c:pt>
                <c:pt idx="763">
                  <c:v>2519.3319542841282</c:v>
                </c:pt>
                <c:pt idx="764">
                  <c:v>2522.1901769845899</c:v>
                </c:pt>
                <c:pt idx="765">
                  <c:v>2525.244915093489</c:v>
                </c:pt>
                <c:pt idx="766">
                  <c:v>2528.4960480149939</c:v>
                </c:pt>
                <c:pt idx="767">
                  <c:v>2531.9434473999454</c:v>
                </c:pt>
                <c:pt idx="768">
                  <c:v>2535.5869771509178</c:v>
                </c:pt>
                <c:pt idx="769">
                  <c:v>2539.4264934275961</c:v>
                </c:pt>
                <c:pt idx="770">
                  <c:v>2543.4618446524519</c:v>
                </c:pt>
                <c:pt idx="771">
                  <c:v>2547.6928715167278</c:v>
                </c:pt>
                <c:pt idx="772">
                  <c:v>2552.1194069867279</c:v>
                </c:pt>
                <c:pt idx="773">
                  <c:v>2556.7412763104112</c:v>
                </c:pt>
                <c:pt idx="774">
                  <c:v>2561.5582970242913</c:v>
                </c:pt>
                <c:pt idx="775">
                  <c:v>2566.5702789606385</c:v>
                </c:pt>
                <c:pt idx="776">
                  <c:v>2571.7770242549877</c:v>
                </c:pt>
                <c:pt idx="777">
                  <c:v>2577.1783273539504</c:v>
                </c:pt>
                <c:pt idx="778">
                  <c:v>2582.7739750233277</c:v>
                </c:pt>
                <c:pt idx="779">
                  <c:v>2588.5637463565317</c:v>
                </c:pt>
                <c:pt idx="780">
                  <c:v>2594.5474127833031</c:v>
                </c:pt>
                <c:pt idx="781">
                  <c:v>2600.7247380787376</c:v>
                </c:pt>
                <c:pt idx="782">
                  <c:v>2607.0954783726102</c:v>
                </c:pt>
                <c:pt idx="783">
                  <c:v>2613.6593821590022</c:v>
                </c:pt>
                <c:pt idx="784">
                  <c:v>2620.4161903062313</c:v>
                </c:pt>
                <c:pt idx="785">
                  <c:v>2627.3656360670811</c:v>
                </c:pt>
                <c:pt idx="786">
                  <c:v>2634.5074450893326</c:v>
                </c:pt>
                <c:pt idx="787">
                  <c:v>2641.8413354265949</c:v>
                </c:pt>
                <c:pt idx="788">
                  <c:v>2649.3670175494335</c:v>
                </c:pt>
                <c:pt idx="789">
                  <c:v>2657.0841943568057</c:v>
                </c:pt>
                <c:pt idx="790">
                  <c:v>2664.9925611877852</c:v>
                </c:pt>
                <c:pt idx="791">
                  <c:v>2673.0918058335892</c:v>
                </c:pt>
                <c:pt idx="792">
                  <c:v>2681.3816085499084</c:v>
                </c:pt>
                <c:pt idx="793">
                  <c:v>2689.8616420695262</c:v>
                </c:pt>
                <c:pt idx="794">
                  <c:v>2698.531571615239</c:v>
                </c:pt>
                <c:pt idx="795">
                  <c:v>2707.3910549130733</c:v>
                </c:pt>
                <c:pt idx="796">
                  <c:v>2716.4397422057982</c:v>
                </c:pt>
                <c:pt idx="797">
                  <c:v>2725.6772762667351</c:v>
                </c:pt>
                <c:pt idx="798">
                  <c:v>2735.1032924138535</c:v>
                </c:pt>
                <c:pt idx="799">
                  <c:v>2744.7174185241784</c:v>
                </c:pt>
                <c:pt idx="800">
                  <c:v>2754.5192750484712</c:v>
                </c:pt>
                <c:pt idx="801">
                  <c:v>2764.5084750262213</c:v>
                </c:pt>
                <c:pt idx="802">
                  <c:v>2774.6846241009171</c:v>
                </c:pt>
                <c:pt idx="803">
                  <c:v>2785.0473205356166</c:v>
                </c:pt>
                <c:pt idx="804">
                  <c:v>2795.5961552288109</c:v>
                </c:pt>
                <c:pt idx="805">
                  <c:v>2806.3307117305649</c:v>
                </c:pt>
                <c:pt idx="806">
                  <c:v>2817.2505662589729</c:v>
                </c:pt>
                <c:pt idx="807">
                  <c:v>2828.3552877168722</c:v>
                </c:pt>
                <c:pt idx="808">
                  <c:v>2839.6444377088756</c:v>
                </c:pt>
                <c:pt idx="809">
                  <c:v>2851.117570558672</c:v>
                </c:pt>
                <c:pt idx="810">
                  <c:v>2862.7742333266206</c:v>
                </c:pt>
                <c:pt idx="811">
                  <c:v>2874.6139658276352</c:v>
                </c:pt>
                <c:pt idx="812">
                  <c:v>2886.6363006493493</c:v>
                </c:pt>
                <c:pt idx="813">
                  <c:v>2898.8407631705695</c:v>
                </c:pt>
                <c:pt idx="814">
                  <c:v>2911.2268715800128</c:v>
                </c:pt>
                <c:pt idx="815">
                  <c:v>2923.7941368953298</c:v>
                </c:pt>
                <c:pt idx="816">
                  <c:v>2936.5420629824011</c:v>
                </c:pt>
                <c:pt idx="817">
                  <c:v>2949.4701465749349</c:v>
                </c:pt>
                <c:pt idx="818">
                  <c:v>2962.5778772943268</c:v>
                </c:pt>
                <c:pt idx="819">
                  <c:v>2975.8647376698118</c:v>
                </c:pt>
                <c:pt idx="820">
                  <c:v>2989.3302031588928</c:v>
                </c:pt>
                <c:pt idx="821">
                  <c:v>3002.9737421680493</c:v>
                </c:pt>
                <c:pt idx="822">
                  <c:v>3016.7948160737233</c:v>
                </c:pt>
                <c:pt idx="823">
                  <c:v>3030.7928792435814</c:v>
                </c:pt>
                <c:pt idx="824">
                  <c:v>3044.9673790580591</c:v>
                </c:pt>
                <c:pt idx="825">
                  <c:v>3059.3177559321739</c:v>
                </c:pt>
                <c:pt idx="826">
                  <c:v>3073.8434433376178</c:v>
                </c:pt>
                <c:pt idx="827">
                  <c:v>3088.5438678251257</c:v>
                </c:pt>
                <c:pt idx="828">
                  <c:v>3103.4184490471089</c:v>
                </c:pt>
                <c:pt idx="829">
                  <c:v>3118.4665997805696</c:v>
                </c:pt>
                <c:pt idx="830">
                  <c:v>3133.6877259502853</c:v>
                </c:pt>
                <c:pt idx="831">
                  <c:v>3149.0812266522553</c:v>
                </c:pt>
                <c:pt idx="832">
                  <c:v>3164.6464941774311</c:v>
                </c:pt>
                <c:pt idx="833">
                  <c:v>3180.382914035702</c:v>
                </c:pt>
                <c:pt idx="834">
                  <c:v>3196.2898649801582</c:v>
                </c:pt>
                <c:pt idx="835">
                  <c:v>3212.3667190316128</c:v>
                </c:pt>
                <c:pt idx="836">
                  <c:v>3228.6128415033963</c:v>
                </c:pt>
                <c:pt idx="837">
                  <c:v>3245.0275910264099</c:v>
                </c:pt>
                <c:pt idx="838">
                  <c:v>3261.6103195744508</c:v>
                </c:pt>
                <c:pt idx="839">
                  <c:v>3278.3603724897894</c:v>
                </c:pt>
                <c:pt idx="840">
                  <c:v>3295.2770885090167</c:v>
                </c:pt>
                <c:pt idx="841">
                  <c:v>3312.3597997891511</c:v>
                </c:pt>
                <c:pt idx="842">
                  <c:v>3329.6078319340013</c:v>
                </c:pt>
                <c:pt idx="843">
                  <c:v>3347.020504020792</c:v>
                </c:pt>
                <c:pt idx="844">
                  <c:v>3364.5971286270442</c:v>
                </c:pt>
                <c:pt idx="845">
                  <c:v>3382.3370118577132</c:v>
                </c:pt>
                <c:pt idx="846">
                  <c:v>3400.2394533725865</c:v>
                </c:pt>
                <c:pt idx="847">
                  <c:v>3418.3037464139256</c:v>
                </c:pt>
                <c:pt idx="848">
                  <c:v>3436.5291778343731</c:v>
                </c:pt>
                <c:pt idx="849">
                  <c:v>3454.9150281251027</c:v>
                </c:pt>
                <c:pt idx="850">
                  <c:v>3473.4605714442278</c:v>
                </c:pt>
                <c:pt idx="851">
                  <c:v>3492.1650756454519</c:v>
                </c:pt>
                <c:pt idx="852">
                  <c:v>3511.0278023069773</c:v>
                </c:pt>
                <c:pt idx="853">
                  <c:v>3530.0480067606532</c:v>
                </c:pt>
                <c:pt idx="854">
                  <c:v>3549.2249381213751</c:v>
                </c:pt>
                <c:pt idx="855">
                  <c:v>3568.5578393167298</c:v>
                </c:pt>
                <c:pt idx="856">
                  <c:v>3588.0459471168815</c:v>
                </c:pt>
                <c:pt idx="857">
                  <c:v>3607.6884921647024</c:v>
                </c:pt>
                <c:pt idx="858">
                  <c:v>3627.4846990061478</c:v>
                </c:pt>
                <c:pt idx="859">
                  <c:v>3647.4337861208678</c:v>
                </c:pt>
                <c:pt idx="860">
                  <c:v>3667.5349659530621</c:v>
                </c:pt>
                <c:pt idx="861">
                  <c:v>3687.7874449425694</c:v>
                </c:pt>
                <c:pt idx="862">
                  <c:v>3708.1904235561969</c:v>
                </c:pt>
                <c:pt idx="863">
                  <c:v>3728.7430963192846</c:v>
                </c:pt>
                <c:pt idx="864">
                  <c:v>3749.4446518475033</c:v>
                </c:pt>
                <c:pt idx="865">
                  <c:v>3770.2942728788876</c:v>
                </c:pt>
                <c:pt idx="866">
                  <c:v>3791.2911363060994</c:v>
                </c:pt>
                <c:pt idx="867">
                  <c:v>3812.4344132089232</c:v>
                </c:pt>
                <c:pt idx="868">
                  <c:v>3833.7232688869899</c:v>
                </c:pt>
                <c:pt idx="869">
                  <c:v>3855.1568628927298</c:v>
                </c:pt>
                <c:pt idx="870">
                  <c:v>3876.7343490645512</c:v>
                </c:pt>
                <c:pt idx="871">
                  <c:v>3898.4548755602473</c:v>
                </c:pt>
                <c:pt idx="872">
                  <c:v>3920.317584890623</c:v>
                </c:pt>
                <c:pt idx="873">
                  <c:v>3942.3216139533488</c:v>
                </c:pt>
                <c:pt idx="874">
                  <c:v>3964.4660940670356</c:v>
                </c:pt>
                <c:pt idx="875">
                  <c:v>3986.750151005524</c:v>
                </c:pt>
                <c:pt idx="876">
                  <c:v>4009.1729050324043</c:v>
                </c:pt>
                <c:pt idx="877">
                  <c:v>4031.7334709357401</c:v>
                </c:pt>
                <c:pt idx="878">
                  <c:v>4054.4309580630193</c:v>
                </c:pt>
                <c:pt idx="879">
                  <c:v>4077.2644703563155</c:v>
                </c:pt>
                <c:pt idx="880">
                  <c:v>4100.23310638766</c:v>
                </c:pt>
                <c:pt idx="881">
                  <c:v>4123.3359593946316</c:v>
                </c:pt>
                <c:pt idx="882">
                  <c:v>4146.5721173161501</c:v>
                </c:pt>
                <c:pt idx="883">
                  <c:v>4169.9406628284896</c:v>
                </c:pt>
                <c:pt idx="884">
                  <c:v>4193.4406733814849</c:v>
                </c:pt>
                <c:pt idx="885">
                  <c:v>4217.0712212349599</c:v>
                </c:pt>
                <c:pt idx="886">
                  <c:v>4240.8313734953445</c:v>
                </c:pt>
                <c:pt idx="887">
                  <c:v>4264.7201921525148</c:v>
                </c:pt>
                <c:pt idx="888">
                  <c:v>4288.7367341168119</c:v>
                </c:pt>
                <c:pt idx="889">
                  <c:v>4312.8800512562811</c:v>
                </c:pt>
                <c:pt idx="890">
                  <c:v>4337.1491904341046</c:v>
                </c:pt>
                <c:pt idx="891">
                  <c:v>4361.543193546222</c:v>
                </c:pt>
                <c:pt idx="892">
                  <c:v>4386.061097559159</c:v>
                </c:pt>
                <c:pt idx="893">
                  <c:v>4410.7019345480476</c:v>
                </c:pt>
                <c:pt idx="894">
                  <c:v>4435.4647317348335</c:v>
                </c:pt>
                <c:pt idx="895">
                  <c:v>4460.3485115266849</c:v>
                </c:pt>
                <c:pt idx="896">
                  <c:v>4485.3522915545864</c:v>
                </c:pt>
                <c:pt idx="897">
                  <c:v>4510.4750847121122</c:v>
                </c:pt>
                <c:pt idx="898">
                  <c:v>4535.715899194407</c:v>
                </c:pt>
                <c:pt idx="899">
                  <c:v>4561.073738537335</c:v>
                </c:pt>
                <c:pt idx="900">
                  <c:v>4586.5476016568173</c:v>
                </c:pt>
                <c:pt idx="901">
                  <c:v>4612.136482888357</c:v>
                </c:pt>
                <c:pt idx="902">
                  <c:v>4637.8393720267377</c:v>
                </c:pt>
                <c:pt idx="903">
                  <c:v>4663.6552543659063</c:v>
                </c:pt>
                <c:pt idx="904">
                  <c:v>4689.5831107390331</c:v>
                </c:pt>
                <c:pt idx="905">
                  <c:v>4715.621917558743</c:v>
                </c:pt>
                <c:pt idx="906">
                  <c:v>4741.7706468575288</c:v>
                </c:pt>
                <c:pt idx="907">
                  <c:v>4768.0282663283324</c:v>
                </c:pt>
                <c:pt idx="908">
                  <c:v>4794.393739365295</c:v>
                </c:pt>
                <c:pt idx="909">
                  <c:v>4820.8660251046877</c:v>
                </c:pt>
                <c:pt idx="910">
                  <c:v>4847.4440784659982</c:v>
                </c:pt>
                <c:pt idx="911">
                  <c:v>4874.1268501931863</c:v>
                </c:pt>
                <c:pt idx="912">
                  <c:v>4900.9132868961151</c:v>
                </c:pt>
                <c:pt idx="913">
                  <c:v>4927.8023310921271</c:v>
                </c:pt>
                <c:pt idx="914">
                  <c:v>4954.7929212477993</c:v>
                </c:pt>
                <c:pt idx="915">
                  <c:v>4981.8839918208496</c:v>
                </c:pt>
                <c:pt idx="916">
                  <c:v>5009.0744733021966</c:v>
                </c:pt>
                <c:pt idx="917">
                  <c:v>5036.3632922581901</c:v>
                </c:pt>
                <c:pt idx="918">
                  <c:v>5063.7493713729837</c:v>
                </c:pt>
                <c:pt idx="919">
                  <c:v>5091.2316294910652</c:v>
                </c:pt>
                <c:pt idx="920">
                  <c:v>5118.8089816599431</c:v>
                </c:pt>
                <c:pt idx="921">
                  <c:v>5146.4803391729729</c:v>
                </c:pt>
                <c:pt idx="922">
                  <c:v>5174.2446096123413</c:v>
                </c:pt>
                <c:pt idx="923">
                  <c:v>5202.1006968921902</c:v>
                </c:pt>
                <c:pt idx="924">
                  <c:v>5230.0475013018931</c:v>
                </c:pt>
                <c:pt idx="925">
                  <c:v>5258.0839195494627</c:v>
                </c:pt>
                <c:pt idx="926">
                  <c:v>5286.2088448051136</c:v>
                </c:pt>
                <c:pt idx="927">
                  <c:v>5314.4211667449536</c:v>
                </c:pt>
                <c:pt idx="928">
                  <c:v>5342.7197715948205</c:v>
                </c:pt>
                <c:pt idx="929">
                  <c:v>5371.103542174249</c:v>
                </c:pt>
                <c:pt idx="930">
                  <c:v>5399.5713579405783</c:v>
                </c:pt>
                <c:pt idx="931">
                  <c:v>5428.1220950331863</c:v>
                </c:pt>
                <c:pt idx="932">
                  <c:v>5456.7546263178583</c:v>
                </c:pt>
                <c:pt idx="933">
                  <c:v>5485.4678214312871</c:v>
                </c:pt>
                <c:pt idx="934">
                  <c:v>5514.2605468256952</c:v>
                </c:pt>
                <c:pt idx="935">
                  <c:v>5543.1316658135829</c:v>
                </c:pt>
                <c:pt idx="936">
                  <c:v>5572.0800386126093</c:v>
                </c:pt>
                <c:pt idx="937">
                  <c:v>5601.104522390584</c:v>
                </c:pt>
                <c:pt idx="938">
                  <c:v>5630.2039713105842</c:v>
                </c:pt>
                <c:pt idx="939">
                  <c:v>5659.3772365761943</c:v>
                </c:pt>
                <c:pt idx="940">
                  <c:v>5688.623166476852</c:v>
                </c:pt>
                <c:pt idx="941">
                  <c:v>5717.9406064333243</c:v>
                </c:pt>
                <c:pt idx="942">
                  <c:v>5747.3283990432801</c:v>
                </c:pt>
                <c:pt idx="943">
                  <c:v>5776.7853841269871</c:v>
                </c:pt>
                <c:pt idx="944">
                  <c:v>5806.310398773112</c:v>
                </c:pt>
                <c:pt idx="945">
                  <c:v>5835.9022773846336</c:v>
                </c:pt>
                <c:pt idx="946">
                  <c:v>5865.5598517248509</c:v>
                </c:pt>
                <c:pt idx="947">
                  <c:v>5895.2819509635137</c:v>
                </c:pt>
                <c:pt idx="948">
                  <c:v>5925.067401723034</c:v>
                </c:pt>
                <c:pt idx="949">
                  <c:v>5954.9150281248185</c:v>
                </c:pt>
                <c:pt idx="950">
                  <c:v>5984.8236518356825</c:v>
                </c:pt>
                <c:pt idx="951">
                  <c:v>6014.7920921143759</c:v>
                </c:pt>
                <c:pt idx="952">
                  <c:v>6044.8191658581882</c:v>
                </c:pt>
                <c:pt idx="953">
                  <c:v>6074.9036876496639</c:v>
                </c:pt>
                <c:pt idx="954">
                  <c:v>6105.0444698033953</c:v>
                </c:pt>
                <c:pt idx="955">
                  <c:v>6135.240322412913</c:v>
                </c:pt>
                <c:pt idx="956">
                  <c:v>6165.4900533976579</c:v>
                </c:pt>
                <c:pt idx="957">
                  <c:v>6195.7924685500493</c:v>
                </c:pt>
                <c:pt idx="958">
                  <c:v>6226.1463715826203</c:v>
                </c:pt>
                <c:pt idx="959">
                  <c:v>6256.5505641752543</c:v>
                </c:pt>
                <c:pt idx="960">
                  <c:v>6287.0038460224887</c:v>
                </c:pt>
                <c:pt idx="961">
                  <c:v>6317.5050148808996</c:v>
                </c:pt>
                <c:pt idx="962">
                  <c:v>6348.0528666165674</c:v>
                </c:pt>
                <c:pt idx="963">
                  <c:v>6378.6461952526115</c:v>
                </c:pt>
                <c:pt idx="964">
                  <c:v>6409.2837930168025</c:v>
                </c:pt>
                <c:pt idx="965">
                  <c:v>6439.9644503892396</c:v>
                </c:pt>
                <c:pt idx="966">
                  <c:v>6470.6869561501035</c:v>
                </c:pt>
                <c:pt idx="967">
                  <c:v>6501.4500974274724</c:v>
                </c:pt>
                <c:pt idx="968">
                  <c:v>6532.2526597452033</c:v>
                </c:pt>
                <c:pt idx="969">
                  <c:v>6563.0934270708794</c:v>
                </c:pt>
                <c:pt idx="970">
                  <c:v>6593.9711818638134</c:v>
                </c:pt>
                <c:pt idx="971">
                  <c:v>6624.8847051231169</c:v>
                </c:pt>
                <c:pt idx="972">
                  <c:v>6655.8327764358255</c:v>
                </c:pt>
                <c:pt idx="973">
                  <c:v>6686.814174025074</c:v>
                </c:pt>
                <c:pt idx="974">
                  <c:v>6717.8276747983355</c:v>
                </c:pt>
                <c:pt idx="975">
                  <c:v>6748.8720543957024</c:v>
                </c:pt>
                <c:pt idx="976">
                  <c:v>6779.9460872382242</c:v>
                </c:pt>
                <c:pt idx="977">
                  <c:v>6811.0485465762922</c:v>
                </c:pt>
                <c:pt idx="978">
                  <c:v>6842.1782045380678</c:v>
                </c:pt>
                <c:pt idx="979">
                  <c:v>6873.3338321779565</c:v>
                </c:pt>
                <c:pt idx="980">
                  <c:v>6904.514199525127</c:v>
                </c:pt>
                <c:pt idx="981">
                  <c:v>6935.7180756320649</c:v>
                </c:pt>
                <c:pt idx="982">
                  <c:v>6966.9442286231715</c:v>
                </c:pt>
                <c:pt idx="983">
                  <c:v>6998.1914257433946</c:v>
                </c:pt>
                <c:pt idx="984">
                  <c:v>7029.458433406895</c:v>
                </c:pt>
                <c:pt idx="985">
                  <c:v>7060.7440172457482</c:v>
                </c:pt>
                <c:pt idx="986">
                  <c:v>7092.046942158674</c:v>
                </c:pt>
                <c:pt idx="987">
                  <c:v>7123.3659723597966</c:v>
                </c:pt>
                <c:pt idx="988">
                  <c:v>7154.6998714274287</c:v>
                </c:pt>
                <c:pt idx="989">
                  <c:v>7186.0474023528886</c:v>
                </c:pt>
                <c:pt idx="990">
                  <c:v>7217.4073275893306</c:v>
                </c:pt>
                <c:pt idx="991">
                  <c:v>7248.7784091006033</c:v>
                </c:pt>
                <c:pt idx="992">
                  <c:v>7280.1594084101243</c:v>
                </c:pt>
                <c:pt idx="993">
                  <c:v>7311.5490866497739</c:v>
                </c:pt>
                <c:pt idx="994">
                  <c:v>7342.9462046088038</c:v>
                </c:pt>
                <c:pt idx="995">
                  <c:v>7374.3495227827552</c:v>
                </c:pt>
                <c:pt idx="996">
                  <c:v>7405.7578014224</c:v>
                </c:pt>
                <c:pt idx="997">
                  <c:v>7437.1698005826756</c:v>
                </c:pt>
                <c:pt idx="998">
                  <c:v>7468.5842801716417</c:v>
                </c:pt>
                <c:pt idx="999">
                  <c:v>7499.9999999994352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A2-4307-AD6A-F1F5CF687DAD}"/>
            </c:ext>
          </c:extLst>
        </c:ser>
        <c:ser>
          <c:idx val="1"/>
          <c:order val="1"/>
          <c:tx>
            <c:v>planète 2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'Conditions initiale'!$R$5:$R$1004</c:f>
              <c:numCache>
                <c:formatCode>General</c:formatCode>
                <c:ptCount val="1000"/>
                <c:pt idx="0">
                  <c:v>-16500.069087003521</c:v>
                </c:pt>
                <c:pt idx="1">
                  <c:v>-16500.276345286642</c:v>
                </c:pt>
                <c:pt idx="2">
                  <c:v>-16500.621766667169</c:v>
                </c:pt>
                <c:pt idx="3">
                  <c:v>-16501.105337508452</c:v>
                </c:pt>
                <c:pt idx="4">
                  <c:v>-16501.727038719939</c:v>
                </c:pt>
                <c:pt idx="5">
                  <c:v>-16502.486845757936</c:v>
                </c:pt>
                <c:pt idx="6">
                  <c:v>-16503.384728626563</c:v>
                </c:pt>
                <c:pt idx="7">
                  <c:v>-16504.42065187894</c:v>
                </c:pt>
                <c:pt idx="8">
                  <c:v>-16505.594574618586</c:v>
                </c:pt>
                <c:pt idx="9">
                  <c:v>-16506.90645050105</c:v>
                </c:pt>
                <c:pt idx="10">
                  <c:v>-16508.356227735712</c:v>
                </c:pt>
                <c:pt idx="11">
                  <c:v>-16509.943849087853</c:v>
                </c:pt>
                <c:pt idx="12">
                  <c:v>-16511.669251880896</c:v>
                </c:pt>
                <c:pt idx="13">
                  <c:v>-16513.532367998894</c:v>
                </c:pt>
                <c:pt idx="14">
                  <c:v>-16515.533123889221</c:v>
                </c:pt>
                <c:pt idx="15">
                  <c:v>-16517.671440565449</c:v>
                </c:pt>
                <c:pt idx="16">
                  <c:v>-16519.947233610503</c:v>
                </c:pt>
                <c:pt idx="17">
                  <c:v>-16522.360413179969</c:v>
                </c:pt>
                <c:pt idx="18">
                  <c:v>-16524.910884005651</c:v>
                </c:pt>
                <c:pt idx="19">
                  <c:v>-16527.598545399327</c:v>
                </c:pt>
                <c:pt idx="20">
                  <c:v>-16530.423291256728</c:v>
                </c:pt>
                <c:pt idx="21">
                  <c:v>-16533.38501006172</c:v>
                </c:pt>
                <c:pt idx="22">
                  <c:v>-16536.483584890721</c:v>
                </c:pt>
                <c:pt idx="23">
                  <c:v>-16539.718893417303</c:v>
                </c:pt>
                <c:pt idx="24">
                  <c:v>-16543.090807917019</c:v>
                </c:pt>
                <c:pt idx="25">
                  <c:v>-16546.599195272462</c:v>
                </c:pt>
                <c:pt idx="26">
                  <c:v>-16550.243916978507</c:v>
                </c:pt>
                <c:pt idx="27">
                  <c:v>-16554.02482914778</c:v>
                </c:pt>
                <c:pt idx="28">
                  <c:v>-16557.941782516347</c:v>
                </c:pt>
                <c:pt idx="29">
                  <c:v>-16561.994622449591</c:v>
                </c:pt>
                <c:pt idx="30">
                  <c:v>-16566.183188948329</c:v>
                </c:pt>
                <c:pt idx="31">
                  <c:v>-16570.507316655137</c:v>
                </c:pt>
                <c:pt idx="32">
                  <c:v>-16574.966834860847</c:v>
                </c:pt>
                <c:pt idx="33">
                  <c:v>-16579.561567511322</c:v>
                </c:pt>
                <c:pt idx="34">
                  <c:v>-16584.291333214383</c:v>
                </c:pt>
                <c:pt idx="35">
                  <c:v>-16589.155945246981</c:v>
                </c:pt>
                <c:pt idx="36">
                  <c:v>-16594.155211562556</c:v>
                </c:pt>
                <c:pt idx="37">
                  <c:v>-16599.288934798642</c:v>
                </c:pt>
                <c:pt idx="38">
                  <c:v>-16604.556912284628</c:v>
                </c:pt>
                <c:pt idx="39">
                  <c:v>-16609.958936049792</c:v>
                </c:pt>
                <c:pt idx="40">
                  <c:v>-16615.494792831476</c:v>
                </c:pt>
                <c:pt idx="41">
                  <c:v>-16621.164264083542</c:v>
                </c:pt>
                <c:pt idx="42">
                  <c:v>-16626.967125984967</c:v>
                </c:pt>
                <c:pt idx="43">
                  <c:v>-16632.903149448699</c:v>
                </c:pt>
                <c:pt idx="44">
                  <c:v>-16638.972100130701</c:v>
                </c:pt>
                <c:pt idx="45">
                  <c:v>-16645.173738439185</c:v>
                </c:pt>
                <c:pt idx="46">
                  <c:v>-16651.507819544095</c:v>
                </c:pt>
                <c:pt idx="47">
                  <c:v>-16657.974093386751</c:v>
                </c:pt>
                <c:pt idx="48">
                  <c:v>-16664.572304689733</c:v>
                </c:pt>
                <c:pt idx="49">
                  <c:v>-16671.302192966963</c:v>
                </c:pt>
                <c:pt idx="50">
                  <c:v>-16678.163492533968</c:v>
                </c:pt>
                <c:pt idx="51">
                  <c:v>-16685.155932518395</c:v>
                </c:pt>
                <c:pt idx="52">
                  <c:v>-16692.279236870683</c:v>
                </c:pt>
                <c:pt idx="53">
                  <c:v>-16699.533124374975</c:v>
                </c:pt>
                <c:pt idx="54">
                  <c:v>-16706.91730866021</c:v>
                </c:pt>
                <c:pt idx="55">
                  <c:v>-16714.431498211441</c:v>
                </c:pt>
                <c:pt idx="56">
                  <c:v>-16722.075396381326</c:v>
                </c:pt>
                <c:pt idx="57">
                  <c:v>-16729.848701401857</c:v>
                </c:pt>
                <c:pt idx="58">
                  <c:v>-16737.751106396263</c:v>
                </c:pt>
                <c:pt idx="59">
                  <c:v>-16745.782299391121</c:v>
                </c:pt>
                <c:pt idx="60">
                  <c:v>-16753.941963328685</c:v>
                </c:pt>
                <c:pt idx="61">
                  <c:v>-16762.229776079395</c:v>
                </c:pt>
                <c:pt idx="62">
                  <c:v>-16770.645410454599</c:v>
                </c:pt>
                <c:pt idx="63">
                  <c:v>-16779.188534219455</c:v>
                </c:pt>
                <c:pt idx="64">
                  <c:v>-16787.858810106067</c:v>
                </c:pt>
                <c:pt idx="65">
                  <c:v>-16796.655895826789</c:v>
                </c:pt>
                <c:pt idx="66">
                  <c:v>-16805.57944408774</c:v>
                </c:pt>
                <c:pt idx="67">
                  <c:v>-16814.629102602514</c:v>
                </c:pt>
                <c:pt idx="68">
                  <c:v>-16823.80451410609</c:v>
                </c:pt>
                <c:pt idx="69">
                  <c:v>-16833.105316368932</c:v>
                </c:pt>
                <c:pt idx="70">
                  <c:v>-16842.53114221129</c:v>
                </c:pt>
                <c:pt idx="71">
                  <c:v>-16852.081619517703</c:v>
                </c:pt>
                <c:pt idx="72">
                  <c:v>-16861.756371251675</c:v>
                </c:pt>
                <c:pt idx="73">
                  <c:v>-16871.555015470578</c:v>
                </c:pt>
                <c:pt idx="74">
                  <c:v>-16881.477165340712</c:v>
                </c:pt>
                <c:pt idx="75">
                  <c:v>-16891.522429152596</c:v>
                </c:pt>
                <c:pt idx="76">
                  <c:v>-16901.690410336407</c:v>
                </c:pt>
                <c:pt idx="77">
                  <c:v>-16911.980707477662</c:v>
                </c:pt>
                <c:pt idx="78">
                  <c:v>-16922.392914333053</c:v>
                </c:pt>
                <c:pt idx="79">
                  <c:v>-16932.926619846476</c:v>
                </c:pt>
                <c:pt idx="80">
                  <c:v>-16943.581408165279</c:v>
                </c:pt>
                <c:pt idx="81">
                  <c:v>-16954.356858656662</c:v>
                </c:pt>
                <c:pt idx="82">
                  <c:v>-16965.252545924286</c:v>
                </c:pt>
                <c:pt idx="83">
                  <c:v>-16976.268039825078</c:v>
                </c:pt>
                <c:pt idx="84">
                  <c:v>-16987.402905486197</c:v>
                </c:pt>
                <c:pt idx="85">
                  <c:v>-16998.656703322216</c:v>
                </c:pt>
                <c:pt idx="86">
                  <c:v>-17010.028989052465</c:v>
                </c:pt>
                <c:pt idx="87">
                  <c:v>-17021.519313718578</c:v>
                </c:pt>
                <c:pt idx="88">
                  <c:v>-17033.127223702209</c:v>
                </c:pt>
                <c:pt idx="89">
                  <c:v>-17044.852260742948</c:v>
                </c:pt>
                <c:pt idx="90">
                  <c:v>-17056.693961956407</c:v>
                </c:pt>
                <c:pt idx="91">
                  <c:v>-17068.651859852504</c:v>
                </c:pt>
                <c:pt idx="92">
                  <c:v>-17080.725482353904</c:v>
                </c:pt>
                <c:pt idx="93">
                  <c:v>-17092.914352814656</c:v>
                </c:pt>
                <c:pt idx="94">
                  <c:v>-17105.217990039037</c:v>
                </c:pt>
                <c:pt idx="95">
                  <c:v>-17117.635908300505</c:v>
                </c:pt>
                <c:pt idx="96">
                  <c:v>-17130.167617360919</c:v>
                </c:pt>
                <c:pt idx="97">
                  <c:v>-17142.812622489859</c:v>
                </c:pt>
                <c:pt idx="98">
                  <c:v>-17155.570424484173</c:v>
                </c:pt>
                <c:pt idx="99">
                  <c:v>-17168.440519687687</c:v>
                </c:pt>
                <c:pt idx="100">
                  <c:v>-17181.422400011077</c:v>
                </c:pt>
                <c:pt idx="101">
                  <c:v>-17194.515552951932</c:v>
                </c:pt>
                <c:pt idx="102">
                  <c:v>-17207.719461615005</c:v>
                </c:pt>
                <c:pt idx="103">
                  <c:v>-17221.03360473258</c:v>
                </c:pt>
                <c:pt idx="104">
                  <c:v>-17234.457456685086</c:v>
                </c:pt>
                <c:pt idx="105">
                  <c:v>-17247.990487521838</c:v>
                </c:pt>
                <c:pt idx="106">
                  <c:v>-17261.632162981943</c:v>
                </c:pt>
                <c:pt idx="107">
                  <c:v>-17275.381944515422</c:v>
                </c:pt>
                <c:pt idx="108">
                  <c:v>-17289.239289304434</c:v>
                </c:pt>
                <c:pt idx="109">
                  <c:v>-17303.20365028474</c:v>
                </c:pt>
                <c:pt idx="110">
                  <c:v>-17317.27447616728</c:v>
                </c:pt>
                <c:pt idx="111">
                  <c:v>-17331.451211459935</c:v>
                </c:pt>
                <c:pt idx="112">
                  <c:v>-17345.733296489478</c:v>
                </c:pt>
                <c:pt idx="113">
                  <c:v>-17360.12016742364</c:v>
                </c:pt>
                <c:pt idx="114">
                  <c:v>-17374.611256293396</c:v>
                </c:pt>
                <c:pt idx="115">
                  <c:v>-17389.205991015366</c:v>
                </c:pt>
                <c:pt idx="116">
                  <c:v>-17403.903795414415</c:v>
                </c:pt>
                <c:pt idx="117">
                  <c:v>-17418.704089246396</c:v>
                </c:pt>
                <c:pt idx="118">
                  <c:v>-17433.606288221046</c:v>
                </c:pt>
                <c:pt idx="119">
                  <c:v>-17448.609804025065</c:v>
                </c:pt>
                <c:pt idx="120">
                  <c:v>-17463.714044345343</c:v>
                </c:pt>
                <c:pt idx="121">
                  <c:v>-17478.91841289233</c:v>
                </c:pt>
                <c:pt idx="122">
                  <c:v>-17494.222309423596</c:v>
                </c:pt>
                <c:pt idx="123">
                  <c:v>-17509.625129767508</c:v>
                </c:pt>
                <c:pt idx="124">
                  <c:v>-17525.126265847088</c:v>
                </c:pt>
                <c:pt idx="125">
                  <c:v>-17540.725105704034</c:v>
                </c:pt>
                <c:pt idx="126">
                  <c:v>-17556.421033522853</c:v>
                </c:pt>
                <c:pt idx="127">
                  <c:v>-17572.213429655189</c:v>
                </c:pt>
                <c:pt idx="128">
                  <c:v>-17588.101670644286</c:v>
                </c:pt>
                <c:pt idx="129">
                  <c:v>-17604.085129249597</c:v>
                </c:pt>
                <c:pt idx="130">
                  <c:v>-17620.163174471541</c:v>
                </c:pt>
                <c:pt idx="131">
                  <c:v>-17636.335171576422</c:v>
                </c:pt>
                <c:pt idx="132">
                  <c:v>-17652.600482121488</c:v>
                </c:pt>
                <c:pt idx="133">
                  <c:v>-17668.958463980125</c:v>
                </c:pt>
                <c:pt idx="134">
                  <c:v>-17685.408471367227</c:v>
                </c:pt>
                <c:pt idx="135">
                  <c:v>-17701.949854864659</c:v>
                </c:pt>
                <c:pt idx="136">
                  <c:v>-17718.581961446933</c:v>
                </c:pt>
                <c:pt idx="137">
                  <c:v>-17735.304134506954</c:v>
                </c:pt>
                <c:pt idx="138">
                  <c:v>-17752.115713881962</c:v>
                </c:pt>
                <c:pt idx="139">
                  <c:v>-17769.016035879595</c:v>
                </c:pt>
                <c:pt idx="140">
                  <c:v>-17786.004433304071</c:v>
                </c:pt>
                <c:pt idx="141">
                  <c:v>-17803.080235482557</c:v>
                </c:pt>
                <c:pt idx="142">
                  <c:v>-17820.242768291617</c:v>
                </c:pt>
                <c:pt idx="143">
                  <c:v>-17837.49135418384</c:v>
                </c:pt>
                <c:pt idx="144">
                  <c:v>-17854.825312214591</c:v>
                </c:pt>
                <c:pt idx="145">
                  <c:v>-17872.243958068892</c:v>
                </c:pt>
                <c:pt idx="146">
                  <c:v>-17889.746604088425</c:v>
                </c:pt>
                <c:pt idx="147">
                  <c:v>-17907.332559298695</c:v>
                </c:pt>
                <c:pt idx="148">
                  <c:v>-17925.001129436303</c:v>
                </c:pt>
                <c:pt idx="149">
                  <c:v>-17942.751616976355</c:v>
                </c:pt>
                <c:pt idx="150">
                  <c:v>-17960.583321159993</c:v>
                </c:pt>
                <c:pt idx="151">
                  <c:v>-17978.495538022074</c:v>
                </c:pt>
                <c:pt idx="152">
                  <c:v>-17996.487560418944</c:v>
                </c:pt>
                <c:pt idx="153">
                  <c:v>-18014.558678056364</c:v>
                </c:pt>
                <c:pt idx="154">
                  <c:v>-18032.708177517554</c:v>
                </c:pt>
                <c:pt idx="155">
                  <c:v>-18050.935342291352</c:v>
                </c:pt>
                <c:pt idx="156">
                  <c:v>-18069.239452800506</c:v>
                </c:pt>
                <c:pt idx="157">
                  <c:v>-18087.61978643007</c:v>
                </c:pt>
                <c:pt idx="158">
                  <c:v>-18106.075617555947</c:v>
                </c:pt>
                <c:pt idx="159">
                  <c:v>-18124.606217573524</c:v>
                </c:pt>
                <c:pt idx="160">
                  <c:v>-18143.210854926441</c:v>
                </c:pt>
                <c:pt idx="161">
                  <c:v>-18161.888795135477</c:v>
                </c:pt>
                <c:pt idx="162">
                  <c:v>-18180.63930082753</c:v>
                </c:pt>
                <c:pt idx="163">
                  <c:v>-18199.461631764741</c:v>
                </c:pt>
                <c:pt idx="164">
                  <c:v>-18218.355044873715</c:v>
                </c:pt>
                <c:pt idx="165">
                  <c:v>-18237.318794274852</c:v>
                </c:pt>
                <c:pt idx="166">
                  <c:v>-18256.352131311796</c:v>
                </c:pt>
                <c:pt idx="167">
                  <c:v>-18275.454304580991</c:v>
                </c:pt>
                <c:pt idx="168">
                  <c:v>-18294.62455996135</c:v>
                </c:pt>
                <c:pt idx="169">
                  <c:v>-18313.862140644011</c:v>
                </c:pt>
                <c:pt idx="170">
                  <c:v>-18333.166287162228</c:v>
                </c:pt>
                <c:pt idx="171">
                  <c:v>-18352.536237421351</c:v>
                </c:pt>
                <c:pt idx="172">
                  <c:v>-18371.971226728911</c:v>
                </c:pt>
                <c:pt idx="173">
                  <c:v>-18391.470487824809</c:v>
                </c:pt>
                <c:pt idx="174">
                  <c:v>-18411.033250911601</c:v>
                </c:pt>
                <c:pt idx="175">
                  <c:v>-18430.658743684904</c:v>
                </c:pt>
                <c:pt idx="176">
                  <c:v>-18450.34619136386</c:v>
                </c:pt>
                <c:pt idx="177">
                  <c:v>-18470.09481672175</c:v>
                </c:pt>
                <c:pt idx="178">
                  <c:v>-18489.903840116658</c:v>
                </c:pt>
                <c:pt idx="179">
                  <c:v>-18509.77247952226</c:v>
                </c:pt>
                <c:pt idx="180">
                  <c:v>-18529.699950558694</c:v>
                </c:pt>
                <c:pt idx="181">
                  <c:v>-18549.685466523522</c:v>
                </c:pt>
                <c:pt idx="182">
                  <c:v>-18569.728238422795</c:v>
                </c:pt>
                <c:pt idx="183">
                  <c:v>-18589.827475002199</c:v>
                </c:pt>
                <c:pt idx="184">
                  <c:v>-18609.982382778286</c:v>
                </c:pt>
                <c:pt idx="185">
                  <c:v>-18630.19216606981</c:v>
                </c:pt>
                <c:pt idx="186">
                  <c:v>-18650.456027029129</c:v>
                </c:pt>
                <c:pt idx="187">
                  <c:v>-18670.773165673712</c:v>
                </c:pt>
                <c:pt idx="188">
                  <c:v>-18691.142779917718</c:v>
                </c:pt>
                <c:pt idx="189">
                  <c:v>-18711.564065603645</c:v>
                </c:pt>
                <c:pt idx="190">
                  <c:v>-18732.03621653411</c:v>
                </c:pt>
                <c:pt idx="191">
                  <c:v>-18752.558424503641</c:v>
                </c:pt>
                <c:pt idx="192">
                  <c:v>-18773.129879330612</c:v>
                </c:pt>
                <c:pt idx="193">
                  <c:v>-18793.749768889211</c:v>
                </c:pt>
                <c:pt idx="194">
                  <c:v>-18814.4172791415</c:v>
                </c:pt>
                <c:pt idx="195">
                  <c:v>-18835.131594169565</c:v>
                </c:pt>
                <c:pt idx="196">
                  <c:v>-18855.891896207722</c:v>
                </c:pt>
                <c:pt idx="197">
                  <c:v>-18876.697365674787</c:v>
                </c:pt>
                <c:pt idx="198">
                  <c:v>-18897.547181206453</c:v>
                </c:pt>
                <c:pt idx="199">
                  <c:v>-18918.440519687705</c:v>
                </c:pt>
                <c:pt idx="200">
                  <c:v>-18939.376556285311</c:v>
                </c:pt>
                <c:pt idx="201">
                  <c:v>-18960.354464480399</c:v>
                </c:pt>
                <c:pt idx="202">
                  <c:v>-18981.373416101069</c:v>
                </c:pt>
                <c:pt idx="203">
                  <c:v>-19002.432581355104</c:v>
                </c:pt>
                <c:pt idx="204">
                  <c:v>-19023.53112886272</c:v>
                </c:pt>
                <c:pt idx="205">
                  <c:v>-19044.668225689384</c:v>
                </c:pt>
                <c:pt idx="206">
                  <c:v>-19065.843037378709</c:v>
                </c:pt>
                <c:pt idx="207">
                  <c:v>-19087.054727985382</c:v>
                </c:pt>
                <c:pt idx="208">
                  <c:v>-19108.302460108185</c:v>
                </c:pt>
                <c:pt idx="209">
                  <c:v>-19129.58539492303</c:v>
                </c:pt>
                <c:pt idx="210">
                  <c:v>-19150.902692216096</c:v>
                </c:pt>
                <c:pt idx="211">
                  <c:v>-19172.253510416987</c:v>
                </c:pt>
                <c:pt idx="212">
                  <c:v>-19193.637006631958</c:v>
                </c:pt>
                <c:pt idx="213">
                  <c:v>-19215.052336677189</c:v>
                </c:pt>
                <c:pt idx="214">
                  <c:v>-19236.498655112126</c:v>
                </c:pt>
                <c:pt idx="215">
                  <c:v>-19257.975115272831</c:v>
                </c:pt>
                <c:pt idx="216">
                  <c:v>-19279.48086930544</c:v>
                </c:pt>
                <c:pt idx="217">
                  <c:v>-19301.015068199598</c:v>
                </c:pt>
                <c:pt idx="218">
                  <c:v>-19322.576861822014</c:v>
                </c:pt>
                <c:pt idx="219">
                  <c:v>-19344.16539894999</c:v>
                </c:pt>
                <c:pt idx="220">
                  <c:v>-19365.779827305043</c:v>
                </c:pt>
                <c:pt idx="221">
                  <c:v>-19387.419293586558</c:v>
                </c:pt>
                <c:pt idx="222">
                  <c:v>-19409.082943505458</c:v>
                </c:pt>
                <c:pt idx="223">
                  <c:v>-19430.769921817933</c:v>
                </c:pt>
                <c:pt idx="224">
                  <c:v>-19452.479372359219</c:v>
                </c:pt>
                <c:pt idx="225">
                  <c:v>-19474.210438077378</c:v>
                </c:pt>
                <c:pt idx="226">
                  <c:v>-19495.962261067143</c:v>
                </c:pt>
                <c:pt idx="227">
                  <c:v>-19517.733982603793</c:v>
                </c:pt>
                <c:pt idx="228">
                  <c:v>-19539.524743177037</c:v>
                </c:pt>
                <c:pt idx="229">
                  <c:v>-19561.333682524961</c:v>
                </c:pt>
                <c:pt idx="230">
                  <c:v>-19583.159939667981</c:v>
                </c:pt>
                <c:pt idx="231">
                  <c:v>-19605.002652942843</c:v>
                </c:pt>
                <c:pt idx="232">
                  <c:v>-19626.860960036618</c:v>
                </c:pt>
                <c:pt idx="233">
                  <c:v>-19648.733998020776</c:v>
                </c:pt>
                <c:pt idx="234">
                  <c:v>-19670.620903385228</c:v>
                </c:pt>
                <c:pt idx="235">
                  <c:v>-19692.520812072427</c:v>
                </c:pt>
                <c:pt idx="236">
                  <c:v>-19714.432859511478</c:v>
                </c:pt>
                <c:pt idx="237">
                  <c:v>-19736.356180652263</c:v>
                </c:pt>
                <c:pt idx="238">
                  <c:v>-19758.28990999961</c:v>
                </c:pt>
                <c:pt idx="239">
                  <c:v>-19780.233181647433</c:v>
                </c:pt>
                <c:pt idx="240">
                  <c:v>-19802.185129312944</c:v>
                </c:pt>
                <c:pt idx="241">
                  <c:v>-19824.144886370836</c:v>
                </c:pt>
                <c:pt idx="242">
                  <c:v>-19846.111585887502</c:v>
                </c:pt>
                <c:pt idx="243">
                  <c:v>-19868.084360655259</c:v>
                </c:pt>
                <c:pt idx="244">
                  <c:v>-19890.062343226582</c:v>
                </c:pt>
                <c:pt idx="245">
                  <c:v>-19912.04466594835</c:v>
                </c:pt>
                <c:pt idx="246">
                  <c:v>-19934.030460996102</c:v>
                </c:pt>
                <c:pt idx="247">
                  <c:v>-19956.018860408298</c:v>
                </c:pt>
                <c:pt idx="248">
                  <c:v>-19978.008996120574</c:v>
                </c:pt>
                <c:pt idx="249">
                  <c:v>-20000.000000000029</c:v>
                </c:pt>
                <c:pt idx="250">
                  <c:v>-20021.991003879488</c:v>
                </c:pt>
                <c:pt idx="251">
                  <c:v>-20043.981139591764</c:v>
                </c:pt>
                <c:pt idx="252">
                  <c:v>-20065.96953900396</c:v>
                </c:pt>
                <c:pt idx="253">
                  <c:v>-20087.955334051712</c:v>
                </c:pt>
                <c:pt idx="254">
                  <c:v>-20109.93765677348</c:v>
                </c:pt>
                <c:pt idx="255">
                  <c:v>-20131.915639344803</c:v>
                </c:pt>
                <c:pt idx="256">
                  <c:v>-20153.88841411256</c:v>
                </c:pt>
                <c:pt idx="257">
                  <c:v>-20175.855113629226</c:v>
                </c:pt>
                <c:pt idx="258">
                  <c:v>-20197.814870687118</c:v>
                </c:pt>
                <c:pt idx="259">
                  <c:v>-20219.766818352629</c:v>
                </c:pt>
                <c:pt idx="260">
                  <c:v>-20241.710090000452</c:v>
                </c:pt>
                <c:pt idx="261">
                  <c:v>-20263.643819347799</c:v>
                </c:pt>
                <c:pt idx="262">
                  <c:v>-20285.567140488583</c:v>
                </c:pt>
                <c:pt idx="263">
                  <c:v>-20307.479187927634</c:v>
                </c:pt>
                <c:pt idx="264">
                  <c:v>-20329.379096614834</c:v>
                </c:pt>
                <c:pt idx="265">
                  <c:v>-20351.266001979286</c:v>
                </c:pt>
                <c:pt idx="266">
                  <c:v>-20373.139039963444</c:v>
                </c:pt>
                <c:pt idx="267">
                  <c:v>-20394.997347057219</c:v>
                </c:pt>
                <c:pt idx="268">
                  <c:v>-20416.840060332077</c:v>
                </c:pt>
                <c:pt idx="269">
                  <c:v>-20438.666317475097</c:v>
                </c:pt>
                <c:pt idx="270">
                  <c:v>-20460.475256823021</c:v>
                </c:pt>
                <c:pt idx="271">
                  <c:v>-20482.266017396269</c:v>
                </c:pt>
                <c:pt idx="272">
                  <c:v>-20504.037738932919</c:v>
                </c:pt>
                <c:pt idx="273">
                  <c:v>-20525.789561922684</c:v>
                </c:pt>
                <c:pt idx="274">
                  <c:v>-20547.520627640843</c:v>
                </c:pt>
                <c:pt idx="275">
                  <c:v>-20569.230078182129</c:v>
                </c:pt>
                <c:pt idx="276">
                  <c:v>-20590.917056494603</c:v>
                </c:pt>
                <c:pt idx="277">
                  <c:v>-20612.580706413501</c:v>
                </c:pt>
                <c:pt idx="278">
                  <c:v>-20634.220172695015</c:v>
                </c:pt>
                <c:pt idx="279">
                  <c:v>-20655.834601050072</c:v>
                </c:pt>
                <c:pt idx="280">
                  <c:v>-20677.423138178048</c:v>
                </c:pt>
                <c:pt idx="281">
                  <c:v>-20698.98493180046</c:v>
                </c:pt>
                <c:pt idx="282">
                  <c:v>-20720.519130694622</c:v>
                </c:pt>
                <c:pt idx="283">
                  <c:v>-20742.024884727227</c:v>
                </c:pt>
                <c:pt idx="284">
                  <c:v>-20763.501344887936</c:v>
                </c:pt>
                <c:pt idx="285">
                  <c:v>-20784.94766332287</c:v>
                </c:pt>
                <c:pt idx="286">
                  <c:v>-20806.362993368104</c:v>
                </c:pt>
                <c:pt idx="287">
                  <c:v>-20827.746489583074</c:v>
                </c:pt>
                <c:pt idx="288">
                  <c:v>-20849.097307783963</c:v>
                </c:pt>
                <c:pt idx="289">
                  <c:v>-20870.414605077029</c:v>
                </c:pt>
                <c:pt idx="290">
                  <c:v>-20891.697539891873</c:v>
                </c:pt>
                <c:pt idx="291">
                  <c:v>-20912.945272014676</c:v>
                </c:pt>
                <c:pt idx="292">
                  <c:v>-20934.156962621353</c:v>
                </c:pt>
                <c:pt idx="293">
                  <c:v>-20955.331774310675</c:v>
                </c:pt>
                <c:pt idx="294">
                  <c:v>-20976.468871137338</c:v>
                </c:pt>
                <c:pt idx="295">
                  <c:v>-20997.567418644954</c:v>
                </c:pt>
                <c:pt idx="296">
                  <c:v>-21018.626583898989</c:v>
                </c:pt>
                <c:pt idx="297">
                  <c:v>-21039.645535519659</c:v>
                </c:pt>
                <c:pt idx="298">
                  <c:v>-21060.623443714747</c:v>
                </c:pt>
                <c:pt idx="299">
                  <c:v>-21081.559480312353</c:v>
                </c:pt>
                <c:pt idx="300">
                  <c:v>-21102.452818793605</c:v>
                </c:pt>
                <c:pt idx="301">
                  <c:v>-21123.302634325271</c:v>
                </c:pt>
                <c:pt idx="302">
                  <c:v>-21144.108103792336</c:v>
                </c:pt>
                <c:pt idx="303">
                  <c:v>-21164.868405830493</c:v>
                </c:pt>
                <c:pt idx="304">
                  <c:v>-21185.582720858558</c:v>
                </c:pt>
                <c:pt idx="305">
                  <c:v>-21206.250231110847</c:v>
                </c:pt>
                <c:pt idx="306">
                  <c:v>-21226.870120669446</c:v>
                </c:pt>
                <c:pt idx="307">
                  <c:v>-21247.441575496417</c:v>
                </c:pt>
                <c:pt idx="308">
                  <c:v>-21267.963783465948</c:v>
                </c:pt>
                <c:pt idx="309">
                  <c:v>-21288.435934396413</c:v>
                </c:pt>
                <c:pt idx="310">
                  <c:v>-21308.85722008234</c:v>
                </c:pt>
                <c:pt idx="311">
                  <c:v>-21329.226834326342</c:v>
                </c:pt>
                <c:pt idx="312">
                  <c:v>-21349.543972970929</c:v>
                </c:pt>
                <c:pt idx="313">
                  <c:v>-21369.807833930248</c:v>
                </c:pt>
                <c:pt idx="314">
                  <c:v>-21390.017617221773</c:v>
                </c:pt>
                <c:pt idx="315">
                  <c:v>-21410.172524997859</c:v>
                </c:pt>
                <c:pt idx="316">
                  <c:v>-21430.27176157726</c:v>
                </c:pt>
                <c:pt idx="317">
                  <c:v>-21450.314533476536</c:v>
                </c:pt>
                <c:pt idx="318">
                  <c:v>-21470.300049441361</c:v>
                </c:pt>
                <c:pt idx="319">
                  <c:v>-21490.227520477794</c:v>
                </c:pt>
                <c:pt idx="320">
                  <c:v>-21510.096159883396</c:v>
                </c:pt>
                <c:pt idx="321">
                  <c:v>-21529.905183278304</c:v>
                </c:pt>
                <c:pt idx="322">
                  <c:v>-21549.653808636194</c:v>
                </c:pt>
                <c:pt idx="323">
                  <c:v>-21569.341256315154</c:v>
                </c:pt>
                <c:pt idx="324">
                  <c:v>-21588.966749088453</c:v>
                </c:pt>
                <c:pt idx="325">
                  <c:v>-21608.529512175246</c:v>
                </c:pt>
                <c:pt idx="326">
                  <c:v>-21628.028773271144</c:v>
                </c:pt>
                <c:pt idx="327">
                  <c:v>-21647.463762578704</c:v>
                </c:pt>
                <c:pt idx="328">
                  <c:v>-21666.833712837826</c:v>
                </c:pt>
                <c:pt idx="329">
                  <c:v>-21686.137859356044</c:v>
                </c:pt>
                <c:pt idx="330">
                  <c:v>-21705.375440038704</c:v>
                </c:pt>
                <c:pt idx="331">
                  <c:v>-21724.545695419059</c:v>
                </c:pt>
                <c:pt idx="332">
                  <c:v>-21743.647868688258</c:v>
                </c:pt>
                <c:pt idx="333">
                  <c:v>-21762.681205725203</c:v>
                </c:pt>
                <c:pt idx="334">
                  <c:v>-21781.644955126339</c:v>
                </c:pt>
                <c:pt idx="335">
                  <c:v>-21800.538368235313</c:v>
                </c:pt>
                <c:pt idx="336">
                  <c:v>-21819.360699172525</c:v>
                </c:pt>
                <c:pt idx="337">
                  <c:v>-21838.111204864574</c:v>
                </c:pt>
                <c:pt idx="338">
                  <c:v>-21856.78914507361</c:v>
                </c:pt>
                <c:pt idx="339">
                  <c:v>-21875.393782426527</c:v>
                </c:pt>
                <c:pt idx="340">
                  <c:v>-21893.924382444107</c:v>
                </c:pt>
                <c:pt idx="341">
                  <c:v>-21912.380213569981</c:v>
                </c:pt>
                <c:pt idx="342">
                  <c:v>-21930.760547199545</c:v>
                </c:pt>
                <c:pt idx="343">
                  <c:v>-21949.064657708699</c:v>
                </c:pt>
                <c:pt idx="344">
                  <c:v>-21967.291822482497</c:v>
                </c:pt>
                <c:pt idx="345">
                  <c:v>-21985.441321943686</c:v>
                </c:pt>
                <c:pt idx="346">
                  <c:v>-22003.512439581107</c:v>
                </c:pt>
                <c:pt idx="347">
                  <c:v>-22021.504461977976</c:v>
                </c:pt>
                <c:pt idx="348">
                  <c:v>-22039.416678840054</c:v>
                </c:pt>
                <c:pt idx="349">
                  <c:v>-22057.248383023696</c:v>
                </c:pt>
                <c:pt idx="350">
                  <c:v>-22074.998870563748</c:v>
                </c:pt>
                <c:pt idx="351">
                  <c:v>-22092.667440701356</c:v>
                </c:pt>
                <c:pt idx="352">
                  <c:v>-22110.253395911626</c:v>
                </c:pt>
                <c:pt idx="353">
                  <c:v>-22127.756041931159</c:v>
                </c:pt>
                <c:pt idx="354">
                  <c:v>-22145.174687785457</c:v>
                </c:pt>
                <c:pt idx="355">
                  <c:v>-22162.508645816211</c:v>
                </c:pt>
                <c:pt idx="356">
                  <c:v>-22179.757231708434</c:v>
                </c:pt>
                <c:pt idx="357">
                  <c:v>-22196.91976451749</c:v>
                </c:pt>
                <c:pt idx="358">
                  <c:v>-22213.995566695976</c:v>
                </c:pt>
                <c:pt idx="359">
                  <c:v>-22230.983964120453</c:v>
                </c:pt>
                <c:pt idx="360">
                  <c:v>-22247.884286118086</c:v>
                </c:pt>
                <c:pt idx="361">
                  <c:v>-22264.695865493093</c:v>
                </c:pt>
                <c:pt idx="362">
                  <c:v>-22281.418038553114</c:v>
                </c:pt>
                <c:pt idx="363">
                  <c:v>-22298.050145135385</c:v>
                </c:pt>
                <c:pt idx="364">
                  <c:v>-22314.59152863282</c:v>
                </c:pt>
                <c:pt idx="365">
                  <c:v>-22331.041536019919</c:v>
                </c:pt>
                <c:pt idx="366">
                  <c:v>-22347.399517878559</c:v>
                </c:pt>
                <c:pt idx="367">
                  <c:v>-22363.664828423625</c:v>
                </c:pt>
                <c:pt idx="368">
                  <c:v>-22379.836825528506</c:v>
                </c:pt>
                <c:pt idx="369">
                  <c:v>-22395.91487075045</c:v>
                </c:pt>
                <c:pt idx="370">
                  <c:v>-22411.898329355758</c:v>
                </c:pt>
                <c:pt idx="371">
                  <c:v>-22427.786570344855</c:v>
                </c:pt>
                <c:pt idx="372">
                  <c:v>-22443.578966477195</c:v>
                </c:pt>
                <c:pt idx="373">
                  <c:v>-22459.27489429601</c:v>
                </c:pt>
                <c:pt idx="374">
                  <c:v>-22474.873734152956</c:v>
                </c:pt>
                <c:pt idx="375">
                  <c:v>-22490.374870232536</c:v>
                </c:pt>
                <c:pt idx="376">
                  <c:v>-22505.777690576448</c:v>
                </c:pt>
                <c:pt idx="377">
                  <c:v>-22521.081587107714</c:v>
                </c:pt>
                <c:pt idx="378">
                  <c:v>-22536.285955654701</c:v>
                </c:pt>
                <c:pt idx="379">
                  <c:v>-22551.390195974978</c:v>
                </c:pt>
                <c:pt idx="380">
                  <c:v>-22566.393711778997</c:v>
                </c:pt>
                <c:pt idx="381">
                  <c:v>-22581.295910753644</c:v>
                </c:pt>
                <c:pt idx="382">
                  <c:v>-22596.096204585625</c:v>
                </c:pt>
                <c:pt idx="383">
                  <c:v>-22610.794008984674</c:v>
                </c:pt>
                <c:pt idx="384">
                  <c:v>-22625.388743706644</c:v>
                </c:pt>
                <c:pt idx="385">
                  <c:v>-22639.8798325764</c:v>
                </c:pt>
                <c:pt idx="386">
                  <c:v>-22654.266703510562</c:v>
                </c:pt>
                <c:pt idx="387">
                  <c:v>-22668.548788540105</c:v>
                </c:pt>
                <c:pt idx="388">
                  <c:v>-22682.72552383276</c:v>
                </c:pt>
                <c:pt idx="389">
                  <c:v>-22696.7963497153</c:v>
                </c:pt>
                <c:pt idx="390">
                  <c:v>-22710.760710695606</c:v>
                </c:pt>
                <c:pt idx="391">
                  <c:v>-22724.618055484618</c:v>
                </c:pt>
                <c:pt idx="392">
                  <c:v>-22738.367837018093</c:v>
                </c:pt>
                <c:pt idx="393">
                  <c:v>-22752.009512478202</c:v>
                </c:pt>
                <c:pt idx="394">
                  <c:v>-22765.54254331495</c:v>
                </c:pt>
                <c:pt idx="395">
                  <c:v>-22778.96639526746</c:v>
                </c:pt>
                <c:pt idx="396">
                  <c:v>-22792.280538385035</c:v>
                </c:pt>
                <c:pt idx="397">
                  <c:v>-22805.484447048104</c:v>
                </c:pt>
                <c:pt idx="398">
                  <c:v>-22818.577599988963</c:v>
                </c:pt>
                <c:pt idx="399">
                  <c:v>-22831.559480312349</c:v>
                </c:pt>
                <c:pt idx="400">
                  <c:v>-22844.429575515864</c:v>
                </c:pt>
                <c:pt idx="401">
                  <c:v>-22857.187377510178</c:v>
                </c:pt>
                <c:pt idx="402">
                  <c:v>-22869.832382639117</c:v>
                </c:pt>
                <c:pt idx="403">
                  <c:v>-22882.364091699528</c:v>
                </c:pt>
                <c:pt idx="404">
                  <c:v>-22894.782009961</c:v>
                </c:pt>
                <c:pt idx="405">
                  <c:v>-22907.085647185377</c:v>
                </c:pt>
                <c:pt idx="406">
                  <c:v>-22919.274517646132</c:v>
                </c:pt>
                <c:pt idx="407">
                  <c:v>-22931.348140147529</c:v>
                </c:pt>
                <c:pt idx="408">
                  <c:v>-22943.306038043625</c:v>
                </c:pt>
                <c:pt idx="409">
                  <c:v>-22955.147739257085</c:v>
                </c:pt>
                <c:pt idx="410">
                  <c:v>-22966.872776297823</c:v>
                </c:pt>
                <c:pt idx="411">
                  <c:v>-22978.480686281455</c:v>
                </c:pt>
                <c:pt idx="412">
                  <c:v>-22989.971010947564</c:v>
                </c:pt>
                <c:pt idx="413">
                  <c:v>-23001.343296677813</c:v>
                </c:pt>
                <c:pt idx="414">
                  <c:v>-23012.597094513832</c:v>
                </c:pt>
                <c:pt idx="415">
                  <c:v>-23023.731960174955</c:v>
                </c:pt>
                <c:pt idx="416">
                  <c:v>-23034.747454075747</c:v>
                </c:pt>
                <c:pt idx="417">
                  <c:v>-23045.643141343371</c:v>
                </c:pt>
                <c:pt idx="418">
                  <c:v>-23056.41859183475</c:v>
                </c:pt>
                <c:pt idx="419">
                  <c:v>-23067.073380153553</c:v>
                </c:pt>
                <c:pt idx="420">
                  <c:v>-23077.607085666976</c:v>
                </c:pt>
                <c:pt idx="421">
                  <c:v>-23088.019292522367</c:v>
                </c:pt>
                <c:pt idx="422">
                  <c:v>-23098.309589663622</c:v>
                </c:pt>
                <c:pt idx="423">
                  <c:v>-23108.477570847434</c:v>
                </c:pt>
                <c:pt idx="424">
                  <c:v>-23118.522834659318</c:v>
                </c:pt>
                <c:pt idx="425">
                  <c:v>-23128.444984529451</c:v>
                </c:pt>
                <c:pt idx="426">
                  <c:v>-23138.243628748354</c:v>
                </c:pt>
                <c:pt idx="427">
                  <c:v>-23147.918380482326</c:v>
                </c:pt>
                <c:pt idx="428">
                  <c:v>-23157.468857788739</c:v>
                </c:pt>
                <c:pt idx="429">
                  <c:v>-23166.894683631097</c:v>
                </c:pt>
                <c:pt idx="430">
                  <c:v>-23176.195485893935</c:v>
                </c:pt>
                <c:pt idx="431">
                  <c:v>-23185.370897397512</c:v>
                </c:pt>
                <c:pt idx="432">
                  <c:v>-23194.420555912286</c:v>
                </c:pt>
                <c:pt idx="433">
                  <c:v>-23203.344104173237</c:v>
                </c:pt>
                <c:pt idx="434">
                  <c:v>-23212.141189893959</c:v>
                </c:pt>
                <c:pt idx="435">
                  <c:v>-23220.811465780571</c:v>
                </c:pt>
                <c:pt idx="436">
                  <c:v>-23229.354589545426</c:v>
                </c:pt>
                <c:pt idx="437">
                  <c:v>-23237.770223920626</c:v>
                </c:pt>
                <c:pt idx="438">
                  <c:v>-23246.05803667134</c:v>
                </c:pt>
                <c:pt idx="439">
                  <c:v>-23254.217700608904</c:v>
                </c:pt>
                <c:pt idx="440">
                  <c:v>-23262.248893603763</c:v>
                </c:pt>
                <c:pt idx="441">
                  <c:v>-23270.151298598164</c:v>
                </c:pt>
                <c:pt idx="442">
                  <c:v>-23277.924603618696</c:v>
                </c:pt>
                <c:pt idx="443">
                  <c:v>-23285.568501788581</c:v>
                </c:pt>
                <c:pt idx="444">
                  <c:v>-23293.082691339812</c:v>
                </c:pt>
                <c:pt idx="445">
                  <c:v>-23300.466875625047</c:v>
                </c:pt>
                <c:pt idx="446">
                  <c:v>-23307.720763129339</c:v>
                </c:pt>
                <c:pt idx="447">
                  <c:v>-23314.844067481627</c:v>
                </c:pt>
                <c:pt idx="448">
                  <c:v>-23321.836507466054</c:v>
                </c:pt>
                <c:pt idx="449">
                  <c:v>-23328.697807033059</c:v>
                </c:pt>
                <c:pt idx="450">
                  <c:v>-23335.427695310285</c:v>
                </c:pt>
                <c:pt idx="451">
                  <c:v>-23342.025906613271</c:v>
                </c:pt>
                <c:pt idx="452">
                  <c:v>-23348.492180455927</c:v>
                </c:pt>
                <c:pt idx="453">
                  <c:v>-23354.826261560836</c:v>
                </c:pt>
                <c:pt idx="454">
                  <c:v>-23361.027899869321</c:v>
                </c:pt>
                <c:pt idx="455">
                  <c:v>-23367.096850551319</c:v>
                </c:pt>
                <c:pt idx="456">
                  <c:v>-23373.032874015051</c:v>
                </c:pt>
                <c:pt idx="457">
                  <c:v>-23378.835735916477</c:v>
                </c:pt>
                <c:pt idx="458">
                  <c:v>-23384.505207168542</c:v>
                </c:pt>
                <c:pt idx="459">
                  <c:v>-23390.041063950226</c:v>
                </c:pt>
                <c:pt idx="460">
                  <c:v>-23395.443087715386</c:v>
                </c:pt>
                <c:pt idx="461">
                  <c:v>-23400.711065201376</c:v>
                </c:pt>
                <c:pt idx="462">
                  <c:v>-23405.844788437458</c:v>
                </c:pt>
                <c:pt idx="463">
                  <c:v>-23410.844054753037</c:v>
                </c:pt>
                <c:pt idx="464">
                  <c:v>-23415.708666785631</c:v>
                </c:pt>
                <c:pt idx="465">
                  <c:v>-23420.438432488692</c:v>
                </c:pt>
                <c:pt idx="466">
                  <c:v>-23425.033165139168</c:v>
                </c:pt>
                <c:pt idx="467">
                  <c:v>-23429.492683344877</c:v>
                </c:pt>
                <c:pt idx="468">
                  <c:v>-23433.816811051682</c:v>
                </c:pt>
                <c:pt idx="469">
                  <c:v>-23438.005377550424</c:v>
                </c:pt>
                <c:pt idx="470">
                  <c:v>-23442.058217483667</c:v>
                </c:pt>
                <c:pt idx="471">
                  <c:v>-23445.975170852231</c:v>
                </c:pt>
                <c:pt idx="472">
                  <c:v>-23449.756083021504</c:v>
                </c:pt>
                <c:pt idx="473">
                  <c:v>-23453.400804727549</c:v>
                </c:pt>
                <c:pt idx="474">
                  <c:v>-23456.909192082992</c:v>
                </c:pt>
                <c:pt idx="475">
                  <c:v>-23460.281106582712</c:v>
                </c:pt>
                <c:pt idx="476">
                  <c:v>-23463.51641510929</c:v>
                </c:pt>
                <c:pt idx="477">
                  <c:v>-23466.614989938291</c:v>
                </c:pt>
                <c:pt idx="478">
                  <c:v>-23469.576708743283</c:v>
                </c:pt>
                <c:pt idx="479">
                  <c:v>-23472.40145460068</c:v>
                </c:pt>
                <c:pt idx="480">
                  <c:v>-23475.089115994357</c:v>
                </c:pt>
                <c:pt idx="481">
                  <c:v>-23477.639586820038</c:v>
                </c:pt>
                <c:pt idx="482">
                  <c:v>-23480.052766389505</c:v>
                </c:pt>
                <c:pt idx="483">
                  <c:v>-23482.328559434558</c:v>
                </c:pt>
                <c:pt idx="484">
                  <c:v>-23484.466876110786</c:v>
                </c:pt>
                <c:pt idx="485">
                  <c:v>-23486.467632001109</c:v>
                </c:pt>
                <c:pt idx="486">
                  <c:v>-23488.330748119111</c:v>
                </c:pt>
                <c:pt idx="487">
                  <c:v>-23490.056150912154</c:v>
                </c:pt>
                <c:pt idx="488">
                  <c:v>-23491.643772264295</c:v>
                </c:pt>
                <c:pt idx="489">
                  <c:v>-23493.093549498954</c:v>
                </c:pt>
                <c:pt idx="490">
                  <c:v>-23494.405425381417</c:v>
                </c:pt>
                <c:pt idx="491">
                  <c:v>-23495.579348121064</c:v>
                </c:pt>
                <c:pt idx="492">
                  <c:v>-23496.615271373441</c:v>
                </c:pt>
                <c:pt idx="493">
                  <c:v>-23497.513154242064</c:v>
                </c:pt>
                <c:pt idx="494">
                  <c:v>-23498.272961280061</c:v>
                </c:pt>
                <c:pt idx="495">
                  <c:v>-23498.894662491552</c:v>
                </c:pt>
                <c:pt idx="496">
                  <c:v>-23499.378233332834</c:v>
                </c:pt>
                <c:pt idx="497">
                  <c:v>-23499.723654713358</c:v>
                </c:pt>
                <c:pt idx="498">
                  <c:v>-23499.930912996482</c:v>
                </c:pt>
                <c:pt idx="499">
                  <c:v>-23500</c:v>
                </c:pt>
                <c:pt idx="500">
                  <c:v>-23499.930912996479</c:v>
                </c:pt>
                <c:pt idx="501">
                  <c:v>-23499.723654713354</c:v>
                </c:pt>
                <c:pt idx="502">
                  <c:v>-23499.378233332831</c:v>
                </c:pt>
                <c:pt idx="503">
                  <c:v>-23498.894662491548</c:v>
                </c:pt>
                <c:pt idx="504">
                  <c:v>-23498.272961280058</c:v>
                </c:pt>
                <c:pt idx="505">
                  <c:v>-23497.51315424206</c:v>
                </c:pt>
                <c:pt idx="506">
                  <c:v>-23496.615271373434</c:v>
                </c:pt>
                <c:pt idx="507">
                  <c:v>-23495.579348121057</c:v>
                </c:pt>
                <c:pt idx="508">
                  <c:v>-23494.40542538141</c:v>
                </c:pt>
                <c:pt idx="509">
                  <c:v>-23493.093549498946</c:v>
                </c:pt>
                <c:pt idx="510">
                  <c:v>-23491.643772264284</c:v>
                </c:pt>
                <c:pt idx="511">
                  <c:v>-23490.056150912143</c:v>
                </c:pt>
                <c:pt idx="512">
                  <c:v>-23488.330748119097</c:v>
                </c:pt>
                <c:pt idx="513">
                  <c:v>-23486.467632001099</c:v>
                </c:pt>
                <c:pt idx="514">
                  <c:v>-23484.466876110771</c:v>
                </c:pt>
                <c:pt idx="515">
                  <c:v>-23482.328559434543</c:v>
                </c:pt>
                <c:pt idx="516">
                  <c:v>-23480.052766389486</c:v>
                </c:pt>
                <c:pt idx="517">
                  <c:v>-23477.63958682002</c:v>
                </c:pt>
                <c:pt idx="518">
                  <c:v>-23475.089115994338</c:v>
                </c:pt>
                <c:pt idx="519">
                  <c:v>-23472.401454600662</c:v>
                </c:pt>
                <c:pt idx="520">
                  <c:v>-23469.576708743261</c:v>
                </c:pt>
                <c:pt idx="521">
                  <c:v>-23466.614989938269</c:v>
                </c:pt>
                <c:pt idx="522">
                  <c:v>-23463.516415109269</c:v>
                </c:pt>
                <c:pt idx="523">
                  <c:v>-23460.281106582686</c:v>
                </c:pt>
                <c:pt idx="524">
                  <c:v>-23456.909192082971</c:v>
                </c:pt>
                <c:pt idx="525">
                  <c:v>-23453.400804727524</c:v>
                </c:pt>
                <c:pt idx="526">
                  <c:v>-23449.756083021479</c:v>
                </c:pt>
                <c:pt idx="527">
                  <c:v>-23445.975170852205</c:v>
                </c:pt>
                <c:pt idx="528">
                  <c:v>-23442.058217483638</c:v>
                </c:pt>
                <c:pt idx="529">
                  <c:v>-23438.005377550395</c:v>
                </c:pt>
                <c:pt idx="530">
                  <c:v>-23433.816811051653</c:v>
                </c:pt>
                <c:pt idx="531">
                  <c:v>-23429.492683344848</c:v>
                </c:pt>
                <c:pt idx="532">
                  <c:v>-23425.033165139135</c:v>
                </c:pt>
                <c:pt idx="533">
                  <c:v>-23420.43843248866</c:v>
                </c:pt>
                <c:pt idx="534">
                  <c:v>-23415.708666785598</c:v>
                </c:pt>
                <c:pt idx="535">
                  <c:v>-23410.844054753001</c:v>
                </c:pt>
                <c:pt idx="536">
                  <c:v>-23405.844788437422</c:v>
                </c:pt>
                <c:pt idx="537">
                  <c:v>-23400.71106520134</c:v>
                </c:pt>
                <c:pt idx="538">
                  <c:v>-23395.44308771535</c:v>
                </c:pt>
                <c:pt idx="539">
                  <c:v>-23390.041063950186</c:v>
                </c:pt>
                <c:pt idx="540">
                  <c:v>-23384.505207168502</c:v>
                </c:pt>
                <c:pt idx="541">
                  <c:v>-23378.835735916437</c:v>
                </c:pt>
                <c:pt idx="542">
                  <c:v>-23373.032874015011</c:v>
                </c:pt>
                <c:pt idx="543">
                  <c:v>-23367.096850551279</c:v>
                </c:pt>
                <c:pt idx="544">
                  <c:v>-23361.027899869277</c:v>
                </c:pt>
                <c:pt idx="545">
                  <c:v>-23354.826261560793</c:v>
                </c:pt>
                <c:pt idx="546">
                  <c:v>-23348.492180455883</c:v>
                </c:pt>
                <c:pt idx="547">
                  <c:v>-23342.025906613224</c:v>
                </c:pt>
                <c:pt idx="548">
                  <c:v>-23335.427695310238</c:v>
                </c:pt>
                <c:pt idx="549">
                  <c:v>-23328.697807033011</c:v>
                </c:pt>
                <c:pt idx="550">
                  <c:v>-23321.836507466003</c:v>
                </c:pt>
                <c:pt idx="551">
                  <c:v>-23314.844067481579</c:v>
                </c:pt>
                <c:pt idx="552">
                  <c:v>-23307.720763129288</c:v>
                </c:pt>
                <c:pt idx="553">
                  <c:v>-23300.466875624996</c:v>
                </c:pt>
                <c:pt idx="554">
                  <c:v>-23293.082691339761</c:v>
                </c:pt>
                <c:pt idx="555">
                  <c:v>-23285.56850178853</c:v>
                </c:pt>
                <c:pt idx="556">
                  <c:v>-23277.924603618641</c:v>
                </c:pt>
                <c:pt idx="557">
                  <c:v>-23270.15129859811</c:v>
                </c:pt>
                <c:pt idx="558">
                  <c:v>-23262.248893603708</c:v>
                </c:pt>
                <c:pt idx="559">
                  <c:v>-23254.217700608846</c:v>
                </c:pt>
                <c:pt idx="560">
                  <c:v>-23246.058036671282</c:v>
                </c:pt>
                <c:pt idx="561">
                  <c:v>-23237.770223920568</c:v>
                </c:pt>
                <c:pt idx="562">
                  <c:v>-23229.354589545368</c:v>
                </c:pt>
                <c:pt idx="563">
                  <c:v>-23220.811465780513</c:v>
                </c:pt>
                <c:pt idx="564">
                  <c:v>-23212.141189893897</c:v>
                </c:pt>
                <c:pt idx="565">
                  <c:v>-23203.344104173175</c:v>
                </c:pt>
                <c:pt idx="566">
                  <c:v>-23194.420555912224</c:v>
                </c:pt>
                <c:pt idx="567">
                  <c:v>-23185.370897397446</c:v>
                </c:pt>
                <c:pt idx="568">
                  <c:v>-23176.19548589387</c:v>
                </c:pt>
                <c:pt idx="569">
                  <c:v>-23166.894683631032</c:v>
                </c:pt>
                <c:pt idx="570">
                  <c:v>-23157.46885778867</c:v>
                </c:pt>
                <c:pt idx="571">
                  <c:v>-23147.918380482261</c:v>
                </c:pt>
                <c:pt idx="572">
                  <c:v>-23138.243628748285</c:v>
                </c:pt>
                <c:pt idx="573">
                  <c:v>-23128.444984529382</c:v>
                </c:pt>
                <c:pt idx="574">
                  <c:v>-23118.522834659245</c:v>
                </c:pt>
                <c:pt idx="575">
                  <c:v>-23108.477570847364</c:v>
                </c:pt>
                <c:pt idx="576">
                  <c:v>-23098.30958966355</c:v>
                </c:pt>
                <c:pt idx="577">
                  <c:v>-23088.019292522295</c:v>
                </c:pt>
                <c:pt idx="578">
                  <c:v>-23077.607085666903</c:v>
                </c:pt>
                <c:pt idx="579">
                  <c:v>-23067.073380153477</c:v>
                </c:pt>
                <c:pt idx="580">
                  <c:v>-23056.418591834677</c:v>
                </c:pt>
                <c:pt idx="581">
                  <c:v>-23045.643141343295</c:v>
                </c:pt>
                <c:pt idx="582">
                  <c:v>-23034.74745407567</c:v>
                </c:pt>
                <c:pt idx="583">
                  <c:v>-23023.731960174875</c:v>
                </c:pt>
                <c:pt idx="584">
                  <c:v>-23012.597094513756</c:v>
                </c:pt>
                <c:pt idx="585">
                  <c:v>-23001.343296677736</c:v>
                </c:pt>
                <c:pt idx="586">
                  <c:v>-22989.971010947484</c:v>
                </c:pt>
                <c:pt idx="587">
                  <c:v>-22978.480686281371</c:v>
                </c:pt>
                <c:pt idx="588">
                  <c:v>-22966.872776297743</c:v>
                </c:pt>
                <c:pt idx="589">
                  <c:v>-22955.147739257001</c:v>
                </c:pt>
                <c:pt idx="590">
                  <c:v>-22943.306038043542</c:v>
                </c:pt>
                <c:pt idx="591">
                  <c:v>-22931.348140147446</c:v>
                </c:pt>
                <c:pt idx="592">
                  <c:v>-22919.274517646048</c:v>
                </c:pt>
                <c:pt idx="593">
                  <c:v>-22907.085647185293</c:v>
                </c:pt>
                <c:pt idx="594">
                  <c:v>-22894.782009960913</c:v>
                </c:pt>
                <c:pt idx="595">
                  <c:v>-22882.364091699441</c:v>
                </c:pt>
                <c:pt idx="596">
                  <c:v>-22869.83238263903</c:v>
                </c:pt>
                <c:pt idx="597">
                  <c:v>-22857.18737751009</c:v>
                </c:pt>
                <c:pt idx="598">
                  <c:v>-22844.429575515773</c:v>
                </c:pt>
                <c:pt idx="599">
                  <c:v>-22831.559480312259</c:v>
                </c:pt>
                <c:pt idx="600">
                  <c:v>-22818.577599988868</c:v>
                </c:pt>
                <c:pt idx="601">
                  <c:v>-22805.484447048009</c:v>
                </c:pt>
                <c:pt idx="602">
                  <c:v>-22792.280538384941</c:v>
                </c:pt>
                <c:pt idx="603">
                  <c:v>-22778.966395267365</c:v>
                </c:pt>
                <c:pt idx="604">
                  <c:v>-22765.542543314856</c:v>
                </c:pt>
                <c:pt idx="605">
                  <c:v>-22752.009512478107</c:v>
                </c:pt>
                <c:pt idx="606">
                  <c:v>-22738.367837017999</c:v>
                </c:pt>
                <c:pt idx="607">
                  <c:v>-22724.61805548452</c:v>
                </c:pt>
                <c:pt idx="608">
                  <c:v>-22710.760710695507</c:v>
                </c:pt>
                <c:pt idx="609">
                  <c:v>-22696.796349715201</c:v>
                </c:pt>
                <c:pt idx="610">
                  <c:v>-22682.725523832662</c:v>
                </c:pt>
                <c:pt idx="611">
                  <c:v>-22668.548788540003</c:v>
                </c:pt>
                <c:pt idx="612">
                  <c:v>-22654.266703510461</c:v>
                </c:pt>
                <c:pt idx="613">
                  <c:v>-22639.879832576298</c:v>
                </c:pt>
                <c:pt idx="614">
                  <c:v>-22625.388743706542</c:v>
                </c:pt>
                <c:pt idx="615">
                  <c:v>-22610.794008984572</c:v>
                </c:pt>
                <c:pt idx="616">
                  <c:v>-22596.096204585519</c:v>
                </c:pt>
                <c:pt idx="617">
                  <c:v>-22581.295910753543</c:v>
                </c:pt>
                <c:pt idx="618">
                  <c:v>-22566.393711778892</c:v>
                </c:pt>
                <c:pt idx="619">
                  <c:v>-22551.390195974873</c:v>
                </c:pt>
                <c:pt idx="620">
                  <c:v>-22536.285955654595</c:v>
                </c:pt>
                <c:pt idx="621">
                  <c:v>-22521.081587107605</c:v>
                </c:pt>
                <c:pt idx="622">
                  <c:v>-22505.777690576339</c:v>
                </c:pt>
                <c:pt idx="623">
                  <c:v>-22490.37487023243</c:v>
                </c:pt>
                <c:pt idx="624">
                  <c:v>-22474.873734152847</c:v>
                </c:pt>
                <c:pt idx="625">
                  <c:v>-22459.274894295901</c:v>
                </c:pt>
                <c:pt idx="626">
                  <c:v>-22443.578966477082</c:v>
                </c:pt>
                <c:pt idx="627">
                  <c:v>-22427.786570344746</c:v>
                </c:pt>
                <c:pt idx="628">
                  <c:v>-22411.898329355645</c:v>
                </c:pt>
                <c:pt idx="629">
                  <c:v>-22395.914870750337</c:v>
                </c:pt>
                <c:pt idx="630">
                  <c:v>-22379.836825528393</c:v>
                </c:pt>
                <c:pt idx="631">
                  <c:v>-22363.664828423509</c:v>
                </c:pt>
                <c:pt idx="632">
                  <c:v>-22347.399517878446</c:v>
                </c:pt>
                <c:pt idx="633">
                  <c:v>-22331.041536019806</c:v>
                </c:pt>
                <c:pt idx="634">
                  <c:v>-22314.591528632704</c:v>
                </c:pt>
                <c:pt idx="635">
                  <c:v>-22298.050145135268</c:v>
                </c:pt>
                <c:pt idx="636">
                  <c:v>-22281.418038552998</c:v>
                </c:pt>
                <c:pt idx="637">
                  <c:v>-22264.69586549298</c:v>
                </c:pt>
                <c:pt idx="638">
                  <c:v>-22247.884286117969</c:v>
                </c:pt>
                <c:pt idx="639">
                  <c:v>-22230.98396412034</c:v>
                </c:pt>
                <c:pt idx="640">
                  <c:v>-22213.995566695863</c:v>
                </c:pt>
                <c:pt idx="641">
                  <c:v>-22196.919764517377</c:v>
                </c:pt>
                <c:pt idx="642">
                  <c:v>-22179.757231708321</c:v>
                </c:pt>
                <c:pt idx="643">
                  <c:v>-22162.508645816099</c:v>
                </c:pt>
                <c:pt idx="644">
                  <c:v>-22145.174687785347</c:v>
                </c:pt>
                <c:pt idx="645">
                  <c:v>-22127.756041931047</c:v>
                </c:pt>
                <c:pt idx="646">
                  <c:v>-22110.253395911517</c:v>
                </c:pt>
                <c:pt idx="647">
                  <c:v>-22092.667440701247</c:v>
                </c:pt>
                <c:pt idx="648">
                  <c:v>-22074.998870563639</c:v>
                </c:pt>
                <c:pt idx="649">
                  <c:v>-22057.248383023587</c:v>
                </c:pt>
                <c:pt idx="650">
                  <c:v>-22039.416678839949</c:v>
                </c:pt>
                <c:pt idx="651">
                  <c:v>-22021.504461977871</c:v>
                </c:pt>
                <c:pt idx="652">
                  <c:v>-22003.512439581002</c:v>
                </c:pt>
                <c:pt idx="653">
                  <c:v>-21985.441321943585</c:v>
                </c:pt>
                <c:pt idx="654">
                  <c:v>-21967.291822482395</c:v>
                </c:pt>
                <c:pt idx="655">
                  <c:v>-21949.064657708597</c:v>
                </c:pt>
                <c:pt idx="656">
                  <c:v>-21930.760547199443</c:v>
                </c:pt>
                <c:pt idx="657">
                  <c:v>-21912.380213569882</c:v>
                </c:pt>
                <c:pt idx="658">
                  <c:v>-21893.924382444005</c:v>
                </c:pt>
                <c:pt idx="659">
                  <c:v>-21875.393782426429</c:v>
                </c:pt>
                <c:pt idx="660">
                  <c:v>-21856.789145073511</c:v>
                </c:pt>
                <c:pt idx="661">
                  <c:v>-21838.111204864479</c:v>
                </c:pt>
                <c:pt idx="662">
                  <c:v>-21819.360699172426</c:v>
                </c:pt>
                <c:pt idx="663">
                  <c:v>-21800.538368235219</c:v>
                </c:pt>
                <c:pt idx="664">
                  <c:v>-21781.644955126245</c:v>
                </c:pt>
                <c:pt idx="665">
                  <c:v>-21762.681205725108</c:v>
                </c:pt>
                <c:pt idx="666">
                  <c:v>-21743.647868688167</c:v>
                </c:pt>
                <c:pt idx="667">
                  <c:v>-21724.545695418969</c:v>
                </c:pt>
                <c:pt idx="668">
                  <c:v>-21705.375440038613</c:v>
                </c:pt>
                <c:pt idx="669">
                  <c:v>-21686.137859355953</c:v>
                </c:pt>
                <c:pt idx="670">
                  <c:v>-21666.833712837739</c:v>
                </c:pt>
                <c:pt idx="671">
                  <c:v>-21647.463762578616</c:v>
                </c:pt>
                <c:pt idx="672">
                  <c:v>-21628.028773271057</c:v>
                </c:pt>
                <c:pt idx="673">
                  <c:v>-21608.529512175162</c:v>
                </c:pt>
                <c:pt idx="674">
                  <c:v>-21588.966749088369</c:v>
                </c:pt>
                <c:pt idx="675">
                  <c:v>-21569.34125631507</c:v>
                </c:pt>
                <c:pt idx="676">
                  <c:v>-21549.653808636114</c:v>
                </c:pt>
                <c:pt idx="677">
                  <c:v>-21529.905183278224</c:v>
                </c:pt>
                <c:pt idx="678">
                  <c:v>-21510.096159883316</c:v>
                </c:pt>
                <c:pt idx="679">
                  <c:v>-21490.227520477718</c:v>
                </c:pt>
                <c:pt idx="680">
                  <c:v>-21470.300049441285</c:v>
                </c:pt>
                <c:pt idx="681">
                  <c:v>-21450.314533476459</c:v>
                </c:pt>
                <c:pt idx="682">
                  <c:v>-21430.271761577187</c:v>
                </c:pt>
                <c:pt idx="683">
                  <c:v>-21410.172524997786</c:v>
                </c:pt>
                <c:pt idx="684">
                  <c:v>-21390.0176172217</c:v>
                </c:pt>
                <c:pt idx="685">
                  <c:v>-21369.807833930176</c:v>
                </c:pt>
                <c:pt idx="686">
                  <c:v>-21349.54397297086</c:v>
                </c:pt>
                <c:pt idx="687">
                  <c:v>-21329.226834326277</c:v>
                </c:pt>
                <c:pt idx="688">
                  <c:v>-21308.857220082275</c:v>
                </c:pt>
                <c:pt idx="689">
                  <c:v>-21288.435934396348</c:v>
                </c:pt>
                <c:pt idx="690">
                  <c:v>-21267.963783465886</c:v>
                </c:pt>
                <c:pt idx="691">
                  <c:v>-21247.441575496352</c:v>
                </c:pt>
                <c:pt idx="692">
                  <c:v>-21226.870120669384</c:v>
                </c:pt>
                <c:pt idx="693">
                  <c:v>-21206.250231110789</c:v>
                </c:pt>
                <c:pt idx="694">
                  <c:v>-21185.5827208585</c:v>
                </c:pt>
                <c:pt idx="695">
                  <c:v>-21164.868405830435</c:v>
                </c:pt>
                <c:pt idx="696">
                  <c:v>-21144.108103792281</c:v>
                </c:pt>
                <c:pt idx="697">
                  <c:v>-21123.302634325217</c:v>
                </c:pt>
                <c:pt idx="698">
                  <c:v>-21102.45281879355</c:v>
                </c:pt>
                <c:pt idx="699">
                  <c:v>-21081.559480312302</c:v>
                </c:pt>
                <c:pt idx="700">
                  <c:v>-21060.623443714696</c:v>
                </c:pt>
                <c:pt idx="701">
                  <c:v>-21039.645535519612</c:v>
                </c:pt>
                <c:pt idx="702">
                  <c:v>-21018.626583898942</c:v>
                </c:pt>
                <c:pt idx="703">
                  <c:v>-20997.567418644907</c:v>
                </c:pt>
                <c:pt idx="704">
                  <c:v>-20976.468871137295</c:v>
                </c:pt>
                <c:pt idx="705">
                  <c:v>-20955.331774310631</c:v>
                </c:pt>
                <c:pt idx="706">
                  <c:v>-20934.15696262131</c:v>
                </c:pt>
                <c:pt idx="707">
                  <c:v>-20912.945272014636</c:v>
                </c:pt>
                <c:pt idx="708">
                  <c:v>-20891.697539891837</c:v>
                </c:pt>
                <c:pt idx="709">
                  <c:v>-20870.414605076992</c:v>
                </c:pt>
                <c:pt idx="710">
                  <c:v>-20849.097307783926</c:v>
                </c:pt>
                <c:pt idx="711">
                  <c:v>-20827.746489583038</c:v>
                </c:pt>
                <c:pt idx="712">
                  <c:v>-20806.362993368071</c:v>
                </c:pt>
                <c:pt idx="713">
                  <c:v>-20784.947663322837</c:v>
                </c:pt>
                <c:pt idx="714">
                  <c:v>-20763.501344887904</c:v>
                </c:pt>
                <c:pt idx="715">
                  <c:v>-20742.024884727198</c:v>
                </c:pt>
                <c:pt idx="716">
                  <c:v>-20720.519130694593</c:v>
                </c:pt>
                <c:pt idx="717">
                  <c:v>-20698.984931800434</c:v>
                </c:pt>
                <c:pt idx="718">
                  <c:v>-20677.423138178023</c:v>
                </c:pt>
                <c:pt idx="719">
                  <c:v>-20655.83460105005</c:v>
                </c:pt>
                <c:pt idx="720">
                  <c:v>-20634.220172694993</c:v>
                </c:pt>
                <c:pt idx="721">
                  <c:v>-20612.580706413482</c:v>
                </c:pt>
                <c:pt idx="722">
                  <c:v>-20590.917056494585</c:v>
                </c:pt>
                <c:pt idx="723">
                  <c:v>-20569.23007818211</c:v>
                </c:pt>
                <c:pt idx="724">
                  <c:v>-20547.520627640828</c:v>
                </c:pt>
                <c:pt idx="725">
                  <c:v>-20525.789561922669</c:v>
                </c:pt>
                <c:pt idx="726">
                  <c:v>-20504.037738932904</c:v>
                </c:pt>
                <c:pt idx="727">
                  <c:v>-20482.266017396258</c:v>
                </c:pt>
                <c:pt idx="728">
                  <c:v>-20460.475256823014</c:v>
                </c:pt>
                <c:pt idx="729">
                  <c:v>-20438.66631747509</c:v>
                </c:pt>
                <c:pt idx="730">
                  <c:v>-20416.84006033207</c:v>
                </c:pt>
                <c:pt idx="731">
                  <c:v>-20394.997347057215</c:v>
                </c:pt>
                <c:pt idx="732">
                  <c:v>-20373.13903996344</c:v>
                </c:pt>
                <c:pt idx="733">
                  <c:v>-20351.266001979282</c:v>
                </c:pt>
                <c:pt idx="734">
                  <c:v>-20329.379096614834</c:v>
                </c:pt>
                <c:pt idx="735">
                  <c:v>-20307.479187927634</c:v>
                </c:pt>
                <c:pt idx="736">
                  <c:v>-20285.567140488587</c:v>
                </c:pt>
                <c:pt idx="737">
                  <c:v>-20263.643819347802</c:v>
                </c:pt>
                <c:pt idx="738">
                  <c:v>-20241.710090000459</c:v>
                </c:pt>
                <c:pt idx="739">
                  <c:v>-20219.766818352637</c:v>
                </c:pt>
                <c:pt idx="740">
                  <c:v>-20197.814870687125</c:v>
                </c:pt>
                <c:pt idx="741">
                  <c:v>-20175.855113629237</c:v>
                </c:pt>
                <c:pt idx="742">
                  <c:v>-20153.888414112571</c:v>
                </c:pt>
                <c:pt idx="743">
                  <c:v>-20131.915639344817</c:v>
                </c:pt>
                <c:pt idx="744">
                  <c:v>-20109.937656773494</c:v>
                </c:pt>
                <c:pt idx="745">
                  <c:v>-20087.95533405173</c:v>
                </c:pt>
                <c:pt idx="746">
                  <c:v>-20065.969539003978</c:v>
                </c:pt>
                <c:pt idx="747">
                  <c:v>-20043.981139591786</c:v>
                </c:pt>
                <c:pt idx="748">
                  <c:v>-20021.99100387951</c:v>
                </c:pt>
                <c:pt idx="749">
                  <c:v>-20000.000000000055</c:v>
                </c:pt>
                <c:pt idx="750">
                  <c:v>-19978.008996120599</c:v>
                </c:pt>
                <c:pt idx="751">
                  <c:v>-19956.018860408323</c:v>
                </c:pt>
                <c:pt idx="752">
                  <c:v>-19934.030460996128</c:v>
                </c:pt>
                <c:pt idx="753">
                  <c:v>-19912.044665948379</c:v>
                </c:pt>
                <c:pt idx="754">
                  <c:v>-19890.062343226611</c:v>
                </c:pt>
                <c:pt idx="755">
                  <c:v>-19868.084360655292</c:v>
                </c:pt>
                <c:pt idx="756">
                  <c:v>-19846.111585887535</c:v>
                </c:pt>
                <c:pt idx="757">
                  <c:v>-19824.144886370872</c:v>
                </c:pt>
                <c:pt idx="758">
                  <c:v>-19802.18512931298</c:v>
                </c:pt>
                <c:pt idx="759">
                  <c:v>-19780.233181647469</c:v>
                </c:pt>
                <c:pt idx="760">
                  <c:v>-19758.289909999647</c:v>
                </c:pt>
                <c:pt idx="761">
                  <c:v>-19736.356180652307</c:v>
                </c:pt>
                <c:pt idx="762">
                  <c:v>-19714.432859511518</c:v>
                </c:pt>
                <c:pt idx="763">
                  <c:v>-19692.520812072471</c:v>
                </c:pt>
                <c:pt idx="764">
                  <c:v>-19670.620903385272</c:v>
                </c:pt>
                <c:pt idx="765">
                  <c:v>-19648.733998020823</c:v>
                </c:pt>
                <c:pt idx="766">
                  <c:v>-19626.860960036665</c:v>
                </c:pt>
                <c:pt idx="767">
                  <c:v>-19605.002652942891</c:v>
                </c:pt>
                <c:pt idx="768">
                  <c:v>-19583.159939668036</c:v>
                </c:pt>
                <c:pt idx="769">
                  <c:v>-19561.333682525015</c:v>
                </c:pt>
                <c:pt idx="770">
                  <c:v>-19539.524743177091</c:v>
                </c:pt>
                <c:pt idx="771">
                  <c:v>-19517.733982603848</c:v>
                </c:pt>
                <c:pt idx="772">
                  <c:v>-19495.962261067201</c:v>
                </c:pt>
                <c:pt idx="773">
                  <c:v>-19474.210438077436</c:v>
                </c:pt>
                <c:pt idx="774">
                  <c:v>-19452.479372359277</c:v>
                </c:pt>
                <c:pt idx="775">
                  <c:v>-19430.769921817995</c:v>
                </c:pt>
                <c:pt idx="776">
                  <c:v>-19409.08294350552</c:v>
                </c:pt>
                <c:pt idx="777">
                  <c:v>-19387.419293586623</c:v>
                </c:pt>
                <c:pt idx="778">
                  <c:v>-19365.779827305112</c:v>
                </c:pt>
                <c:pt idx="779">
                  <c:v>-19344.165398950056</c:v>
                </c:pt>
                <c:pt idx="780">
                  <c:v>-19322.576861822083</c:v>
                </c:pt>
                <c:pt idx="781">
                  <c:v>-19301.015068199671</c:v>
                </c:pt>
                <c:pt idx="782">
                  <c:v>-19279.480869305513</c:v>
                </c:pt>
                <c:pt idx="783">
                  <c:v>-19257.975115272908</c:v>
                </c:pt>
                <c:pt idx="784">
                  <c:v>-19236.498655112198</c:v>
                </c:pt>
                <c:pt idx="785">
                  <c:v>-19215.052336677265</c:v>
                </c:pt>
                <c:pt idx="786">
                  <c:v>-19193.637006632034</c:v>
                </c:pt>
                <c:pt idx="787">
                  <c:v>-19172.253510417067</c:v>
                </c:pt>
                <c:pt idx="788">
                  <c:v>-19150.902692216179</c:v>
                </c:pt>
                <c:pt idx="789">
                  <c:v>-19129.585394923113</c:v>
                </c:pt>
                <c:pt idx="790">
                  <c:v>-19108.302460108269</c:v>
                </c:pt>
                <c:pt idx="791">
                  <c:v>-19087.054727985469</c:v>
                </c:pt>
                <c:pt idx="792">
                  <c:v>-19065.843037378792</c:v>
                </c:pt>
                <c:pt idx="793">
                  <c:v>-19044.668225689471</c:v>
                </c:pt>
                <c:pt idx="794">
                  <c:v>-19023.531128862807</c:v>
                </c:pt>
                <c:pt idx="795">
                  <c:v>-19002.432581355195</c:v>
                </c:pt>
                <c:pt idx="796">
                  <c:v>-18981.37341610116</c:v>
                </c:pt>
                <c:pt idx="797">
                  <c:v>-18960.354464480493</c:v>
                </c:pt>
                <c:pt idx="798">
                  <c:v>-18939.376556285406</c:v>
                </c:pt>
                <c:pt idx="799">
                  <c:v>-18918.4405196878</c:v>
                </c:pt>
                <c:pt idx="800">
                  <c:v>-18897.547181206552</c:v>
                </c:pt>
                <c:pt idx="801">
                  <c:v>-18876.697365674885</c:v>
                </c:pt>
                <c:pt idx="802">
                  <c:v>-18855.891896207821</c:v>
                </c:pt>
                <c:pt idx="803">
                  <c:v>-18835.131594169667</c:v>
                </c:pt>
                <c:pt idx="804">
                  <c:v>-18814.417279141602</c:v>
                </c:pt>
                <c:pt idx="805">
                  <c:v>-18793.749768889313</c:v>
                </c:pt>
                <c:pt idx="806">
                  <c:v>-18773.129879330718</c:v>
                </c:pt>
                <c:pt idx="807">
                  <c:v>-18752.558424503746</c:v>
                </c:pt>
                <c:pt idx="808">
                  <c:v>-18732.036216534216</c:v>
                </c:pt>
                <c:pt idx="809">
                  <c:v>-18711.564065603754</c:v>
                </c:pt>
                <c:pt idx="810">
                  <c:v>-18691.142779917827</c:v>
                </c:pt>
                <c:pt idx="811">
                  <c:v>-18670.773165673825</c:v>
                </c:pt>
                <c:pt idx="812">
                  <c:v>-18650.456027029242</c:v>
                </c:pt>
                <c:pt idx="813">
                  <c:v>-18630.192166069923</c:v>
                </c:pt>
                <c:pt idx="814">
                  <c:v>-18609.982382778398</c:v>
                </c:pt>
                <c:pt idx="815">
                  <c:v>-18589.827475002312</c:v>
                </c:pt>
                <c:pt idx="816">
                  <c:v>-18569.728238422911</c:v>
                </c:pt>
                <c:pt idx="817">
                  <c:v>-18549.685466523639</c:v>
                </c:pt>
                <c:pt idx="818">
                  <c:v>-18529.699950558814</c:v>
                </c:pt>
                <c:pt idx="819">
                  <c:v>-18509.77247952238</c:v>
                </c:pt>
                <c:pt idx="820">
                  <c:v>-18489.903840116778</c:v>
                </c:pt>
                <c:pt idx="821">
                  <c:v>-18470.09481672187</c:v>
                </c:pt>
                <c:pt idx="822">
                  <c:v>-18450.346191363984</c:v>
                </c:pt>
                <c:pt idx="823">
                  <c:v>-18430.658743685024</c:v>
                </c:pt>
                <c:pt idx="824">
                  <c:v>-18411.033250911725</c:v>
                </c:pt>
                <c:pt idx="825">
                  <c:v>-18391.470487824932</c:v>
                </c:pt>
                <c:pt idx="826">
                  <c:v>-18371.971226729038</c:v>
                </c:pt>
                <c:pt idx="827">
                  <c:v>-18352.536237421478</c:v>
                </c:pt>
                <c:pt idx="828">
                  <c:v>-18333.166287162356</c:v>
                </c:pt>
                <c:pt idx="829">
                  <c:v>-18313.862140644138</c:v>
                </c:pt>
                <c:pt idx="830">
                  <c:v>-18294.624559961481</c:v>
                </c:pt>
                <c:pt idx="831">
                  <c:v>-18275.454304581122</c:v>
                </c:pt>
                <c:pt idx="832">
                  <c:v>-18256.352131311927</c:v>
                </c:pt>
                <c:pt idx="833">
                  <c:v>-18237.318794274983</c:v>
                </c:pt>
                <c:pt idx="834">
                  <c:v>-18218.355044873846</c:v>
                </c:pt>
                <c:pt idx="835">
                  <c:v>-18199.461631764872</c:v>
                </c:pt>
                <c:pt idx="836">
                  <c:v>-18180.639300827665</c:v>
                </c:pt>
                <c:pt idx="837">
                  <c:v>-18161.888795135612</c:v>
                </c:pt>
                <c:pt idx="838">
                  <c:v>-18143.210854926579</c:v>
                </c:pt>
                <c:pt idx="839">
                  <c:v>-18124.606217573662</c:v>
                </c:pt>
                <c:pt idx="840">
                  <c:v>-18106.075617556085</c:v>
                </c:pt>
                <c:pt idx="841">
                  <c:v>-18087.619786430208</c:v>
                </c:pt>
                <c:pt idx="842">
                  <c:v>-18069.239452800644</c:v>
                </c:pt>
                <c:pt idx="843">
                  <c:v>-18050.935342291494</c:v>
                </c:pt>
                <c:pt idx="844">
                  <c:v>-18032.708177517696</c:v>
                </c:pt>
                <c:pt idx="845">
                  <c:v>-18014.558678056506</c:v>
                </c:pt>
                <c:pt idx="846">
                  <c:v>-17996.487560419086</c:v>
                </c:pt>
                <c:pt idx="847">
                  <c:v>-17978.495538022216</c:v>
                </c:pt>
                <c:pt idx="848">
                  <c:v>-17960.583321160138</c:v>
                </c:pt>
                <c:pt idx="849">
                  <c:v>-17942.751616976497</c:v>
                </c:pt>
                <c:pt idx="850">
                  <c:v>-17925.001129436449</c:v>
                </c:pt>
                <c:pt idx="851">
                  <c:v>-17907.33255929884</c:v>
                </c:pt>
                <c:pt idx="852">
                  <c:v>-17889.74660408857</c:v>
                </c:pt>
                <c:pt idx="853">
                  <c:v>-17872.243958069037</c:v>
                </c:pt>
                <c:pt idx="854">
                  <c:v>-17854.825312214736</c:v>
                </c:pt>
                <c:pt idx="855">
                  <c:v>-17837.491354183985</c:v>
                </c:pt>
                <c:pt idx="856">
                  <c:v>-17820.242768291762</c:v>
                </c:pt>
                <c:pt idx="857">
                  <c:v>-17803.080235482706</c:v>
                </c:pt>
                <c:pt idx="858">
                  <c:v>-17786.004433304221</c:v>
                </c:pt>
                <c:pt idx="859">
                  <c:v>-17769.016035879744</c:v>
                </c:pt>
                <c:pt idx="860">
                  <c:v>-17752.115713882111</c:v>
                </c:pt>
                <c:pt idx="861">
                  <c:v>-17735.304134507103</c:v>
                </c:pt>
                <c:pt idx="862">
                  <c:v>-17718.581961447082</c:v>
                </c:pt>
                <c:pt idx="863">
                  <c:v>-17701.949854864812</c:v>
                </c:pt>
                <c:pt idx="864">
                  <c:v>-17685.408471367376</c:v>
                </c:pt>
                <c:pt idx="865">
                  <c:v>-17668.958463980278</c:v>
                </c:pt>
                <c:pt idx="866">
                  <c:v>-17652.600482121637</c:v>
                </c:pt>
                <c:pt idx="867">
                  <c:v>-17636.335171576575</c:v>
                </c:pt>
                <c:pt idx="868">
                  <c:v>-17620.163174471691</c:v>
                </c:pt>
                <c:pt idx="869">
                  <c:v>-17604.085129249746</c:v>
                </c:pt>
                <c:pt idx="870">
                  <c:v>-17588.101670644439</c:v>
                </c:pt>
                <c:pt idx="871">
                  <c:v>-17572.213429655341</c:v>
                </c:pt>
                <c:pt idx="872">
                  <c:v>-17556.421033523005</c:v>
                </c:pt>
                <c:pt idx="873">
                  <c:v>-17540.725105704187</c:v>
                </c:pt>
                <c:pt idx="874">
                  <c:v>-17525.126265847241</c:v>
                </c:pt>
                <c:pt idx="875">
                  <c:v>-17509.625129767661</c:v>
                </c:pt>
                <c:pt idx="876">
                  <c:v>-17494.222309423749</c:v>
                </c:pt>
                <c:pt idx="877">
                  <c:v>-17478.918412892486</c:v>
                </c:pt>
                <c:pt idx="878">
                  <c:v>-17463.714044345495</c:v>
                </c:pt>
                <c:pt idx="879">
                  <c:v>-17448.609804025218</c:v>
                </c:pt>
                <c:pt idx="880">
                  <c:v>-17433.606288221199</c:v>
                </c:pt>
                <c:pt idx="881">
                  <c:v>-17418.704089246548</c:v>
                </c:pt>
                <c:pt idx="882">
                  <c:v>-17403.903795414572</c:v>
                </c:pt>
                <c:pt idx="883">
                  <c:v>-17389.205991015522</c:v>
                </c:pt>
                <c:pt idx="884">
                  <c:v>-17374.611256293549</c:v>
                </c:pt>
                <c:pt idx="885">
                  <c:v>-17360.120167423793</c:v>
                </c:pt>
                <c:pt idx="886">
                  <c:v>-17345.73329648963</c:v>
                </c:pt>
                <c:pt idx="887">
                  <c:v>-17331.451211460088</c:v>
                </c:pt>
                <c:pt idx="888">
                  <c:v>-17317.274476167433</c:v>
                </c:pt>
                <c:pt idx="889">
                  <c:v>-17303.203650284893</c:v>
                </c:pt>
                <c:pt idx="890">
                  <c:v>-17289.239289304587</c:v>
                </c:pt>
                <c:pt idx="891">
                  <c:v>-17275.381944515575</c:v>
                </c:pt>
                <c:pt idx="892">
                  <c:v>-17261.632162982096</c:v>
                </c:pt>
                <c:pt idx="893">
                  <c:v>-17247.990487521987</c:v>
                </c:pt>
                <c:pt idx="894">
                  <c:v>-17234.457456685239</c:v>
                </c:pt>
                <c:pt idx="895">
                  <c:v>-17221.033604732729</c:v>
                </c:pt>
                <c:pt idx="896">
                  <c:v>-17207.719461615154</c:v>
                </c:pt>
                <c:pt idx="897">
                  <c:v>-17194.515552952085</c:v>
                </c:pt>
                <c:pt idx="898">
                  <c:v>-17181.422400011226</c:v>
                </c:pt>
                <c:pt idx="899">
                  <c:v>-17168.440519687836</c:v>
                </c:pt>
                <c:pt idx="900">
                  <c:v>-17155.570424484322</c:v>
                </c:pt>
                <c:pt idx="901">
                  <c:v>-17142.812622490008</c:v>
                </c:pt>
                <c:pt idx="902">
                  <c:v>-17130.167617361069</c:v>
                </c:pt>
                <c:pt idx="903">
                  <c:v>-17117.635908300654</c:v>
                </c:pt>
                <c:pt idx="904">
                  <c:v>-17105.217990039182</c:v>
                </c:pt>
                <c:pt idx="905">
                  <c:v>-17092.914352814805</c:v>
                </c:pt>
                <c:pt idx="906">
                  <c:v>-17080.72548235405</c:v>
                </c:pt>
                <c:pt idx="907">
                  <c:v>-17068.651859852653</c:v>
                </c:pt>
                <c:pt idx="908">
                  <c:v>-17056.693961956553</c:v>
                </c:pt>
                <c:pt idx="909">
                  <c:v>-17044.852260743093</c:v>
                </c:pt>
                <c:pt idx="910">
                  <c:v>-17033.127223702355</c:v>
                </c:pt>
                <c:pt idx="911">
                  <c:v>-17021.519313718723</c:v>
                </c:pt>
                <c:pt idx="912">
                  <c:v>-17010.028989052611</c:v>
                </c:pt>
                <c:pt idx="913">
                  <c:v>-16998.656703322362</c:v>
                </c:pt>
                <c:pt idx="914">
                  <c:v>-16987.402905486339</c:v>
                </c:pt>
                <c:pt idx="915">
                  <c:v>-16976.26803982522</c:v>
                </c:pt>
                <c:pt idx="916">
                  <c:v>-16965.252545924424</c:v>
                </c:pt>
                <c:pt idx="917">
                  <c:v>-16954.3568586568</c:v>
                </c:pt>
                <c:pt idx="918">
                  <c:v>-16943.581408165417</c:v>
                </c:pt>
                <c:pt idx="919">
                  <c:v>-16932.926619846614</c:v>
                </c:pt>
                <c:pt idx="920">
                  <c:v>-16922.392914333192</c:v>
                </c:pt>
                <c:pt idx="921">
                  <c:v>-16911.9807074778</c:v>
                </c:pt>
                <c:pt idx="922">
                  <c:v>-16901.690410336541</c:v>
                </c:pt>
                <c:pt idx="923">
                  <c:v>-16891.522429152727</c:v>
                </c:pt>
                <c:pt idx="924">
                  <c:v>-16881.477165340846</c:v>
                </c:pt>
                <c:pt idx="925">
                  <c:v>-16871.555015470709</c:v>
                </c:pt>
                <c:pt idx="926">
                  <c:v>-16861.756371251806</c:v>
                </c:pt>
                <c:pt idx="927">
                  <c:v>-16852.08161951783</c:v>
                </c:pt>
                <c:pt idx="928">
                  <c:v>-16842.531142211417</c:v>
                </c:pt>
                <c:pt idx="929">
                  <c:v>-16833.105316369059</c:v>
                </c:pt>
                <c:pt idx="930">
                  <c:v>-16823.804514106218</c:v>
                </c:pt>
                <c:pt idx="931">
                  <c:v>-16814.629102602641</c:v>
                </c:pt>
                <c:pt idx="932">
                  <c:v>-16805.579444087864</c:v>
                </c:pt>
                <c:pt idx="933">
                  <c:v>-16796.655895826912</c:v>
                </c:pt>
                <c:pt idx="934">
                  <c:v>-16787.858810106187</c:v>
                </c:pt>
                <c:pt idx="935">
                  <c:v>-16779.188534219575</c:v>
                </c:pt>
                <c:pt idx="936">
                  <c:v>-16770.645410454716</c:v>
                </c:pt>
                <c:pt idx="937">
                  <c:v>-16762.229776079515</c:v>
                </c:pt>
                <c:pt idx="938">
                  <c:v>-16753.941963328802</c:v>
                </c:pt>
                <c:pt idx="939">
                  <c:v>-16745.782299391234</c:v>
                </c:pt>
                <c:pt idx="940">
                  <c:v>-16737.751106396376</c:v>
                </c:pt>
                <c:pt idx="941">
                  <c:v>-16729.84870140197</c:v>
                </c:pt>
                <c:pt idx="942">
                  <c:v>-16722.075396381439</c:v>
                </c:pt>
                <c:pt idx="943">
                  <c:v>-16714.43149821155</c:v>
                </c:pt>
                <c:pt idx="944">
                  <c:v>-16706.917308660319</c:v>
                </c:pt>
                <c:pt idx="945">
                  <c:v>-16699.533124375081</c:v>
                </c:pt>
                <c:pt idx="946">
                  <c:v>-16692.279236870789</c:v>
                </c:pt>
                <c:pt idx="947">
                  <c:v>-16685.155932518501</c:v>
                </c:pt>
                <c:pt idx="948">
                  <c:v>-16678.16349253407</c:v>
                </c:pt>
                <c:pt idx="949">
                  <c:v>-16671.302192967065</c:v>
                </c:pt>
                <c:pt idx="950">
                  <c:v>-16664.572304689835</c:v>
                </c:pt>
                <c:pt idx="951">
                  <c:v>-16657.974093386849</c:v>
                </c:pt>
                <c:pt idx="952">
                  <c:v>-16651.507819544189</c:v>
                </c:pt>
                <c:pt idx="953">
                  <c:v>-16645.17373843928</c:v>
                </c:pt>
                <c:pt idx="954">
                  <c:v>-16638.972100130792</c:v>
                </c:pt>
                <c:pt idx="955">
                  <c:v>-16632.90314944879</c:v>
                </c:pt>
                <c:pt idx="956">
                  <c:v>-16626.967125985055</c:v>
                </c:pt>
                <c:pt idx="957">
                  <c:v>-16621.164264083629</c:v>
                </c:pt>
                <c:pt idx="958">
                  <c:v>-16615.494792831563</c:v>
                </c:pt>
                <c:pt idx="959">
                  <c:v>-16609.958936049876</c:v>
                </c:pt>
                <c:pt idx="960">
                  <c:v>-16604.556912284712</c:v>
                </c:pt>
                <c:pt idx="961">
                  <c:v>-16599.288934798722</c:v>
                </c:pt>
                <c:pt idx="962">
                  <c:v>-16594.155211562636</c:v>
                </c:pt>
                <c:pt idx="963">
                  <c:v>-16589.155945247057</c:v>
                </c:pt>
                <c:pt idx="964">
                  <c:v>-16584.29133321446</c:v>
                </c:pt>
                <c:pt idx="965">
                  <c:v>-16579.561567511399</c:v>
                </c:pt>
                <c:pt idx="966">
                  <c:v>-16574.966834860919</c:v>
                </c:pt>
                <c:pt idx="967">
                  <c:v>-16570.507316655207</c:v>
                </c:pt>
                <c:pt idx="968">
                  <c:v>-16566.183188948398</c:v>
                </c:pt>
                <c:pt idx="969">
                  <c:v>-16561.994622449656</c:v>
                </c:pt>
                <c:pt idx="970">
                  <c:v>-16557.941782516409</c:v>
                </c:pt>
                <c:pt idx="971">
                  <c:v>-16554.024829147842</c:v>
                </c:pt>
                <c:pt idx="972">
                  <c:v>-16550.243916978568</c:v>
                </c:pt>
                <c:pt idx="973">
                  <c:v>-16546.59919527252</c:v>
                </c:pt>
                <c:pt idx="974">
                  <c:v>-16543.090807917073</c:v>
                </c:pt>
                <c:pt idx="975">
                  <c:v>-16539.718893417354</c:v>
                </c:pt>
                <c:pt idx="976">
                  <c:v>-16536.483584890775</c:v>
                </c:pt>
                <c:pt idx="977">
                  <c:v>-16533.385010061771</c:v>
                </c:pt>
                <c:pt idx="978">
                  <c:v>-16530.423291256775</c:v>
                </c:pt>
                <c:pt idx="979">
                  <c:v>-16527.598545399374</c:v>
                </c:pt>
                <c:pt idx="980">
                  <c:v>-16524.910884005698</c:v>
                </c:pt>
                <c:pt idx="981">
                  <c:v>-16522.360413180013</c:v>
                </c:pt>
                <c:pt idx="982">
                  <c:v>-16519.947233610543</c:v>
                </c:pt>
                <c:pt idx="983">
                  <c:v>-16517.671440565486</c:v>
                </c:pt>
                <c:pt idx="984">
                  <c:v>-16515.533123889254</c:v>
                </c:pt>
                <c:pt idx="985">
                  <c:v>-16513.532367998931</c:v>
                </c:pt>
                <c:pt idx="986">
                  <c:v>-16511.669251880925</c:v>
                </c:pt>
                <c:pt idx="987">
                  <c:v>-16509.943849087882</c:v>
                </c:pt>
                <c:pt idx="988">
                  <c:v>-16508.356227735738</c:v>
                </c:pt>
                <c:pt idx="989">
                  <c:v>-16506.906450501076</c:v>
                </c:pt>
                <c:pt idx="990">
                  <c:v>-16505.594574618608</c:v>
                </c:pt>
                <c:pt idx="991">
                  <c:v>-16504.420651878958</c:v>
                </c:pt>
                <c:pt idx="992">
                  <c:v>-16503.384728626581</c:v>
                </c:pt>
                <c:pt idx="993">
                  <c:v>-16502.486845757951</c:v>
                </c:pt>
                <c:pt idx="994">
                  <c:v>-16501.727038719953</c:v>
                </c:pt>
                <c:pt idx="995">
                  <c:v>-16501.105337508459</c:v>
                </c:pt>
                <c:pt idx="996">
                  <c:v>-16500.621766667176</c:v>
                </c:pt>
                <c:pt idx="997">
                  <c:v>-16500.276345286649</c:v>
                </c:pt>
                <c:pt idx="998">
                  <c:v>-16500.069087003521</c:v>
                </c:pt>
                <c:pt idx="999">
                  <c:v>-16500</c:v>
                </c:pt>
              </c:numCache>
            </c:numRef>
          </c:xVal>
          <c:yVal>
            <c:numRef>
              <c:f>'Conditions initiale'!$S$5:$S$1004</c:f>
              <c:numCache>
                <c:formatCode>General</c:formatCode>
                <c:ptCount val="1000"/>
                <c:pt idx="0">
                  <c:v>10021.991003879457</c:v>
                </c:pt>
                <c:pt idx="1">
                  <c:v>10043.981139591735</c:v>
                </c:pt>
                <c:pt idx="2">
                  <c:v>10065.969539003929</c:v>
                </c:pt>
                <c:pt idx="3">
                  <c:v>10087.955334051681</c:v>
                </c:pt>
                <c:pt idx="4">
                  <c:v>10109.937656773449</c:v>
                </c:pt>
                <c:pt idx="5">
                  <c:v>10131.91563934477</c:v>
                </c:pt>
                <c:pt idx="6">
                  <c:v>10153.888414112527</c:v>
                </c:pt>
                <c:pt idx="7">
                  <c:v>10175.855113629194</c:v>
                </c:pt>
                <c:pt idx="8">
                  <c:v>10197.814870687085</c:v>
                </c:pt>
                <c:pt idx="9">
                  <c:v>10219.766818352597</c:v>
                </c:pt>
                <c:pt idx="10">
                  <c:v>10241.710090000421</c:v>
                </c:pt>
                <c:pt idx="11">
                  <c:v>10263.643819347764</c:v>
                </c:pt>
                <c:pt idx="12">
                  <c:v>10285.567140488551</c:v>
                </c:pt>
                <c:pt idx="13">
                  <c:v>10307.479187927602</c:v>
                </c:pt>
                <c:pt idx="14">
                  <c:v>10329.379096614801</c:v>
                </c:pt>
                <c:pt idx="15">
                  <c:v>10351.266001979253</c:v>
                </c:pt>
                <c:pt idx="16">
                  <c:v>10373.139039963409</c:v>
                </c:pt>
                <c:pt idx="17">
                  <c:v>10394.997347057186</c:v>
                </c:pt>
                <c:pt idx="18">
                  <c:v>10416.840060332044</c:v>
                </c:pt>
                <c:pt idx="19">
                  <c:v>10438.666317475065</c:v>
                </c:pt>
                <c:pt idx="20">
                  <c:v>10460.475256822989</c:v>
                </c:pt>
                <c:pt idx="21">
                  <c:v>10482.266017396234</c:v>
                </c:pt>
                <c:pt idx="22">
                  <c:v>10504.037738932882</c:v>
                </c:pt>
                <c:pt idx="23">
                  <c:v>10525.789561922649</c:v>
                </c:pt>
                <c:pt idx="24">
                  <c:v>10547.520627640808</c:v>
                </c:pt>
                <c:pt idx="25">
                  <c:v>10569.230078182092</c:v>
                </c:pt>
                <c:pt idx="26">
                  <c:v>10590.917056494569</c:v>
                </c:pt>
                <c:pt idx="27">
                  <c:v>10612.580706413466</c:v>
                </c:pt>
                <c:pt idx="28">
                  <c:v>10634.220172694981</c:v>
                </c:pt>
                <c:pt idx="29">
                  <c:v>10655.834601050035</c:v>
                </c:pt>
                <c:pt idx="30">
                  <c:v>10677.42313817801</c:v>
                </c:pt>
                <c:pt idx="31">
                  <c:v>10698.984931800424</c:v>
                </c:pt>
                <c:pt idx="32">
                  <c:v>10720.519130694585</c:v>
                </c:pt>
                <c:pt idx="33">
                  <c:v>10742.024884727191</c:v>
                </c:pt>
                <c:pt idx="34">
                  <c:v>10763.501344887898</c:v>
                </c:pt>
                <c:pt idx="35">
                  <c:v>10784.947663322833</c:v>
                </c:pt>
                <c:pt idx="36">
                  <c:v>10806.362993368068</c:v>
                </c:pt>
                <c:pt idx="37">
                  <c:v>10827.746489583036</c:v>
                </c:pt>
                <c:pt idx="38">
                  <c:v>10849.097307783926</c:v>
                </c:pt>
                <c:pt idx="39">
                  <c:v>10870.414605076992</c:v>
                </c:pt>
                <c:pt idx="40">
                  <c:v>10891.697539891837</c:v>
                </c:pt>
                <c:pt idx="41">
                  <c:v>10912.945272014638</c:v>
                </c:pt>
                <c:pt idx="42">
                  <c:v>10934.156962621315</c:v>
                </c:pt>
                <c:pt idx="43">
                  <c:v>10955.331774310638</c:v>
                </c:pt>
                <c:pt idx="44">
                  <c:v>10976.468871137302</c:v>
                </c:pt>
                <c:pt idx="45">
                  <c:v>10997.567418644916</c:v>
                </c:pt>
                <c:pt idx="46">
                  <c:v>11018.626583898951</c:v>
                </c:pt>
                <c:pt idx="47">
                  <c:v>11039.645535519621</c:v>
                </c:pt>
                <c:pt idx="48">
                  <c:v>11060.623443714709</c:v>
                </c:pt>
                <c:pt idx="49">
                  <c:v>11081.559480312315</c:v>
                </c:pt>
                <c:pt idx="50">
                  <c:v>11102.452818793567</c:v>
                </c:pt>
                <c:pt idx="51">
                  <c:v>11123.302634325233</c:v>
                </c:pt>
                <c:pt idx="52">
                  <c:v>11144.108103792298</c:v>
                </c:pt>
                <c:pt idx="53">
                  <c:v>11164.868405830453</c:v>
                </c:pt>
                <c:pt idx="54">
                  <c:v>11185.58272085852</c:v>
                </c:pt>
                <c:pt idx="55">
                  <c:v>11206.250231110809</c:v>
                </c:pt>
                <c:pt idx="56">
                  <c:v>11226.870120669406</c:v>
                </c:pt>
                <c:pt idx="57">
                  <c:v>11247.441575496377</c:v>
                </c:pt>
                <c:pt idx="58">
                  <c:v>11267.96378346591</c:v>
                </c:pt>
                <c:pt idx="59">
                  <c:v>11288.435934396373</c:v>
                </c:pt>
                <c:pt idx="60">
                  <c:v>11308.857220082302</c:v>
                </c:pt>
                <c:pt idx="61">
                  <c:v>11329.226834326304</c:v>
                </c:pt>
                <c:pt idx="62">
                  <c:v>11349.543972970887</c:v>
                </c:pt>
                <c:pt idx="63">
                  <c:v>11369.807833930208</c:v>
                </c:pt>
                <c:pt idx="64">
                  <c:v>11390.017617221733</c:v>
                </c:pt>
                <c:pt idx="65">
                  <c:v>11410.172524997819</c:v>
                </c:pt>
                <c:pt idx="66">
                  <c:v>11430.271761577222</c:v>
                </c:pt>
                <c:pt idx="67">
                  <c:v>11450.314533476494</c:v>
                </c:pt>
                <c:pt idx="68">
                  <c:v>11470.300049441321</c:v>
                </c:pt>
                <c:pt idx="69">
                  <c:v>11490.227520477754</c:v>
                </c:pt>
                <c:pt idx="70">
                  <c:v>11510.096159883356</c:v>
                </c:pt>
                <c:pt idx="71">
                  <c:v>11529.905183278264</c:v>
                </c:pt>
                <c:pt idx="72">
                  <c:v>11549.653808636154</c:v>
                </c:pt>
                <c:pt idx="73">
                  <c:v>11569.341256315112</c:v>
                </c:pt>
                <c:pt idx="74">
                  <c:v>11588.966749088413</c:v>
                </c:pt>
                <c:pt idx="75">
                  <c:v>11608.529512175208</c:v>
                </c:pt>
                <c:pt idx="76">
                  <c:v>11628.028773271104</c:v>
                </c:pt>
                <c:pt idx="77">
                  <c:v>11647.463762578664</c:v>
                </c:pt>
                <c:pt idx="78">
                  <c:v>11666.833712837786</c:v>
                </c:pt>
                <c:pt idx="79">
                  <c:v>11686.137859356004</c:v>
                </c:pt>
                <c:pt idx="80">
                  <c:v>11705.375440038662</c:v>
                </c:pt>
                <c:pt idx="81">
                  <c:v>11724.545695419019</c:v>
                </c:pt>
                <c:pt idx="82">
                  <c:v>11743.647868688218</c:v>
                </c:pt>
                <c:pt idx="83">
                  <c:v>11762.681205725163</c:v>
                </c:pt>
                <c:pt idx="84">
                  <c:v>11781.644955126299</c:v>
                </c:pt>
                <c:pt idx="85">
                  <c:v>11800.538368235273</c:v>
                </c:pt>
                <c:pt idx="86">
                  <c:v>11819.360699172485</c:v>
                </c:pt>
                <c:pt idx="87">
                  <c:v>11838.111204864535</c:v>
                </c:pt>
                <c:pt idx="88">
                  <c:v>11856.78914507357</c:v>
                </c:pt>
                <c:pt idx="89">
                  <c:v>11875.39378242649</c:v>
                </c:pt>
                <c:pt idx="90">
                  <c:v>11893.924382444067</c:v>
                </c:pt>
                <c:pt idx="91">
                  <c:v>11912.380213569944</c:v>
                </c:pt>
                <c:pt idx="92">
                  <c:v>11930.760547199508</c:v>
                </c:pt>
                <c:pt idx="93">
                  <c:v>11949.064657708659</c:v>
                </c:pt>
                <c:pt idx="94">
                  <c:v>11967.291822482459</c:v>
                </c:pt>
                <c:pt idx="95">
                  <c:v>11985.44132194365</c:v>
                </c:pt>
                <c:pt idx="96">
                  <c:v>12003.512439581071</c:v>
                </c:pt>
                <c:pt idx="97">
                  <c:v>12021.504461977938</c:v>
                </c:pt>
                <c:pt idx="98">
                  <c:v>12039.416678840018</c:v>
                </c:pt>
                <c:pt idx="99">
                  <c:v>12057.24838302366</c:v>
                </c:pt>
                <c:pt idx="100">
                  <c:v>12074.998870563712</c:v>
                </c:pt>
                <c:pt idx="101">
                  <c:v>12092.66744070132</c:v>
                </c:pt>
                <c:pt idx="102">
                  <c:v>12110.25339591159</c:v>
                </c:pt>
                <c:pt idx="103">
                  <c:v>12127.756041931123</c:v>
                </c:pt>
                <c:pt idx="104">
                  <c:v>12145.17468778542</c:v>
                </c:pt>
                <c:pt idx="105">
                  <c:v>12162.508645816173</c:v>
                </c:pt>
                <c:pt idx="106">
                  <c:v>12179.757231708398</c:v>
                </c:pt>
                <c:pt idx="107">
                  <c:v>12196.919764517455</c:v>
                </c:pt>
                <c:pt idx="108">
                  <c:v>12213.995566695939</c:v>
                </c:pt>
                <c:pt idx="109">
                  <c:v>12230.983964120418</c:v>
                </c:pt>
                <c:pt idx="110">
                  <c:v>12247.884286118049</c:v>
                </c:pt>
                <c:pt idx="111">
                  <c:v>12264.69586549306</c:v>
                </c:pt>
                <c:pt idx="112">
                  <c:v>12281.41803855308</c:v>
                </c:pt>
                <c:pt idx="113">
                  <c:v>12298.050145135352</c:v>
                </c:pt>
                <c:pt idx="114">
                  <c:v>12314.591528632785</c:v>
                </c:pt>
                <c:pt idx="115">
                  <c:v>12331.041536019886</c:v>
                </c:pt>
                <c:pt idx="116">
                  <c:v>12347.399517878524</c:v>
                </c:pt>
                <c:pt idx="117">
                  <c:v>12363.664828423591</c:v>
                </c:pt>
                <c:pt idx="118">
                  <c:v>12379.836825528473</c:v>
                </c:pt>
                <c:pt idx="119">
                  <c:v>12395.914870750416</c:v>
                </c:pt>
                <c:pt idx="120">
                  <c:v>12411.898329355725</c:v>
                </c:pt>
                <c:pt idx="121">
                  <c:v>12427.786570344822</c:v>
                </c:pt>
                <c:pt idx="122">
                  <c:v>12443.57896647716</c:v>
                </c:pt>
                <c:pt idx="123">
                  <c:v>12459.274894295977</c:v>
                </c:pt>
                <c:pt idx="124">
                  <c:v>12474.873734152921</c:v>
                </c:pt>
                <c:pt idx="125">
                  <c:v>12490.374870232505</c:v>
                </c:pt>
                <c:pt idx="126">
                  <c:v>12505.777690576415</c:v>
                </c:pt>
                <c:pt idx="127">
                  <c:v>12521.081587107681</c:v>
                </c:pt>
                <c:pt idx="128">
                  <c:v>12536.285955654668</c:v>
                </c:pt>
                <c:pt idx="129">
                  <c:v>12551.390195974946</c:v>
                </c:pt>
                <c:pt idx="130">
                  <c:v>12566.393711778966</c:v>
                </c:pt>
                <c:pt idx="131">
                  <c:v>12581.295910753615</c:v>
                </c:pt>
                <c:pt idx="132">
                  <c:v>12596.096204585594</c:v>
                </c:pt>
                <c:pt idx="133">
                  <c:v>12610.794008984643</c:v>
                </c:pt>
                <c:pt idx="134">
                  <c:v>12625.388743706615</c:v>
                </c:pt>
                <c:pt idx="135">
                  <c:v>12639.879832576371</c:v>
                </c:pt>
                <c:pt idx="136">
                  <c:v>12654.266703510533</c:v>
                </c:pt>
                <c:pt idx="137">
                  <c:v>12668.548788540074</c:v>
                </c:pt>
                <c:pt idx="138">
                  <c:v>12682.725523832731</c:v>
                </c:pt>
                <c:pt idx="139">
                  <c:v>12696.79634971527</c:v>
                </c:pt>
                <c:pt idx="140">
                  <c:v>12710.760710695575</c:v>
                </c:pt>
                <c:pt idx="141">
                  <c:v>12724.618055484589</c:v>
                </c:pt>
                <c:pt idx="142">
                  <c:v>12738.367837018066</c:v>
                </c:pt>
                <c:pt idx="143">
                  <c:v>12752.009512478173</c:v>
                </c:pt>
                <c:pt idx="144">
                  <c:v>12765.542543314923</c:v>
                </c:pt>
                <c:pt idx="145">
                  <c:v>12778.966395267431</c:v>
                </c:pt>
                <c:pt idx="146">
                  <c:v>12792.280538385006</c:v>
                </c:pt>
                <c:pt idx="147">
                  <c:v>12805.484447048075</c:v>
                </c:pt>
                <c:pt idx="148">
                  <c:v>12818.577599988934</c:v>
                </c:pt>
                <c:pt idx="149">
                  <c:v>12831.559480312324</c:v>
                </c:pt>
                <c:pt idx="150">
                  <c:v>12844.429575515836</c:v>
                </c:pt>
                <c:pt idx="151">
                  <c:v>12857.187377510152</c:v>
                </c:pt>
                <c:pt idx="152">
                  <c:v>12869.832382639092</c:v>
                </c:pt>
                <c:pt idx="153">
                  <c:v>12882.364091699503</c:v>
                </c:pt>
                <c:pt idx="154">
                  <c:v>12894.782009960974</c:v>
                </c:pt>
                <c:pt idx="155">
                  <c:v>12907.085647185351</c:v>
                </c:pt>
                <c:pt idx="156">
                  <c:v>12919.274517646107</c:v>
                </c:pt>
                <c:pt idx="157">
                  <c:v>12931.348140147504</c:v>
                </c:pt>
                <c:pt idx="158">
                  <c:v>12943.3060380436</c:v>
                </c:pt>
                <c:pt idx="159">
                  <c:v>12955.14773925706</c:v>
                </c:pt>
                <c:pt idx="160">
                  <c:v>12966.8727762978</c:v>
                </c:pt>
                <c:pt idx="161">
                  <c:v>12978.480686281429</c:v>
                </c:pt>
                <c:pt idx="162">
                  <c:v>12989.971010947542</c:v>
                </c:pt>
                <c:pt idx="163">
                  <c:v>13001.343296677791</c:v>
                </c:pt>
                <c:pt idx="164">
                  <c:v>13012.597094513811</c:v>
                </c:pt>
                <c:pt idx="165">
                  <c:v>13023.731960174931</c:v>
                </c:pt>
                <c:pt idx="166">
                  <c:v>13034.747454075723</c:v>
                </c:pt>
                <c:pt idx="167">
                  <c:v>13045.643141343347</c:v>
                </c:pt>
                <c:pt idx="168">
                  <c:v>13056.418591834728</c:v>
                </c:pt>
                <c:pt idx="169">
                  <c:v>13067.07338015353</c:v>
                </c:pt>
                <c:pt idx="170">
                  <c:v>13077.607085666954</c:v>
                </c:pt>
                <c:pt idx="171">
                  <c:v>13088.019292522344</c:v>
                </c:pt>
                <c:pt idx="172">
                  <c:v>13098.3095896636</c:v>
                </c:pt>
                <c:pt idx="173">
                  <c:v>13108.477570847414</c:v>
                </c:pt>
                <c:pt idx="174">
                  <c:v>13118.522834659296</c:v>
                </c:pt>
                <c:pt idx="175">
                  <c:v>13128.444984529431</c:v>
                </c:pt>
                <c:pt idx="176">
                  <c:v>13138.243628748332</c:v>
                </c:pt>
                <c:pt idx="177">
                  <c:v>13147.918380482306</c:v>
                </c:pt>
                <c:pt idx="178">
                  <c:v>13157.468857788717</c:v>
                </c:pt>
                <c:pt idx="179">
                  <c:v>13166.894683631075</c:v>
                </c:pt>
                <c:pt idx="180">
                  <c:v>13176.195485893917</c:v>
                </c:pt>
                <c:pt idx="181">
                  <c:v>13185.370897397494</c:v>
                </c:pt>
                <c:pt idx="182">
                  <c:v>13194.420555912267</c:v>
                </c:pt>
                <c:pt idx="183">
                  <c:v>13203.344104173219</c:v>
                </c:pt>
                <c:pt idx="184">
                  <c:v>13212.14118989394</c:v>
                </c:pt>
                <c:pt idx="185">
                  <c:v>13220.811465780553</c:v>
                </c:pt>
                <c:pt idx="186">
                  <c:v>13229.35458954541</c:v>
                </c:pt>
                <c:pt idx="187">
                  <c:v>13237.77022392061</c:v>
                </c:pt>
                <c:pt idx="188">
                  <c:v>13246.058036671322</c:v>
                </c:pt>
                <c:pt idx="189">
                  <c:v>13254.217700608888</c:v>
                </c:pt>
                <c:pt idx="190">
                  <c:v>13262.248893603746</c:v>
                </c:pt>
                <c:pt idx="191">
                  <c:v>13270.15129859815</c:v>
                </c:pt>
                <c:pt idx="192">
                  <c:v>13277.924603618681</c:v>
                </c:pt>
                <c:pt idx="193">
                  <c:v>13285.568501788566</c:v>
                </c:pt>
                <c:pt idx="194">
                  <c:v>13293.082691339796</c:v>
                </c:pt>
                <c:pt idx="195">
                  <c:v>13300.466875625032</c:v>
                </c:pt>
                <c:pt idx="196">
                  <c:v>13307.720763129324</c:v>
                </c:pt>
                <c:pt idx="197">
                  <c:v>13314.844067481612</c:v>
                </c:pt>
                <c:pt idx="198">
                  <c:v>13321.836507466038</c:v>
                </c:pt>
                <c:pt idx="199">
                  <c:v>13328.697807033044</c:v>
                </c:pt>
                <c:pt idx="200">
                  <c:v>13335.427695310273</c:v>
                </c:pt>
                <c:pt idx="201">
                  <c:v>13342.025906613257</c:v>
                </c:pt>
                <c:pt idx="202">
                  <c:v>13348.492180455913</c:v>
                </c:pt>
                <c:pt idx="203">
                  <c:v>13354.826261560822</c:v>
                </c:pt>
                <c:pt idx="204">
                  <c:v>13361.027899869307</c:v>
                </c:pt>
                <c:pt idx="205">
                  <c:v>13367.096850551306</c:v>
                </c:pt>
                <c:pt idx="206">
                  <c:v>13373.03287401504</c:v>
                </c:pt>
                <c:pt idx="207">
                  <c:v>13378.835735916466</c:v>
                </c:pt>
                <c:pt idx="208">
                  <c:v>13384.505207168528</c:v>
                </c:pt>
                <c:pt idx="209">
                  <c:v>13390.041063950215</c:v>
                </c:pt>
                <c:pt idx="210">
                  <c:v>13395.443087715375</c:v>
                </c:pt>
                <c:pt idx="211">
                  <c:v>13400.711065201365</c:v>
                </c:pt>
                <c:pt idx="212">
                  <c:v>13405.844788437449</c:v>
                </c:pt>
                <c:pt idx="213">
                  <c:v>13410.844054753026</c:v>
                </c:pt>
                <c:pt idx="214">
                  <c:v>13415.70866678562</c:v>
                </c:pt>
                <c:pt idx="215">
                  <c:v>13420.438432488681</c:v>
                </c:pt>
                <c:pt idx="216">
                  <c:v>13425.033165139157</c:v>
                </c:pt>
                <c:pt idx="217">
                  <c:v>13429.49268334487</c:v>
                </c:pt>
                <c:pt idx="218">
                  <c:v>13433.816811051674</c:v>
                </c:pt>
                <c:pt idx="219">
                  <c:v>13438.005377550415</c:v>
                </c:pt>
                <c:pt idx="220">
                  <c:v>13442.058217483658</c:v>
                </c:pt>
                <c:pt idx="221">
                  <c:v>13445.975170852224</c:v>
                </c:pt>
                <c:pt idx="222">
                  <c:v>13449.756083021497</c:v>
                </c:pt>
                <c:pt idx="223">
                  <c:v>13453.400804727542</c:v>
                </c:pt>
                <c:pt idx="224">
                  <c:v>13456.909192082985</c:v>
                </c:pt>
                <c:pt idx="225">
                  <c:v>13460.281106582703</c:v>
                </c:pt>
                <c:pt idx="226">
                  <c:v>13463.516415109283</c:v>
                </c:pt>
                <c:pt idx="227">
                  <c:v>13466.614989938284</c:v>
                </c:pt>
                <c:pt idx="228">
                  <c:v>13469.576708743276</c:v>
                </c:pt>
                <c:pt idx="229">
                  <c:v>13472.401454600677</c:v>
                </c:pt>
                <c:pt idx="230">
                  <c:v>13475.089115994351</c:v>
                </c:pt>
                <c:pt idx="231">
                  <c:v>13477.639586820032</c:v>
                </c:pt>
                <c:pt idx="232">
                  <c:v>13480.052766389499</c:v>
                </c:pt>
                <c:pt idx="233">
                  <c:v>13482.328559434554</c:v>
                </c:pt>
                <c:pt idx="234">
                  <c:v>13484.466876110782</c:v>
                </c:pt>
                <c:pt idx="235">
                  <c:v>13486.467632001106</c:v>
                </c:pt>
                <c:pt idx="236">
                  <c:v>13488.330748119108</c:v>
                </c:pt>
                <c:pt idx="237">
                  <c:v>13490.056150912151</c:v>
                </c:pt>
                <c:pt idx="238">
                  <c:v>13491.643772264291</c:v>
                </c:pt>
                <c:pt idx="239">
                  <c:v>13493.093549498954</c:v>
                </c:pt>
                <c:pt idx="240">
                  <c:v>13494.405425381414</c:v>
                </c:pt>
                <c:pt idx="241">
                  <c:v>13495.579348121062</c:v>
                </c:pt>
                <c:pt idx="242">
                  <c:v>13496.615271373437</c:v>
                </c:pt>
                <c:pt idx="243">
                  <c:v>13497.513154242064</c:v>
                </c:pt>
                <c:pt idx="244">
                  <c:v>13498.272961280061</c:v>
                </c:pt>
                <c:pt idx="245">
                  <c:v>13498.894662491552</c:v>
                </c:pt>
                <c:pt idx="246">
                  <c:v>13499.378233332833</c:v>
                </c:pt>
                <c:pt idx="247">
                  <c:v>13499.723654713356</c:v>
                </c:pt>
                <c:pt idx="248">
                  <c:v>13499.93091299648</c:v>
                </c:pt>
                <c:pt idx="249">
                  <c:v>13500</c:v>
                </c:pt>
                <c:pt idx="250">
                  <c:v>13499.93091299648</c:v>
                </c:pt>
                <c:pt idx="251">
                  <c:v>13499.723654713356</c:v>
                </c:pt>
                <c:pt idx="252">
                  <c:v>13499.378233332831</c:v>
                </c:pt>
                <c:pt idx="253">
                  <c:v>13498.894662491548</c:v>
                </c:pt>
                <c:pt idx="254">
                  <c:v>13498.272961280059</c:v>
                </c:pt>
                <c:pt idx="255">
                  <c:v>13497.51315424206</c:v>
                </c:pt>
                <c:pt idx="256">
                  <c:v>13496.615271373435</c:v>
                </c:pt>
                <c:pt idx="257">
                  <c:v>13495.57934812106</c:v>
                </c:pt>
                <c:pt idx="258">
                  <c:v>13494.40542538141</c:v>
                </c:pt>
                <c:pt idx="259">
                  <c:v>13493.093549498948</c:v>
                </c:pt>
                <c:pt idx="260">
                  <c:v>13491.643772264286</c:v>
                </c:pt>
                <c:pt idx="261">
                  <c:v>13490.056150912147</c:v>
                </c:pt>
                <c:pt idx="262">
                  <c:v>13488.330748119102</c:v>
                </c:pt>
                <c:pt idx="263">
                  <c:v>13486.4676320011</c:v>
                </c:pt>
                <c:pt idx="264">
                  <c:v>13484.466876110777</c:v>
                </c:pt>
                <c:pt idx="265">
                  <c:v>13482.328559434547</c:v>
                </c:pt>
                <c:pt idx="266">
                  <c:v>13480.052766389492</c:v>
                </c:pt>
                <c:pt idx="267">
                  <c:v>13477.639586820025</c:v>
                </c:pt>
                <c:pt idx="268">
                  <c:v>13475.089115994344</c:v>
                </c:pt>
                <c:pt idx="269">
                  <c:v>13472.401454600667</c:v>
                </c:pt>
                <c:pt idx="270">
                  <c:v>13469.576708743269</c:v>
                </c:pt>
                <c:pt idx="271">
                  <c:v>13466.614989938274</c:v>
                </c:pt>
                <c:pt idx="272">
                  <c:v>13463.516415109272</c:v>
                </c:pt>
                <c:pt idx="273">
                  <c:v>13460.281106582694</c:v>
                </c:pt>
                <c:pt idx="274">
                  <c:v>13456.909192082976</c:v>
                </c:pt>
                <c:pt idx="275">
                  <c:v>13453.400804727533</c:v>
                </c:pt>
                <c:pt idx="276">
                  <c:v>13449.756083021486</c:v>
                </c:pt>
                <c:pt idx="277">
                  <c:v>13445.975170852213</c:v>
                </c:pt>
                <c:pt idx="278">
                  <c:v>13442.058217483647</c:v>
                </c:pt>
                <c:pt idx="279">
                  <c:v>13438.005377550404</c:v>
                </c:pt>
                <c:pt idx="280">
                  <c:v>13433.816811051662</c:v>
                </c:pt>
                <c:pt idx="281">
                  <c:v>13429.492683344857</c:v>
                </c:pt>
                <c:pt idx="282">
                  <c:v>13425.033165139144</c:v>
                </c:pt>
                <c:pt idx="283">
                  <c:v>13420.438432488671</c:v>
                </c:pt>
                <c:pt idx="284">
                  <c:v>13415.708666785607</c:v>
                </c:pt>
                <c:pt idx="285">
                  <c:v>13410.844054753012</c:v>
                </c:pt>
                <c:pt idx="286">
                  <c:v>13405.844788437435</c:v>
                </c:pt>
                <c:pt idx="287">
                  <c:v>13400.711065201351</c:v>
                </c:pt>
                <c:pt idx="288">
                  <c:v>13395.443087715361</c:v>
                </c:pt>
                <c:pt idx="289">
                  <c:v>13390.041063950199</c:v>
                </c:pt>
                <c:pt idx="290">
                  <c:v>13384.505207168513</c:v>
                </c:pt>
                <c:pt idx="291">
                  <c:v>13378.835735916447</c:v>
                </c:pt>
                <c:pt idx="292">
                  <c:v>13373.032874015023</c:v>
                </c:pt>
                <c:pt idx="293">
                  <c:v>13367.09685055129</c:v>
                </c:pt>
                <c:pt idx="294">
                  <c:v>13361.02789986929</c:v>
                </c:pt>
                <c:pt idx="295">
                  <c:v>13354.826261560804</c:v>
                </c:pt>
                <c:pt idx="296">
                  <c:v>13348.492180455894</c:v>
                </c:pt>
                <c:pt idx="297">
                  <c:v>13342.025906613238</c:v>
                </c:pt>
                <c:pt idx="298">
                  <c:v>13335.427695310253</c:v>
                </c:pt>
                <c:pt idx="299">
                  <c:v>13328.697807033026</c:v>
                </c:pt>
                <c:pt idx="300">
                  <c:v>13321.836507466018</c:v>
                </c:pt>
                <c:pt idx="301">
                  <c:v>13314.844067481592</c:v>
                </c:pt>
                <c:pt idx="302">
                  <c:v>13307.720763129304</c:v>
                </c:pt>
                <c:pt idx="303">
                  <c:v>13300.466875625012</c:v>
                </c:pt>
                <c:pt idx="304">
                  <c:v>13293.082691339776</c:v>
                </c:pt>
                <c:pt idx="305">
                  <c:v>13285.568501788544</c:v>
                </c:pt>
                <c:pt idx="306">
                  <c:v>13277.92460361866</c:v>
                </c:pt>
                <c:pt idx="307">
                  <c:v>13270.151298598128</c:v>
                </c:pt>
                <c:pt idx="308">
                  <c:v>13262.248893603723</c:v>
                </c:pt>
                <c:pt idx="309">
                  <c:v>13254.217700608864</c:v>
                </c:pt>
                <c:pt idx="310">
                  <c:v>13246.058036671298</c:v>
                </c:pt>
                <c:pt idx="311">
                  <c:v>13237.770223920586</c:v>
                </c:pt>
                <c:pt idx="312">
                  <c:v>13229.354589545386</c:v>
                </c:pt>
                <c:pt idx="313">
                  <c:v>13220.811465780529</c:v>
                </c:pt>
                <c:pt idx="314">
                  <c:v>13212.141189893917</c:v>
                </c:pt>
                <c:pt idx="315">
                  <c:v>13203.344104173195</c:v>
                </c:pt>
                <c:pt idx="316">
                  <c:v>13194.420555912242</c:v>
                </c:pt>
                <c:pt idx="317">
                  <c:v>13185.370897397466</c:v>
                </c:pt>
                <c:pt idx="318">
                  <c:v>13176.195485893892</c:v>
                </c:pt>
                <c:pt idx="319">
                  <c:v>13166.89468363105</c:v>
                </c:pt>
                <c:pt idx="320">
                  <c:v>13157.468857788692</c:v>
                </c:pt>
                <c:pt idx="321">
                  <c:v>13147.918380482279</c:v>
                </c:pt>
                <c:pt idx="322">
                  <c:v>13138.243628748305</c:v>
                </c:pt>
                <c:pt idx="323">
                  <c:v>13128.444984529404</c:v>
                </c:pt>
                <c:pt idx="324">
                  <c:v>13118.522834659267</c:v>
                </c:pt>
                <c:pt idx="325">
                  <c:v>13108.477570847384</c:v>
                </c:pt>
                <c:pt idx="326">
                  <c:v>13098.309589663571</c:v>
                </c:pt>
                <c:pt idx="327">
                  <c:v>13088.019292522315</c:v>
                </c:pt>
                <c:pt idx="328">
                  <c:v>13077.607085666925</c:v>
                </c:pt>
                <c:pt idx="329">
                  <c:v>13067.073380153501</c:v>
                </c:pt>
                <c:pt idx="330">
                  <c:v>13056.418591834699</c:v>
                </c:pt>
                <c:pt idx="331">
                  <c:v>13045.643141343317</c:v>
                </c:pt>
                <c:pt idx="332">
                  <c:v>13034.747454075692</c:v>
                </c:pt>
                <c:pt idx="333">
                  <c:v>13023.7319601749</c:v>
                </c:pt>
                <c:pt idx="334">
                  <c:v>13012.59709451378</c:v>
                </c:pt>
                <c:pt idx="335">
                  <c:v>13001.343296677758</c:v>
                </c:pt>
                <c:pt idx="336">
                  <c:v>12989.971010947509</c:v>
                </c:pt>
                <c:pt idx="337">
                  <c:v>12978.480686281397</c:v>
                </c:pt>
                <c:pt idx="338">
                  <c:v>12966.872776297765</c:v>
                </c:pt>
                <c:pt idx="339">
                  <c:v>12955.147739257027</c:v>
                </c:pt>
                <c:pt idx="340">
                  <c:v>12943.306038043565</c:v>
                </c:pt>
                <c:pt idx="341">
                  <c:v>12931.348140147469</c:v>
                </c:pt>
                <c:pt idx="342">
                  <c:v>12919.274517646072</c:v>
                </c:pt>
                <c:pt idx="343">
                  <c:v>12907.085647185317</c:v>
                </c:pt>
                <c:pt idx="344">
                  <c:v>12894.78200996094</c:v>
                </c:pt>
                <c:pt idx="345">
                  <c:v>12882.364091699468</c:v>
                </c:pt>
                <c:pt idx="346">
                  <c:v>12869.832382639055</c:v>
                </c:pt>
                <c:pt idx="347">
                  <c:v>12857.187377510116</c:v>
                </c:pt>
                <c:pt idx="348">
                  <c:v>12844.4295755158</c:v>
                </c:pt>
                <c:pt idx="349">
                  <c:v>12831.559480312288</c:v>
                </c:pt>
                <c:pt idx="350">
                  <c:v>12818.577599988897</c:v>
                </c:pt>
                <c:pt idx="351">
                  <c:v>12805.484447048038</c:v>
                </c:pt>
                <c:pt idx="352">
                  <c:v>12792.280538384968</c:v>
                </c:pt>
                <c:pt idx="353">
                  <c:v>12778.966395267393</c:v>
                </c:pt>
                <c:pt idx="354">
                  <c:v>12765.542543314885</c:v>
                </c:pt>
                <c:pt idx="355">
                  <c:v>12752.009512478135</c:v>
                </c:pt>
                <c:pt idx="356">
                  <c:v>12738.367837018028</c:v>
                </c:pt>
                <c:pt idx="357">
                  <c:v>12724.61805548455</c:v>
                </c:pt>
                <c:pt idx="358">
                  <c:v>12710.760710695537</c:v>
                </c:pt>
                <c:pt idx="359">
                  <c:v>12696.79634971523</c:v>
                </c:pt>
                <c:pt idx="360">
                  <c:v>12682.725523832691</c:v>
                </c:pt>
                <c:pt idx="361">
                  <c:v>12668.548788540034</c:v>
                </c:pt>
                <c:pt idx="362">
                  <c:v>12654.266703510493</c:v>
                </c:pt>
                <c:pt idx="363">
                  <c:v>12639.879832576329</c:v>
                </c:pt>
                <c:pt idx="364">
                  <c:v>12625.388743706575</c:v>
                </c:pt>
                <c:pt idx="365">
                  <c:v>12610.794008984602</c:v>
                </c:pt>
                <c:pt idx="366">
                  <c:v>12596.096204585552</c:v>
                </c:pt>
                <c:pt idx="367">
                  <c:v>12581.295910753573</c:v>
                </c:pt>
                <c:pt idx="368">
                  <c:v>12566.393711778925</c:v>
                </c:pt>
                <c:pt idx="369">
                  <c:v>12551.390195974904</c:v>
                </c:pt>
                <c:pt idx="370">
                  <c:v>12536.285955654626</c:v>
                </c:pt>
                <c:pt idx="371">
                  <c:v>12521.081587107637</c:v>
                </c:pt>
                <c:pt idx="372">
                  <c:v>12505.777690576371</c:v>
                </c:pt>
                <c:pt idx="373">
                  <c:v>12490.374870232461</c:v>
                </c:pt>
                <c:pt idx="374">
                  <c:v>12474.873734152878</c:v>
                </c:pt>
                <c:pt idx="375">
                  <c:v>12459.274894295933</c:v>
                </c:pt>
                <c:pt idx="376">
                  <c:v>12443.578966477115</c:v>
                </c:pt>
                <c:pt idx="377">
                  <c:v>12427.786570344779</c:v>
                </c:pt>
                <c:pt idx="378">
                  <c:v>12411.898329355679</c:v>
                </c:pt>
                <c:pt idx="379">
                  <c:v>12395.91487075037</c:v>
                </c:pt>
                <c:pt idx="380">
                  <c:v>12379.836825528426</c:v>
                </c:pt>
                <c:pt idx="381">
                  <c:v>12363.664828423545</c:v>
                </c:pt>
                <c:pt idx="382">
                  <c:v>12347.399517878479</c:v>
                </c:pt>
                <c:pt idx="383">
                  <c:v>12331.041536019839</c:v>
                </c:pt>
                <c:pt idx="384">
                  <c:v>12314.59152863274</c:v>
                </c:pt>
                <c:pt idx="385">
                  <c:v>12298.050145135305</c:v>
                </c:pt>
                <c:pt idx="386">
                  <c:v>12281.418038553033</c:v>
                </c:pt>
                <c:pt idx="387">
                  <c:v>12264.695865493013</c:v>
                </c:pt>
                <c:pt idx="388">
                  <c:v>12247.884286118002</c:v>
                </c:pt>
                <c:pt idx="389">
                  <c:v>12230.983964120371</c:v>
                </c:pt>
                <c:pt idx="390">
                  <c:v>12213.995566695892</c:v>
                </c:pt>
                <c:pt idx="391">
                  <c:v>12196.919764517406</c:v>
                </c:pt>
                <c:pt idx="392">
                  <c:v>12179.757231708349</c:v>
                </c:pt>
                <c:pt idx="393">
                  <c:v>12162.508645816124</c:v>
                </c:pt>
                <c:pt idx="394">
                  <c:v>12145.174687785373</c:v>
                </c:pt>
                <c:pt idx="395">
                  <c:v>12127.756041931072</c:v>
                </c:pt>
                <c:pt idx="396">
                  <c:v>12110.253395911541</c:v>
                </c:pt>
                <c:pt idx="397">
                  <c:v>12092.667440701269</c:v>
                </c:pt>
                <c:pt idx="398">
                  <c:v>12074.998870563661</c:v>
                </c:pt>
                <c:pt idx="399">
                  <c:v>12057.248383023609</c:v>
                </c:pt>
                <c:pt idx="400">
                  <c:v>12039.416678839969</c:v>
                </c:pt>
                <c:pt idx="401">
                  <c:v>12021.504461977889</c:v>
                </c:pt>
                <c:pt idx="402">
                  <c:v>12003.51243958102</c:v>
                </c:pt>
                <c:pt idx="403">
                  <c:v>11985.441321943599</c:v>
                </c:pt>
                <c:pt idx="404">
                  <c:v>11967.291822482408</c:v>
                </c:pt>
                <c:pt idx="405">
                  <c:v>11949.064657708608</c:v>
                </c:pt>
                <c:pt idx="406">
                  <c:v>11930.760547199456</c:v>
                </c:pt>
                <c:pt idx="407">
                  <c:v>11912.380213569892</c:v>
                </c:pt>
                <c:pt idx="408">
                  <c:v>11893.924382444015</c:v>
                </c:pt>
                <c:pt idx="409">
                  <c:v>11875.393782426438</c:v>
                </c:pt>
                <c:pt idx="410">
                  <c:v>11856.789145073517</c:v>
                </c:pt>
                <c:pt idx="411">
                  <c:v>11838.111204864483</c:v>
                </c:pt>
                <c:pt idx="412">
                  <c:v>11819.36069917243</c:v>
                </c:pt>
                <c:pt idx="413">
                  <c:v>11800.53836823522</c:v>
                </c:pt>
                <c:pt idx="414">
                  <c:v>11781.644955126247</c:v>
                </c:pt>
                <c:pt idx="415">
                  <c:v>11762.68120572511</c:v>
                </c:pt>
                <c:pt idx="416">
                  <c:v>11743.647868688164</c:v>
                </c:pt>
                <c:pt idx="417">
                  <c:v>11724.545695418967</c:v>
                </c:pt>
                <c:pt idx="418">
                  <c:v>11705.37544003861</c:v>
                </c:pt>
                <c:pt idx="419">
                  <c:v>11686.137859355949</c:v>
                </c:pt>
                <c:pt idx="420">
                  <c:v>11666.833712837732</c:v>
                </c:pt>
                <c:pt idx="421">
                  <c:v>11647.463762578609</c:v>
                </c:pt>
                <c:pt idx="422">
                  <c:v>11628.028773271049</c:v>
                </c:pt>
                <c:pt idx="423">
                  <c:v>11608.529512175151</c:v>
                </c:pt>
                <c:pt idx="424">
                  <c:v>11588.966749088357</c:v>
                </c:pt>
                <c:pt idx="425">
                  <c:v>11569.341256315056</c:v>
                </c:pt>
                <c:pt idx="426">
                  <c:v>11549.653808636098</c:v>
                </c:pt>
                <c:pt idx="427">
                  <c:v>11529.905183278208</c:v>
                </c:pt>
                <c:pt idx="428">
                  <c:v>11510.096159883298</c:v>
                </c:pt>
                <c:pt idx="429">
                  <c:v>11490.227520477696</c:v>
                </c:pt>
                <c:pt idx="430">
                  <c:v>11470.300049441263</c:v>
                </c:pt>
                <c:pt idx="431">
                  <c:v>11450.314533476436</c:v>
                </c:pt>
                <c:pt idx="432">
                  <c:v>11430.271761577162</c:v>
                </c:pt>
                <c:pt idx="433">
                  <c:v>11410.172524997761</c:v>
                </c:pt>
                <c:pt idx="434">
                  <c:v>11390.017617221672</c:v>
                </c:pt>
                <c:pt idx="435">
                  <c:v>11369.807833930148</c:v>
                </c:pt>
                <c:pt idx="436">
                  <c:v>11349.543972970827</c:v>
                </c:pt>
                <c:pt idx="437">
                  <c:v>11329.226834326244</c:v>
                </c:pt>
                <c:pt idx="438">
                  <c:v>11308.85722008224</c:v>
                </c:pt>
                <c:pt idx="439">
                  <c:v>11288.435934396311</c:v>
                </c:pt>
                <c:pt idx="440">
                  <c:v>11267.963783465848</c:v>
                </c:pt>
                <c:pt idx="441">
                  <c:v>11247.441575496316</c:v>
                </c:pt>
                <c:pt idx="442">
                  <c:v>11226.870120669344</c:v>
                </c:pt>
                <c:pt idx="443">
                  <c:v>11206.250231110747</c:v>
                </c:pt>
                <c:pt idx="444">
                  <c:v>11185.582720858456</c:v>
                </c:pt>
                <c:pt idx="445">
                  <c:v>11164.86840583039</c:v>
                </c:pt>
                <c:pt idx="446">
                  <c:v>11144.108103792234</c:v>
                </c:pt>
                <c:pt idx="447">
                  <c:v>11123.302634325169</c:v>
                </c:pt>
                <c:pt idx="448">
                  <c:v>11102.452818793503</c:v>
                </c:pt>
                <c:pt idx="449">
                  <c:v>11081.559480312251</c:v>
                </c:pt>
                <c:pt idx="450">
                  <c:v>11060.623443714643</c:v>
                </c:pt>
                <c:pt idx="451">
                  <c:v>11039.645535519558</c:v>
                </c:pt>
                <c:pt idx="452">
                  <c:v>11018.626583898886</c:v>
                </c:pt>
                <c:pt idx="453">
                  <c:v>10997.56741864485</c:v>
                </c:pt>
                <c:pt idx="454">
                  <c:v>10976.468871137236</c:v>
                </c:pt>
                <c:pt idx="455">
                  <c:v>10955.331774310573</c:v>
                </c:pt>
                <c:pt idx="456">
                  <c:v>10934.156962621248</c:v>
                </c:pt>
                <c:pt idx="457">
                  <c:v>10912.945272014573</c:v>
                </c:pt>
                <c:pt idx="458">
                  <c:v>10891.697539891769</c:v>
                </c:pt>
                <c:pt idx="459">
                  <c:v>10870.414605076923</c:v>
                </c:pt>
                <c:pt idx="460">
                  <c:v>10849.097307783857</c:v>
                </c:pt>
                <c:pt idx="461">
                  <c:v>10827.746489582969</c:v>
                </c:pt>
                <c:pt idx="462">
                  <c:v>10806.362993367999</c:v>
                </c:pt>
                <c:pt idx="463">
                  <c:v>10784.947663322766</c:v>
                </c:pt>
                <c:pt idx="464">
                  <c:v>10763.501344887829</c:v>
                </c:pt>
                <c:pt idx="465">
                  <c:v>10742.024884727121</c:v>
                </c:pt>
                <c:pt idx="466">
                  <c:v>10720.519130694514</c:v>
                </c:pt>
                <c:pt idx="467">
                  <c:v>10698.984931800354</c:v>
                </c:pt>
                <c:pt idx="468">
                  <c:v>10677.423138177941</c:v>
                </c:pt>
                <c:pt idx="469">
                  <c:v>10655.834601049966</c:v>
                </c:pt>
                <c:pt idx="470">
                  <c:v>10634.22017269491</c:v>
                </c:pt>
                <c:pt idx="471">
                  <c:v>10612.580706413395</c:v>
                </c:pt>
                <c:pt idx="472">
                  <c:v>10590.917056494498</c:v>
                </c:pt>
                <c:pt idx="473">
                  <c:v>10569.230078182021</c:v>
                </c:pt>
                <c:pt idx="474">
                  <c:v>10547.520627640737</c:v>
                </c:pt>
                <c:pt idx="475">
                  <c:v>10525.789561922578</c:v>
                </c:pt>
                <c:pt idx="476">
                  <c:v>10504.03773893281</c:v>
                </c:pt>
                <c:pt idx="477">
                  <c:v>10482.266017396161</c:v>
                </c:pt>
                <c:pt idx="478">
                  <c:v>10460.475256822916</c:v>
                </c:pt>
                <c:pt idx="479">
                  <c:v>10438.666317474992</c:v>
                </c:pt>
                <c:pt idx="480">
                  <c:v>10416.840060331971</c:v>
                </c:pt>
                <c:pt idx="481">
                  <c:v>10394.997347057113</c:v>
                </c:pt>
                <c:pt idx="482">
                  <c:v>10373.139039963336</c:v>
                </c:pt>
                <c:pt idx="483">
                  <c:v>10351.266001979178</c:v>
                </c:pt>
                <c:pt idx="484">
                  <c:v>10329.379096614726</c:v>
                </c:pt>
                <c:pt idx="485">
                  <c:v>10307.479187927527</c:v>
                </c:pt>
                <c:pt idx="486">
                  <c:v>10285.567140488476</c:v>
                </c:pt>
                <c:pt idx="487">
                  <c:v>10263.64381934769</c:v>
                </c:pt>
                <c:pt idx="488">
                  <c:v>10241.710090000346</c:v>
                </c:pt>
                <c:pt idx="489">
                  <c:v>10219.766818352522</c:v>
                </c:pt>
                <c:pt idx="490">
                  <c:v>10197.814870687011</c:v>
                </c:pt>
                <c:pt idx="491">
                  <c:v>10175.855113629117</c:v>
                </c:pt>
                <c:pt idx="492">
                  <c:v>10153.888414112451</c:v>
                </c:pt>
                <c:pt idx="493">
                  <c:v>10131.915639344696</c:v>
                </c:pt>
                <c:pt idx="494">
                  <c:v>10109.937656773373</c:v>
                </c:pt>
                <c:pt idx="495">
                  <c:v>10087.955334051605</c:v>
                </c:pt>
                <c:pt idx="496">
                  <c:v>10065.969539003852</c:v>
                </c:pt>
                <c:pt idx="497">
                  <c:v>10043.981139591657</c:v>
                </c:pt>
                <c:pt idx="498">
                  <c:v>10021.991003879379</c:v>
                </c:pt>
                <c:pt idx="499">
                  <c:v>9999.9999999999236</c:v>
                </c:pt>
                <c:pt idx="500">
                  <c:v>9978.0089961204667</c:v>
                </c:pt>
                <c:pt idx="501">
                  <c:v>9956.0188604081886</c:v>
                </c:pt>
                <c:pt idx="502">
                  <c:v>9934.0304609959931</c:v>
                </c:pt>
                <c:pt idx="503">
                  <c:v>9912.0446659482404</c:v>
                </c:pt>
                <c:pt idx="504">
                  <c:v>9890.0623432264729</c:v>
                </c:pt>
                <c:pt idx="505">
                  <c:v>9868.0843606551516</c:v>
                </c:pt>
                <c:pt idx="506">
                  <c:v>9846.1115858873945</c:v>
                </c:pt>
                <c:pt idx="507">
                  <c:v>9824.1448863707283</c:v>
                </c:pt>
                <c:pt idx="508">
                  <c:v>9802.1851293128348</c:v>
                </c:pt>
                <c:pt idx="509">
                  <c:v>9780.2331816473234</c:v>
                </c:pt>
                <c:pt idx="510">
                  <c:v>9758.2899099995011</c:v>
                </c:pt>
                <c:pt idx="511">
                  <c:v>9736.3561806521557</c:v>
                </c:pt>
                <c:pt idx="512">
                  <c:v>9714.4328595113693</c:v>
                </c:pt>
                <c:pt idx="513">
                  <c:v>9692.52081207232</c:v>
                </c:pt>
                <c:pt idx="514">
                  <c:v>9670.620903385121</c:v>
                </c:pt>
                <c:pt idx="515">
                  <c:v>9648.7339980206689</c:v>
                </c:pt>
                <c:pt idx="516">
                  <c:v>9626.8609600365107</c:v>
                </c:pt>
                <c:pt idx="517">
                  <c:v>9605.0026529427341</c:v>
                </c:pt>
                <c:pt idx="518">
                  <c:v>9583.1599396678757</c:v>
                </c:pt>
                <c:pt idx="519">
                  <c:v>9561.3336825248552</c:v>
                </c:pt>
                <c:pt idx="520">
                  <c:v>9539.5247431769312</c:v>
                </c:pt>
                <c:pt idx="521">
                  <c:v>9517.7339826036859</c:v>
                </c:pt>
                <c:pt idx="522">
                  <c:v>9495.9622610670376</c:v>
                </c:pt>
                <c:pt idx="523">
                  <c:v>9474.2104380772689</c:v>
                </c:pt>
                <c:pt idx="524">
                  <c:v>9452.4793723591101</c:v>
                </c:pt>
                <c:pt idx="525">
                  <c:v>9430.7699218178259</c:v>
                </c:pt>
                <c:pt idx="526">
                  <c:v>9409.0829435053511</c:v>
                </c:pt>
                <c:pt idx="527">
                  <c:v>9387.4192935864521</c:v>
                </c:pt>
                <c:pt idx="528">
                  <c:v>9365.7798273049375</c:v>
                </c:pt>
                <c:pt idx="529">
                  <c:v>9344.1653989498827</c:v>
                </c:pt>
                <c:pt idx="530">
                  <c:v>9322.5768618219081</c:v>
                </c:pt>
                <c:pt idx="531">
                  <c:v>9301.0150681994946</c:v>
                </c:pt>
                <c:pt idx="532">
                  <c:v>9279.4808693053346</c:v>
                </c:pt>
                <c:pt idx="533">
                  <c:v>9257.9751152727276</c:v>
                </c:pt>
                <c:pt idx="534">
                  <c:v>9236.4986551120201</c:v>
                </c:pt>
                <c:pt idx="535">
                  <c:v>9215.0523366770831</c:v>
                </c:pt>
                <c:pt idx="536">
                  <c:v>9193.6370066318505</c:v>
                </c:pt>
                <c:pt idx="537">
                  <c:v>9172.2535104168819</c:v>
                </c:pt>
                <c:pt idx="538">
                  <c:v>9150.9026922159919</c:v>
                </c:pt>
                <c:pt idx="539">
                  <c:v>9129.5853949229258</c:v>
                </c:pt>
                <c:pt idx="540">
                  <c:v>9108.3024601080797</c:v>
                </c:pt>
                <c:pt idx="541">
                  <c:v>9087.0547279852781</c:v>
                </c:pt>
                <c:pt idx="542">
                  <c:v>9065.8430373786032</c:v>
                </c:pt>
                <c:pt idx="543">
                  <c:v>9044.66822568928</c:v>
                </c:pt>
                <c:pt idx="544">
                  <c:v>9023.5311288626144</c:v>
                </c:pt>
                <c:pt idx="545">
                  <c:v>9002.4325813550022</c:v>
                </c:pt>
                <c:pt idx="546">
                  <c:v>8981.373416100967</c:v>
                </c:pt>
                <c:pt idx="547">
                  <c:v>8960.3544644802951</c:v>
                </c:pt>
                <c:pt idx="548">
                  <c:v>8939.3765562852095</c:v>
                </c:pt>
                <c:pt idx="549">
                  <c:v>8918.4405196876014</c:v>
                </c:pt>
                <c:pt idx="550">
                  <c:v>8897.5471812063515</c:v>
                </c:pt>
                <c:pt idx="551">
                  <c:v>8876.697365674685</c:v>
                </c:pt>
                <c:pt idx="552">
                  <c:v>8855.8918962076186</c:v>
                </c:pt>
                <c:pt idx="553">
                  <c:v>8835.1315941694647</c:v>
                </c:pt>
                <c:pt idx="554">
                  <c:v>8814.4172791413985</c:v>
                </c:pt>
                <c:pt idx="555">
                  <c:v>8793.7497688891071</c:v>
                </c:pt>
                <c:pt idx="556">
                  <c:v>8773.1298793305104</c:v>
                </c:pt>
                <c:pt idx="557">
                  <c:v>8752.5584245035407</c:v>
                </c:pt>
                <c:pt idx="558">
                  <c:v>8732.0362165340084</c:v>
                </c:pt>
                <c:pt idx="559">
                  <c:v>8711.5640656035448</c:v>
                </c:pt>
                <c:pt idx="560">
                  <c:v>8691.1427799176163</c:v>
                </c:pt>
                <c:pt idx="561">
                  <c:v>8670.7731656736141</c:v>
                </c:pt>
                <c:pt idx="562">
                  <c:v>8650.4560270290294</c:v>
                </c:pt>
                <c:pt idx="563">
                  <c:v>8630.1921660697099</c:v>
                </c:pt>
                <c:pt idx="564">
                  <c:v>8609.9823827781856</c:v>
                </c:pt>
                <c:pt idx="565">
                  <c:v>8589.8274750020992</c:v>
                </c:pt>
                <c:pt idx="566">
                  <c:v>8569.7282384226964</c:v>
                </c:pt>
                <c:pt idx="567">
                  <c:v>8549.6854665234241</c:v>
                </c:pt>
                <c:pt idx="568">
                  <c:v>8529.6999505585954</c:v>
                </c:pt>
                <c:pt idx="569">
                  <c:v>8509.7724795221638</c:v>
                </c:pt>
                <c:pt idx="570">
                  <c:v>8489.9038401165617</c:v>
                </c:pt>
                <c:pt idx="571">
                  <c:v>8470.0948167216538</c:v>
                </c:pt>
                <c:pt idx="572">
                  <c:v>8450.3461913637639</c:v>
                </c:pt>
                <c:pt idx="573">
                  <c:v>8430.6587436848058</c:v>
                </c:pt>
                <c:pt idx="574">
                  <c:v>8411.0332509115051</c:v>
                </c:pt>
                <c:pt idx="575">
                  <c:v>8391.4704878247103</c:v>
                </c:pt>
                <c:pt idx="576">
                  <c:v>8371.9712267288141</c:v>
                </c:pt>
                <c:pt idx="577">
                  <c:v>8352.5362374212546</c:v>
                </c:pt>
                <c:pt idx="578">
                  <c:v>8333.166287162132</c:v>
                </c:pt>
                <c:pt idx="579">
                  <c:v>8313.8621406439161</c:v>
                </c:pt>
                <c:pt idx="580">
                  <c:v>8294.6245599612557</c:v>
                </c:pt>
                <c:pt idx="581">
                  <c:v>8275.4543045808987</c:v>
                </c:pt>
                <c:pt idx="582">
                  <c:v>8256.3521313117017</c:v>
                </c:pt>
                <c:pt idx="583">
                  <c:v>8237.3187942747572</c:v>
                </c:pt>
                <c:pt idx="584">
                  <c:v>8218.3550448736205</c:v>
                </c:pt>
                <c:pt idx="585">
                  <c:v>8199.4616317646469</c:v>
                </c:pt>
                <c:pt idx="586">
                  <c:v>8180.6393008274372</c:v>
                </c:pt>
                <c:pt idx="587">
                  <c:v>8161.8887951353854</c:v>
                </c:pt>
                <c:pt idx="588">
                  <c:v>8143.2108549263512</c:v>
                </c:pt>
                <c:pt idx="589">
                  <c:v>8124.6062175734323</c:v>
                </c:pt>
                <c:pt idx="590">
                  <c:v>8106.0756175558554</c:v>
                </c:pt>
                <c:pt idx="591">
                  <c:v>8087.6197864299793</c:v>
                </c:pt>
                <c:pt idx="592">
                  <c:v>8069.2394528004152</c:v>
                </c:pt>
                <c:pt idx="593">
                  <c:v>8050.9353422912636</c:v>
                </c:pt>
                <c:pt idx="594">
                  <c:v>8032.7081775174647</c:v>
                </c:pt>
                <c:pt idx="595">
                  <c:v>8014.5586780562744</c:v>
                </c:pt>
                <c:pt idx="596">
                  <c:v>7996.4875604188537</c:v>
                </c:pt>
                <c:pt idx="597">
                  <c:v>7978.4955380219853</c:v>
                </c:pt>
                <c:pt idx="598">
                  <c:v>7960.5833211599056</c:v>
                </c:pt>
                <c:pt idx="599">
                  <c:v>7942.7516169762666</c:v>
                </c:pt>
                <c:pt idx="600">
                  <c:v>7925.0011294362157</c:v>
                </c:pt>
                <c:pt idx="601">
                  <c:v>7907.3325592986066</c:v>
                </c:pt>
                <c:pt idx="602">
                  <c:v>7889.7466040883373</c:v>
                </c:pt>
                <c:pt idx="603">
                  <c:v>7872.2439580688042</c:v>
                </c:pt>
                <c:pt idx="604">
                  <c:v>7854.8253122145052</c:v>
                </c:pt>
                <c:pt idx="605">
                  <c:v>7837.4913541837541</c:v>
                </c:pt>
                <c:pt idx="606">
                  <c:v>7820.2427682915304</c:v>
                </c:pt>
                <c:pt idx="607">
                  <c:v>7803.0802354824727</c:v>
                </c:pt>
                <c:pt idx="608">
                  <c:v>7786.0044333039887</c:v>
                </c:pt>
                <c:pt idx="609">
                  <c:v>7769.016035879511</c:v>
                </c:pt>
                <c:pt idx="610">
                  <c:v>7752.1157138818799</c:v>
                </c:pt>
                <c:pt idx="611">
                  <c:v>7735.3041345068705</c:v>
                </c:pt>
                <c:pt idx="612">
                  <c:v>7718.5819614468501</c:v>
                </c:pt>
                <c:pt idx="613">
                  <c:v>7701.9498548645788</c:v>
                </c:pt>
                <c:pt idx="614">
                  <c:v>7685.4084713671446</c:v>
                </c:pt>
                <c:pt idx="615">
                  <c:v>7668.9584639800451</c:v>
                </c:pt>
                <c:pt idx="616">
                  <c:v>7652.6004821214065</c:v>
                </c:pt>
                <c:pt idx="617">
                  <c:v>7636.335171576342</c:v>
                </c:pt>
                <c:pt idx="618">
                  <c:v>7620.1631744714596</c:v>
                </c:pt>
                <c:pt idx="619">
                  <c:v>7604.0851292495172</c:v>
                </c:pt>
                <c:pt idx="620">
                  <c:v>7588.1016706442078</c:v>
                </c:pt>
                <c:pt idx="621">
                  <c:v>7572.2134296551103</c:v>
                </c:pt>
                <c:pt idx="622">
                  <c:v>7556.4210335227745</c:v>
                </c:pt>
                <c:pt idx="623">
                  <c:v>7540.7251057039557</c:v>
                </c:pt>
                <c:pt idx="624">
                  <c:v>7525.1262658470132</c:v>
                </c:pt>
                <c:pt idx="625">
                  <c:v>7509.6251297674307</c:v>
                </c:pt>
                <c:pt idx="626">
                  <c:v>7494.2223094235205</c:v>
                </c:pt>
                <c:pt idx="627">
                  <c:v>7478.9184128922552</c:v>
                </c:pt>
                <c:pt idx="628">
                  <c:v>7463.7140443452672</c:v>
                </c:pt>
                <c:pt idx="629">
                  <c:v>7448.6098040249908</c:v>
                </c:pt>
                <c:pt idx="630">
                  <c:v>7433.6062882209717</c:v>
                </c:pt>
                <c:pt idx="631">
                  <c:v>7418.7040892463228</c:v>
                </c:pt>
                <c:pt idx="632">
                  <c:v>7403.9037954143441</c:v>
                </c:pt>
                <c:pt idx="633">
                  <c:v>7389.2059910152948</c:v>
                </c:pt>
                <c:pt idx="634">
                  <c:v>7374.611256293324</c:v>
                </c:pt>
                <c:pt idx="635">
                  <c:v>7360.120167423569</c:v>
                </c:pt>
                <c:pt idx="636">
                  <c:v>7345.7332964894076</c:v>
                </c:pt>
                <c:pt idx="637">
                  <c:v>7331.4512114598674</c:v>
                </c:pt>
                <c:pt idx="638">
                  <c:v>7317.274476167212</c:v>
                </c:pt>
                <c:pt idx="639">
                  <c:v>7303.2036502846759</c:v>
                </c:pt>
                <c:pt idx="640">
                  <c:v>7289.2392893043707</c:v>
                </c:pt>
                <c:pt idx="641">
                  <c:v>7275.3819445153586</c:v>
                </c:pt>
                <c:pt idx="642">
                  <c:v>7261.6321629818831</c:v>
                </c:pt>
                <c:pt idx="643">
                  <c:v>7247.990487521778</c:v>
                </c:pt>
                <c:pt idx="644">
                  <c:v>7234.4574566850279</c:v>
                </c:pt>
                <c:pt idx="645">
                  <c:v>7221.0336047325218</c:v>
                </c:pt>
                <c:pt idx="646">
                  <c:v>7207.7194616149482</c:v>
                </c:pt>
                <c:pt idx="647">
                  <c:v>7194.5155529518806</c:v>
                </c:pt>
                <c:pt idx="648">
                  <c:v>7181.4224000110225</c:v>
                </c:pt>
                <c:pt idx="649">
                  <c:v>7168.4405196876351</c:v>
                </c:pt>
                <c:pt idx="650">
                  <c:v>7155.5704244841236</c:v>
                </c:pt>
                <c:pt idx="651">
                  <c:v>7142.8126224898097</c:v>
                </c:pt>
                <c:pt idx="652">
                  <c:v>7130.1676173608721</c:v>
                </c:pt>
                <c:pt idx="653">
                  <c:v>7117.63590830046</c:v>
                </c:pt>
                <c:pt idx="654">
                  <c:v>7105.217990038991</c:v>
                </c:pt>
                <c:pt idx="655">
                  <c:v>7092.9143528146142</c:v>
                </c:pt>
                <c:pt idx="656">
                  <c:v>7080.7254823538606</c:v>
                </c:pt>
                <c:pt idx="657">
                  <c:v>7068.6518598524644</c:v>
                </c:pt>
                <c:pt idx="658">
                  <c:v>7056.69396195637</c:v>
                </c:pt>
                <c:pt idx="659">
                  <c:v>7044.8522607429095</c:v>
                </c:pt>
                <c:pt idx="660">
                  <c:v>7033.1272237021731</c:v>
                </c:pt>
                <c:pt idx="661">
                  <c:v>7021.5193137185433</c:v>
                </c:pt>
                <c:pt idx="662">
                  <c:v>7010.0289890524327</c:v>
                </c:pt>
                <c:pt idx="663">
                  <c:v>6998.6567033221836</c:v>
                </c:pt>
                <c:pt idx="664">
                  <c:v>6987.4029054861658</c:v>
                </c:pt>
                <c:pt idx="665">
                  <c:v>6976.268039825045</c:v>
                </c:pt>
                <c:pt idx="666">
                  <c:v>6965.2525459242552</c:v>
                </c:pt>
                <c:pt idx="667">
                  <c:v>6954.3568586566307</c:v>
                </c:pt>
                <c:pt idx="668">
                  <c:v>6943.5814081652516</c:v>
                </c:pt>
                <c:pt idx="669">
                  <c:v>6932.9266198464502</c:v>
                </c:pt>
                <c:pt idx="670">
                  <c:v>6922.392914333027</c:v>
                </c:pt>
                <c:pt idx="671">
                  <c:v>6911.9807074776381</c:v>
                </c:pt>
                <c:pt idx="672">
                  <c:v>6901.6904103363831</c:v>
                </c:pt>
                <c:pt idx="673">
                  <c:v>6891.522429152571</c:v>
                </c:pt>
                <c:pt idx="674">
                  <c:v>6881.4771653406897</c:v>
                </c:pt>
                <c:pt idx="675">
                  <c:v>6871.5550154705552</c:v>
                </c:pt>
                <c:pt idx="676">
                  <c:v>6861.7563712516539</c:v>
                </c:pt>
                <c:pt idx="677">
                  <c:v>6852.0816195176812</c:v>
                </c:pt>
                <c:pt idx="678">
                  <c:v>6842.5311422112718</c:v>
                </c:pt>
                <c:pt idx="679">
                  <c:v>6833.1053163689139</c:v>
                </c:pt>
                <c:pt idx="680">
                  <c:v>6823.8045141060738</c:v>
                </c:pt>
                <c:pt idx="681">
                  <c:v>6814.6291026024992</c:v>
                </c:pt>
                <c:pt idx="682">
                  <c:v>6805.5794440877244</c:v>
                </c:pt>
                <c:pt idx="683">
                  <c:v>6796.6558958267742</c:v>
                </c:pt>
                <c:pt idx="684">
                  <c:v>6787.8588101060523</c:v>
                </c:pt>
                <c:pt idx="685">
                  <c:v>6779.18853421944</c:v>
                </c:pt>
                <c:pt idx="686">
                  <c:v>6770.6454104545855</c:v>
                </c:pt>
                <c:pt idx="687">
                  <c:v>6762.2297760793845</c:v>
                </c:pt>
                <c:pt idx="688">
                  <c:v>6753.9419633286743</c:v>
                </c:pt>
                <c:pt idx="689">
                  <c:v>6745.7822993911095</c:v>
                </c:pt>
                <c:pt idx="690">
                  <c:v>6737.751106396252</c:v>
                </c:pt>
                <c:pt idx="691">
                  <c:v>6729.8487014018483</c:v>
                </c:pt>
                <c:pt idx="692">
                  <c:v>6722.0753963813186</c:v>
                </c:pt>
                <c:pt idx="693">
                  <c:v>6714.431498211432</c:v>
                </c:pt>
                <c:pt idx="694">
                  <c:v>6706.9173086602041</c:v>
                </c:pt>
                <c:pt idx="695">
                  <c:v>6699.5331243749679</c:v>
                </c:pt>
                <c:pt idx="696">
                  <c:v>6692.2792368706769</c:v>
                </c:pt>
                <c:pt idx="697">
                  <c:v>6685.1559325183898</c:v>
                </c:pt>
                <c:pt idx="698">
                  <c:v>6678.163492533964</c:v>
                </c:pt>
                <c:pt idx="699">
                  <c:v>6671.3021929669576</c:v>
                </c:pt>
                <c:pt idx="700">
                  <c:v>6664.5723046897301</c:v>
                </c:pt>
                <c:pt idx="701">
                  <c:v>6657.9740933867461</c:v>
                </c:pt>
                <c:pt idx="702">
                  <c:v>6651.5078195440901</c:v>
                </c:pt>
                <c:pt idx="703">
                  <c:v>6645.1737384391818</c:v>
                </c:pt>
                <c:pt idx="704">
                  <c:v>6638.9721001306971</c:v>
                </c:pt>
                <c:pt idx="705">
                  <c:v>6632.9031494486971</c:v>
                </c:pt>
                <c:pt idx="706">
                  <c:v>6626.9671259849638</c:v>
                </c:pt>
                <c:pt idx="707">
                  <c:v>6621.1642640835398</c:v>
                </c:pt>
                <c:pt idx="708">
                  <c:v>6615.4947928314768</c:v>
                </c:pt>
                <c:pt idx="709">
                  <c:v>6609.9589360497903</c:v>
                </c:pt>
                <c:pt idx="710">
                  <c:v>6604.55691228463</c:v>
                </c:pt>
                <c:pt idx="711">
                  <c:v>6599.288934798642</c:v>
                </c:pt>
                <c:pt idx="712">
                  <c:v>6594.1552115625582</c:v>
                </c:pt>
                <c:pt idx="713">
                  <c:v>6589.155945246981</c:v>
                </c:pt>
                <c:pt idx="714">
                  <c:v>6584.2913332143853</c:v>
                </c:pt>
                <c:pt idx="715">
                  <c:v>6579.561567511324</c:v>
                </c:pt>
                <c:pt idx="716">
                  <c:v>6574.9668348608493</c:v>
                </c:pt>
                <c:pt idx="717">
                  <c:v>6570.5073166551374</c:v>
                </c:pt>
                <c:pt idx="718">
                  <c:v>6566.1831889483328</c:v>
                </c:pt>
                <c:pt idx="719">
                  <c:v>6561.9946224495916</c:v>
                </c:pt>
                <c:pt idx="720">
                  <c:v>6557.9417825163491</c:v>
                </c:pt>
                <c:pt idx="721">
                  <c:v>6554.0248291477837</c:v>
                </c:pt>
                <c:pt idx="722">
                  <c:v>6550.2439169785093</c:v>
                </c:pt>
                <c:pt idx="723">
                  <c:v>6546.5991952724644</c:v>
                </c:pt>
                <c:pt idx="724">
                  <c:v>6543.0908079170204</c:v>
                </c:pt>
                <c:pt idx="725">
                  <c:v>6539.7188934173046</c:v>
                </c:pt>
                <c:pt idx="726">
                  <c:v>6536.4835848907242</c:v>
                </c:pt>
                <c:pt idx="727">
                  <c:v>6533.3850100617237</c:v>
                </c:pt>
                <c:pt idx="728">
                  <c:v>6530.4232912567304</c:v>
                </c:pt>
                <c:pt idx="729">
                  <c:v>6527.5985453993308</c:v>
                </c:pt>
                <c:pt idx="730">
                  <c:v>6524.910884005656</c:v>
                </c:pt>
                <c:pt idx="731">
                  <c:v>6522.3604131799739</c:v>
                </c:pt>
                <c:pt idx="732">
                  <c:v>6519.9472336105073</c:v>
                </c:pt>
                <c:pt idx="733">
                  <c:v>6517.6714405654529</c:v>
                </c:pt>
                <c:pt idx="734">
                  <c:v>6515.5331238892231</c:v>
                </c:pt>
                <c:pt idx="735">
                  <c:v>6513.5323679988996</c:v>
                </c:pt>
                <c:pt idx="736">
                  <c:v>6511.6692518808977</c:v>
                </c:pt>
                <c:pt idx="737">
                  <c:v>6509.9438490878538</c:v>
                </c:pt>
                <c:pt idx="738">
                  <c:v>6508.3562277357141</c:v>
                </c:pt>
                <c:pt idx="739">
                  <c:v>6506.9064505010519</c:v>
                </c:pt>
                <c:pt idx="740">
                  <c:v>6505.5945746185898</c:v>
                </c:pt>
                <c:pt idx="741">
                  <c:v>6504.4206518789406</c:v>
                </c:pt>
                <c:pt idx="742">
                  <c:v>6503.3847286265654</c:v>
                </c:pt>
                <c:pt idx="743">
                  <c:v>6502.4868457579396</c:v>
                </c:pt>
                <c:pt idx="744">
                  <c:v>6501.7270387199405</c:v>
                </c:pt>
                <c:pt idx="745">
                  <c:v>6501.1053375084512</c:v>
                </c:pt>
                <c:pt idx="746">
                  <c:v>6500.6217666671691</c:v>
                </c:pt>
                <c:pt idx="747">
                  <c:v>6500.2763452866438</c:v>
                </c:pt>
                <c:pt idx="748">
                  <c:v>6500.0690870035205</c:v>
                </c:pt>
                <c:pt idx="749">
                  <c:v>6500</c:v>
                </c:pt>
                <c:pt idx="750">
                  <c:v>6500.0690870035196</c:v>
                </c:pt>
                <c:pt idx="751">
                  <c:v>6500.2763452866429</c:v>
                </c:pt>
                <c:pt idx="752">
                  <c:v>6500.6217666671673</c:v>
                </c:pt>
                <c:pt idx="753">
                  <c:v>6501.1053375084484</c:v>
                </c:pt>
                <c:pt idx="754">
                  <c:v>6501.7270387199378</c:v>
                </c:pt>
                <c:pt idx="755">
                  <c:v>6502.486845757936</c:v>
                </c:pt>
                <c:pt idx="756">
                  <c:v>6503.3847286265609</c:v>
                </c:pt>
                <c:pt idx="757">
                  <c:v>6504.420651878936</c:v>
                </c:pt>
                <c:pt idx="758">
                  <c:v>6505.5945746185835</c:v>
                </c:pt>
                <c:pt idx="759">
                  <c:v>6506.9064505010447</c:v>
                </c:pt>
                <c:pt idx="760">
                  <c:v>6508.3562277357069</c:v>
                </c:pt>
                <c:pt idx="761">
                  <c:v>6509.9438490878456</c:v>
                </c:pt>
                <c:pt idx="762">
                  <c:v>6511.6692518808895</c:v>
                </c:pt>
                <c:pt idx="763">
                  <c:v>6513.5323679988905</c:v>
                </c:pt>
                <c:pt idx="764">
                  <c:v>6515.5331238892131</c:v>
                </c:pt>
                <c:pt idx="765">
                  <c:v>6517.671440565442</c:v>
                </c:pt>
                <c:pt idx="766">
                  <c:v>6519.9472336104955</c:v>
                </c:pt>
                <c:pt idx="767">
                  <c:v>6522.3604131799621</c:v>
                </c:pt>
                <c:pt idx="768">
                  <c:v>6524.9108840056433</c:v>
                </c:pt>
                <c:pt idx="769">
                  <c:v>6527.5985453993171</c:v>
                </c:pt>
                <c:pt idx="770">
                  <c:v>6530.4232912567159</c:v>
                </c:pt>
                <c:pt idx="771">
                  <c:v>6533.3850100617092</c:v>
                </c:pt>
                <c:pt idx="772">
                  <c:v>6536.4835848907096</c:v>
                </c:pt>
                <c:pt idx="773">
                  <c:v>6539.7188934172882</c:v>
                </c:pt>
                <c:pt idx="774">
                  <c:v>6543.090807917004</c:v>
                </c:pt>
                <c:pt idx="775">
                  <c:v>6546.5991952724471</c:v>
                </c:pt>
                <c:pt idx="776">
                  <c:v>6550.2439169784921</c:v>
                </c:pt>
                <c:pt idx="777">
                  <c:v>6554.0248291477656</c:v>
                </c:pt>
                <c:pt idx="778">
                  <c:v>6557.9417825163291</c:v>
                </c:pt>
                <c:pt idx="779">
                  <c:v>6561.9946224495725</c:v>
                </c:pt>
                <c:pt idx="780">
                  <c:v>6566.1831889483119</c:v>
                </c:pt>
                <c:pt idx="781">
                  <c:v>6570.5073166551165</c:v>
                </c:pt>
                <c:pt idx="782">
                  <c:v>6574.9668348608266</c:v>
                </c:pt>
                <c:pt idx="783">
                  <c:v>6579.5615675113022</c:v>
                </c:pt>
                <c:pt idx="784">
                  <c:v>6584.2913332143617</c:v>
                </c:pt>
                <c:pt idx="785">
                  <c:v>6589.1559452469573</c:v>
                </c:pt>
                <c:pt idx="786">
                  <c:v>6594.1552115625327</c:v>
                </c:pt>
                <c:pt idx="787">
                  <c:v>6599.2889347986165</c:v>
                </c:pt>
                <c:pt idx="788">
                  <c:v>6604.5569122846036</c:v>
                </c:pt>
                <c:pt idx="789">
                  <c:v>6609.9589360497639</c:v>
                </c:pt>
                <c:pt idx="790">
                  <c:v>6615.4947928314496</c:v>
                </c:pt>
                <c:pt idx="791">
                  <c:v>6621.1642640835125</c:v>
                </c:pt>
                <c:pt idx="792">
                  <c:v>6626.9671259849365</c:v>
                </c:pt>
                <c:pt idx="793">
                  <c:v>6632.903149448668</c:v>
                </c:pt>
                <c:pt idx="794">
                  <c:v>6638.9721001306671</c:v>
                </c:pt>
                <c:pt idx="795">
                  <c:v>6645.1737384391508</c:v>
                </c:pt>
                <c:pt idx="796">
                  <c:v>6651.5078195440583</c:v>
                </c:pt>
                <c:pt idx="797">
                  <c:v>6657.9740933867142</c:v>
                </c:pt>
                <c:pt idx="798">
                  <c:v>6664.5723046896974</c:v>
                </c:pt>
                <c:pt idx="799">
                  <c:v>6671.3021929669248</c:v>
                </c:pt>
                <c:pt idx="800">
                  <c:v>6678.1634925339295</c:v>
                </c:pt>
                <c:pt idx="801">
                  <c:v>6685.1559325183553</c:v>
                </c:pt>
                <c:pt idx="802">
                  <c:v>6692.2792368706414</c:v>
                </c:pt>
                <c:pt idx="803">
                  <c:v>6699.5331243749315</c:v>
                </c:pt>
                <c:pt idx="804">
                  <c:v>6706.9173086601677</c:v>
                </c:pt>
                <c:pt idx="805">
                  <c:v>6714.4314982113956</c:v>
                </c:pt>
                <c:pt idx="806">
                  <c:v>6722.0753963812804</c:v>
                </c:pt>
                <c:pt idx="807">
                  <c:v>6729.8487014018101</c:v>
                </c:pt>
                <c:pt idx="808">
                  <c:v>6737.7511063962129</c:v>
                </c:pt>
                <c:pt idx="809">
                  <c:v>6745.7822993910704</c:v>
                </c:pt>
                <c:pt idx="810">
                  <c:v>6753.9419633286343</c:v>
                </c:pt>
                <c:pt idx="811">
                  <c:v>6762.2297760793444</c:v>
                </c:pt>
                <c:pt idx="812">
                  <c:v>6770.6454104545446</c:v>
                </c:pt>
                <c:pt idx="813">
                  <c:v>6779.1885342193982</c:v>
                </c:pt>
                <c:pt idx="814">
                  <c:v>6787.8588101060086</c:v>
                </c:pt>
                <c:pt idx="815">
                  <c:v>6796.6558958267306</c:v>
                </c:pt>
                <c:pt idx="816">
                  <c:v>6805.5794440876807</c:v>
                </c:pt>
                <c:pt idx="817">
                  <c:v>6814.6291026024537</c:v>
                </c:pt>
                <c:pt idx="818">
                  <c:v>6823.8045141060284</c:v>
                </c:pt>
                <c:pt idx="819">
                  <c:v>6833.1053163688684</c:v>
                </c:pt>
                <c:pt idx="820">
                  <c:v>6842.5311422112245</c:v>
                </c:pt>
                <c:pt idx="821">
                  <c:v>6852.0816195176349</c:v>
                </c:pt>
                <c:pt idx="822">
                  <c:v>6861.7563712516057</c:v>
                </c:pt>
                <c:pt idx="823">
                  <c:v>6871.555015470507</c:v>
                </c:pt>
                <c:pt idx="824">
                  <c:v>6881.4771653406415</c:v>
                </c:pt>
                <c:pt idx="825">
                  <c:v>6891.522429152521</c:v>
                </c:pt>
                <c:pt idx="826">
                  <c:v>6901.6904103363322</c:v>
                </c:pt>
                <c:pt idx="827">
                  <c:v>6911.9807074775881</c:v>
                </c:pt>
                <c:pt idx="828">
                  <c:v>6922.3929143329769</c:v>
                </c:pt>
                <c:pt idx="829">
                  <c:v>6932.9266198463993</c:v>
                </c:pt>
                <c:pt idx="830">
                  <c:v>6943.5814081651988</c:v>
                </c:pt>
                <c:pt idx="831">
                  <c:v>6954.356858656578</c:v>
                </c:pt>
                <c:pt idx="832">
                  <c:v>6965.2525459242015</c:v>
                </c:pt>
                <c:pt idx="833">
                  <c:v>6976.2680398249913</c:v>
                </c:pt>
                <c:pt idx="834">
                  <c:v>6987.4029054861112</c:v>
                </c:pt>
                <c:pt idx="835">
                  <c:v>6998.656703322129</c:v>
                </c:pt>
                <c:pt idx="836">
                  <c:v>7010.0289890523773</c:v>
                </c:pt>
                <c:pt idx="837">
                  <c:v>7021.519313718487</c:v>
                </c:pt>
                <c:pt idx="838">
                  <c:v>7033.1272237021158</c:v>
                </c:pt>
                <c:pt idx="839">
                  <c:v>7044.8522607428531</c:v>
                </c:pt>
                <c:pt idx="840">
                  <c:v>7056.6939619563118</c:v>
                </c:pt>
                <c:pt idx="841">
                  <c:v>7068.6518598524053</c:v>
                </c:pt>
                <c:pt idx="842">
                  <c:v>7080.7254823538005</c:v>
                </c:pt>
                <c:pt idx="843">
                  <c:v>7092.9143528145541</c:v>
                </c:pt>
                <c:pt idx="844">
                  <c:v>7105.217990038931</c:v>
                </c:pt>
                <c:pt idx="845">
                  <c:v>7117.635908300399</c:v>
                </c:pt>
                <c:pt idx="846">
                  <c:v>7130.1676173608103</c:v>
                </c:pt>
                <c:pt idx="847">
                  <c:v>7142.8126224897478</c:v>
                </c:pt>
                <c:pt idx="848">
                  <c:v>7155.5704244840617</c:v>
                </c:pt>
                <c:pt idx="849">
                  <c:v>7168.4405196875723</c:v>
                </c:pt>
                <c:pt idx="850">
                  <c:v>7181.4224000109589</c:v>
                </c:pt>
                <c:pt idx="851">
                  <c:v>7194.5155529518161</c:v>
                </c:pt>
                <c:pt idx="852">
                  <c:v>7207.7194616148845</c:v>
                </c:pt>
                <c:pt idx="853">
                  <c:v>7221.0336047324572</c:v>
                </c:pt>
                <c:pt idx="854">
                  <c:v>7234.4574566849624</c:v>
                </c:pt>
                <c:pt idx="855">
                  <c:v>7247.9904875217107</c:v>
                </c:pt>
                <c:pt idx="856">
                  <c:v>7261.6321629818167</c:v>
                </c:pt>
                <c:pt idx="857">
                  <c:v>7275.3819445152913</c:v>
                </c:pt>
                <c:pt idx="858">
                  <c:v>7289.2392893043034</c:v>
                </c:pt>
                <c:pt idx="859">
                  <c:v>7303.2036502846076</c:v>
                </c:pt>
                <c:pt idx="860">
                  <c:v>7317.2744761671438</c:v>
                </c:pt>
                <c:pt idx="861">
                  <c:v>7331.4512114597983</c:v>
                </c:pt>
                <c:pt idx="862">
                  <c:v>7345.7332964893376</c:v>
                </c:pt>
                <c:pt idx="863">
                  <c:v>7360.1201674234999</c:v>
                </c:pt>
                <c:pt idx="864">
                  <c:v>7374.6112562932522</c:v>
                </c:pt>
                <c:pt idx="865">
                  <c:v>7389.2059910152211</c:v>
                </c:pt>
                <c:pt idx="866">
                  <c:v>7403.9037954142696</c:v>
                </c:pt>
                <c:pt idx="867">
                  <c:v>7418.7040892462464</c:v>
                </c:pt>
                <c:pt idx="868">
                  <c:v>7433.6062882208935</c:v>
                </c:pt>
                <c:pt idx="869">
                  <c:v>7448.6098040249108</c:v>
                </c:pt>
                <c:pt idx="870">
                  <c:v>7463.7140443451863</c:v>
                </c:pt>
                <c:pt idx="871">
                  <c:v>7478.9184128921734</c:v>
                </c:pt>
                <c:pt idx="872">
                  <c:v>7494.2223094234359</c:v>
                </c:pt>
                <c:pt idx="873">
                  <c:v>7509.6251297673443</c:v>
                </c:pt>
                <c:pt idx="874">
                  <c:v>7525.126265846925</c:v>
                </c:pt>
                <c:pt idx="875">
                  <c:v>7540.7251057038666</c:v>
                </c:pt>
                <c:pt idx="876">
                  <c:v>7556.4210335226835</c:v>
                </c:pt>
                <c:pt idx="877">
                  <c:v>7572.2134296550175</c:v>
                </c:pt>
                <c:pt idx="878">
                  <c:v>7588.1016706441133</c:v>
                </c:pt>
                <c:pt idx="879">
                  <c:v>7604.0851292494208</c:v>
                </c:pt>
                <c:pt idx="880">
                  <c:v>7620.1631744713623</c:v>
                </c:pt>
                <c:pt idx="881">
                  <c:v>7636.3351715762419</c:v>
                </c:pt>
                <c:pt idx="882">
                  <c:v>7652.6004821213046</c:v>
                </c:pt>
                <c:pt idx="883">
                  <c:v>7668.9584639799432</c:v>
                </c:pt>
                <c:pt idx="884">
                  <c:v>7685.40847136704</c:v>
                </c:pt>
                <c:pt idx="885">
                  <c:v>7701.9498548644715</c:v>
                </c:pt>
                <c:pt idx="886">
                  <c:v>7718.5819614467418</c:v>
                </c:pt>
                <c:pt idx="887">
                  <c:v>7735.3041345067604</c:v>
                </c:pt>
                <c:pt idx="888">
                  <c:v>7752.115713881768</c:v>
                </c:pt>
                <c:pt idx="889">
                  <c:v>7769.0160358793964</c:v>
                </c:pt>
                <c:pt idx="890">
                  <c:v>7786.0044333038732</c:v>
                </c:pt>
                <c:pt idx="891">
                  <c:v>7803.0802354823554</c:v>
                </c:pt>
                <c:pt idx="892">
                  <c:v>7820.2427682914113</c:v>
                </c:pt>
                <c:pt idx="893">
                  <c:v>7837.4913541836322</c:v>
                </c:pt>
                <c:pt idx="894">
                  <c:v>7854.8253122143833</c:v>
                </c:pt>
                <c:pt idx="895">
                  <c:v>7872.2439580686805</c:v>
                </c:pt>
                <c:pt idx="896">
                  <c:v>7889.74660408821</c:v>
                </c:pt>
                <c:pt idx="897">
                  <c:v>7907.3325592984784</c:v>
                </c:pt>
                <c:pt idx="898">
                  <c:v>7925.0011294360847</c:v>
                </c:pt>
                <c:pt idx="899">
                  <c:v>7942.7516169761348</c:v>
                </c:pt>
                <c:pt idx="900">
                  <c:v>7960.5833211597719</c:v>
                </c:pt>
                <c:pt idx="901">
                  <c:v>7978.4955380218498</c:v>
                </c:pt>
                <c:pt idx="902">
                  <c:v>7996.4875604187164</c:v>
                </c:pt>
                <c:pt idx="903">
                  <c:v>8014.5586780561343</c:v>
                </c:pt>
                <c:pt idx="904">
                  <c:v>8032.7081775173228</c:v>
                </c:pt>
                <c:pt idx="905">
                  <c:v>8050.9353422911208</c:v>
                </c:pt>
                <c:pt idx="906">
                  <c:v>8069.2394528002696</c:v>
                </c:pt>
                <c:pt idx="907">
                  <c:v>8087.6197864298319</c:v>
                </c:pt>
                <c:pt idx="908">
                  <c:v>8106.0756175557071</c:v>
                </c:pt>
                <c:pt idx="909">
                  <c:v>8124.6062175732814</c:v>
                </c:pt>
                <c:pt idx="910">
                  <c:v>8143.2108549261993</c:v>
                </c:pt>
                <c:pt idx="911">
                  <c:v>8161.8887951352308</c:v>
                </c:pt>
                <c:pt idx="912">
                  <c:v>8180.6393008272807</c:v>
                </c:pt>
                <c:pt idx="913">
                  <c:v>8199.4616317644886</c:v>
                </c:pt>
                <c:pt idx="914">
                  <c:v>8218.3550448734604</c:v>
                </c:pt>
                <c:pt idx="915">
                  <c:v>8237.3187942745953</c:v>
                </c:pt>
                <c:pt idx="916">
                  <c:v>8256.352131311538</c:v>
                </c:pt>
                <c:pt idx="917">
                  <c:v>8275.4543045807332</c:v>
                </c:pt>
                <c:pt idx="918">
                  <c:v>8294.6245599610884</c:v>
                </c:pt>
                <c:pt idx="919">
                  <c:v>8313.8621406437451</c:v>
                </c:pt>
                <c:pt idx="920">
                  <c:v>8333.166287161961</c:v>
                </c:pt>
                <c:pt idx="921">
                  <c:v>8352.5362374210818</c:v>
                </c:pt>
                <c:pt idx="922">
                  <c:v>8371.9712267286395</c:v>
                </c:pt>
                <c:pt idx="923">
                  <c:v>8391.4704878245338</c:v>
                </c:pt>
                <c:pt idx="924">
                  <c:v>8411.033250911325</c:v>
                </c:pt>
                <c:pt idx="925">
                  <c:v>8430.6587436846239</c:v>
                </c:pt>
                <c:pt idx="926">
                  <c:v>8450.3461913635801</c:v>
                </c:pt>
                <c:pt idx="927">
                  <c:v>8470.0948167214683</c:v>
                </c:pt>
                <c:pt idx="928">
                  <c:v>8489.9038401163743</c:v>
                </c:pt>
                <c:pt idx="929">
                  <c:v>8509.7724795219747</c:v>
                </c:pt>
                <c:pt idx="930">
                  <c:v>8529.6999505584045</c:v>
                </c:pt>
                <c:pt idx="931">
                  <c:v>8549.6854665232295</c:v>
                </c:pt>
                <c:pt idx="932">
                  <c:v>8569.7282384225</c:v>
                </c:pt>
                <c:pt idx="933">
                  <c:v>8589.8274750019009</c:v>
                </c:pt>
                <c:pt idx="934">
                  <c:v>8609.9823827779855</c:v>
                </c:pt>
                <c:pt idx="935">
                  <c:v>8630.1921660695079</c:v>
                </c:pt>
                <c:pt idx="936">
                  <c:v>8650.4560270288275</c:v>
                </c:pt>
                <c:pt idx="937">
                  <c:v>8670.7731656734086</c:v>
                </c:pt>
                <c:pt idx="938">
                  <c:v>8691.1427799174089</c:v>
                </c:pt>
                <c:pt idx="939">
                  <c:v>8711.5640656033356</c:v>
                </c:pt>
                <c:pt idx="940">
                  <c:v>8732.0362165337974</c:v>
                </c:pt>
                <c:pt idx="941">
                  <c:v>8752.5584245033278</c:v>
                </c:pt>
                <c:pt idx="942">
                  <c:v>8773.1298793302958</c:v>
                </c:pt>
                <c:pt idx="943">
                  <c:v>8793.7497688888907</c:v>
                </c:pt>
                <c:pt idx="944">
                  <c:v>8814.4172791411784</c:v>
                </c:pt>
                <c:pt idx="945">
                  <c:v>8835.1315941692428</c:v>
                </c:pt>
                <c:pt idx="946">
                  <c:v>8855.8918962073967</c:v>
                </c:pt>
                <c:pt idx="947">
                  <c:v>8876.6973656744594</c:v>
                </c:pt>
                <c:pt idx="948">
                  <c:v>8897.5471812061242</c:v>
                </c:pt>
                <c:pt idx="949">
                  <c:v>8918.4405196873722</c:v>
                </c:pt>
                <c:pt idx="950">
                  <c:v>8939.3765562849785</c:v>
                </c:pt>
                <c:pt idx="951">
                  <c:v>8960.3544644800622</c:v>
                </c:pt>
                <c:pt idx="952">
                  <c:v>8981.3734161007324</c:v>
                </c:pt>
                <c:pt idx="953">
                  <c:v>9002.4325813547639</c:v>
                </c:pt>
                <c:pt idx="954">
                  <c:v>9023.5311288623761</c:v>
                </c:pt>
                <c:pt idx="955">
                  <c:v>9044.6682256890381</c:v>
                </c:pt>
                <c:pt idx="956">
                  <c:v>9065.8430373783613</c:v>
                </c:pt>
                <c:pt idx="957">
                  <c:v>9087.0547279850343</c:v>
                </c:pt>
                <c:pt idx="958">
                  <c:v>9108.3024601078341</c:v>
                </c:pt>
                <c:pt idx="959">
                  <c:v>9129.5853949226785</c:v>
                </c:pt>
                <c:pt idx="960">
                  <c:v>9150.9026922157427</c:v>
                </c:pt>
                <c:pt idx="961">
                  <c:v>9172.2535104166291</c:v>
                </c:pt>
                <c:pt idx="962">
                  <c:v>9193.6370066315976</c:v>
                </c:pt>
                <c:pt idx="963">
                  <c:v>9215.0523366768284</c:v>
                </c:pt>
                <c:pt idx="964">
                  <c:v>9236.4986551117618</c:v>
                </c:pt>
                <c:pt idx="965">
                  <c:v>9257.9751152724675</c:v>
                </c:pt>
                <c:pt idx="966">
                  <c:v>9279.4808693050727</c:v>
                </c:pt>
                <c:pt idx="967">
                  <c:v>9301.0150681992309</c:v>
                </c:pt>
                <c:pt idx="968">
                  <c:v>9322.5768618216425</c:v>
                </c:pt>
                <c:pt idx="969">
                  <c:v>9344.1653989496153</c:v>
                </c:pt>
                <c:pt idx="970">
                  <c:v>9365.7798273046683</c:v>
                </c:pt>
                <c:pt idx="971">
                  <c:v>9387.4192935861829</c:v>
                </c:pt>
                <c:pt idx="972">
                  <c:v>9409.0829435050782</c:v>
                </c:pt>
                <c:pt idx="973">
                  <c:v>9430.7699218175512</c:v>
                </c:pt>
                <c:pt idx="974">
                  <c:v>9452.4793723588355</c:v>
                </c:pt>
                <c:pt idx="975">
                  <c:v>9474.2104380769924</c:v>
                </c:pt>
                <c:pt idx="976">
                  <c:v>9495.9622610667575</c:v>
                </c:pt>
                <c:pt idx="977">
                  <c:v>9517.733982603404</c:v>
                </c:pt>
                <c:pt idx="978">
                  <c:v>9539.5247431766475</c:v>
                </c:pt>
                <c:pt idx="979">
                  <c:v>9561.3336825245697</c:v>
                </c:pt>
                <c:pt idx="980">
                  <c:v>9583.1599396675883</c:v>
                </c:pt>
                <c:pt idx="981">
                  <c:v>9605.0026529424449</c:v>
                </c:pt>
                <c:pt idx="982">
                  <c:v>9626.8609600362197</c:v>
                </c:pt>
                <c:pt idx="983">
                  <c:v>9648.733998020376</c:v>
                </c:pt>
                <c:pt idx="984">
                  <c:v>9670.6209033848263</c:v>
                </c:pt>
                <c:pt idx="985">
                  <c:v>9692.5208120720235</c:v>
                </c:pt>
                <c:pt idx="986">
                  <c:v>9714.4328595110728</c:v>
                </c:pt>
                <c:pt idx="987">
                  <c:v>9736.3561806518574</c:v>
                </c:pt>
                <c:pt idx="988">
                  <c:v>9758.2899099991992</c:v>
                </c:pt>
                <c:pt idx="989">
                  <c:v>9780.2331816470214</c:v>
                </c:pt>
                <c:pt idx="990">
                  <c:v>9802.185129312531</c:v>
                </c:pt>
                <c:pt idx="991">
                  <c:v>9824.1448863704227</c:v>
                </c:pt>
                <c:pt idx="992">
                  <c:v>9846.1115858870871</c:v>
                </c:pt>
                <c:pt idx="993">
                  <c:v>9868.0843606548424</c:v>
                </c:pt>
                <c:pt idx="994">
                  <c:v>9890.0623432261618</c:v>
                </c:pt>
                <c:pt idx="995">
                  <c:v>9912.0446659479294</c:v>
                </c:pt>
                <c:pt idx="996">
                  <c:v>9934.0304609956802</c:v>
                </c:pt>
                <c:pt idx="997">
                  <c:v>9956.0188604078721</c:v>
                </c:pt>
                <c:pt idx="998">
                  <c:v>9978.0089961201502</c:v>
                </c:pt>
                <c:pt idx="999">
                  <c:v>9999.9999999996035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A2-4307-AD6A-F1F5CF687DAD}"/>
            </c:ext>
          </c:extLst>
        </c:ser>
        <c:ser>
          <c:idx val="2"/>
          <c:order val="2"/>
          <c:tx>
            <c:v>planète 3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'Conditions initiale'!$V$5:$V$1004</c:f>
              <c:numCache>
                <c:formatCode>General</c:formatCode>
                <c:ptCount val="1000"/>
                <c:pt idx="0">
                  <c:v>-9.8695719314491726E-2</c:v>
                </c:pt>
                <c:pt idx="1">
                  <c:v>-0.39477898091899988</c:v>
                </c:pt>
                <c:pt idx="2">
                  <c:v>-0.88823809595487546</c:v>
                </c:pt>
                <c:pt idx="3">
                  <c:v>-1.5790535835003539</c:v>
                </c:pt>
                <c:pt idx="4">
                  <c:v>-2.4671981713418063</c:v>
                </c:pt>
                <c:pt idx="5">
                  <c:v>-3.5526367970542196</c:v>
                </c:pt>
                <c:pt idx="6">
                  <c:v>-4.8353266093763523</c:v>
                </c:pt>
                <c:pt idx="7">
                  <c:v>-6.3152169699123988</c:v>
                </c:pt>
                <c:pt idx="8">
                  <c:v>-7.9922494551246928</c:v>
                </c:pt>
                <c:pt idx="9">
                  <c:v>-9.8663578586420044</c:v>
                </c:pt>
                <c:pt idx="10">
                  <c:v>-11.937468193873428</c:v>
                </c:pt>
                <c:pt idx="11">
                  <c:v>-14.20549869693059</c:v>
                </c:pt>
                <c:pt idx="12">
                  <c:v>-16.670359829850895</c:v>
                </c:pt>
                <c:pt idx="13">
                  <c:v>-19.331954284137282</c:v>
                </c:pt>
                <c:pt idx="14">
                  <c:v>-22.19017698459993</c:v>
                </c:pt>
                <c:pt idx="15">
                  <c:v>-25.244915093499003</c:v>
                </c:pt>
                <c:pt idx="16">
                  <c:v>-28.496048015005726</c:v>
                </c:pt>
                <c:pt idx="17">
                  <c:v>-31.943447399958131</c:v>
                </c:pt>
                <c:pt idx="18">
                  <c:v>-35.586977150931489</c:v>
                </c:pt>
                <c:pt idx="19">
                  <c:v>-39.426493427610694</c:v>
                </c:pt>
                <c:pt idx="20">
                  <c:v>-43.461844652467335</c:v>
                </c:pt>
                <c:pt idx="21">
                  <c:v>-47.692871516744162</c:v>
                </c:pt>
                <c:pt idx="22">
                  <c:v>-52.119406986745162</c:v>
                </c:pt>
                <c:pt idx="23">
                  <c:v>-56.741276310429384</c:v>
                </c:pt>
                <c:pt idx="24">
                  <c:v>-61.558297024311287</c:v>
                </c:pt>
                <c:pt idx="25">
                  <c:v>-66.57027896065938</c:v>
                </c:pt>
                <c:pt idx="26">
                  <c:v>-71.777024255009565</c:v>
                </c:pt>
                <c:pt idx="27">
                  <c:v>-77.178327353973145</c:v>
                </c:pt>
                <c:pt idx="28">
                  <c:v>-82.77397502335134</c:v>
                </c:pt>
                <c:pt idx="29">
                  <c:v>-88.563746356556294</c:v>
                </c:pt>
                <c:pt idx="30">
                  <c:v>-94.547412783329492</c:v>
                </c:pt>
                <c:pt idx="31">
                  <c:v>-100.72473807876577</c:v>
                </c:pt>
                <c:pt idx="32">
                  <c:v>-107.09547837263926</c:v>
                </c:pt>
                <c:pt idx="33">
                  <c:v>-113.65938215903225</c:v>
                </c:pt>
                <c:pt idx="34">
                  <c:v>-120.41619030626316</c:v>
                </c:pt>
                <c:pt idx="35">
                  <c:v>-127.36563606711479</c:v>
                </c:pt>
                <c:pt idx="36">
                  <c:v>-134.50744508936714</c:v>
                </c:pt>
                <c:pt idx="37">
                  <c:v>-141.84133542663039</c:v>
                </c:pt>
                <c:pt idx="38">
                  <c:v>-149.3670175494708</c:v>
                </c:pt>
                <c:pt idx="39">
                  <c:v>-157.08419435684482</c:v>
                </c:pt>
                <c:pt idx="40">
                  <c:v>-164.99256118782432</c:v>
                </c:pt>
                <c:pt idx="41">
                  <c:v>-173.09180583363104</c:v>
                </c:pt>
                <c:pt idx="42">
                  <c:v>-181.38160854995112</c:v>
                </c:pt>
                <c:pt idx="43">
                  <c:v>-189.86164206957073</c:v>
                </c:pt>
                <c:pt idx="44">
                  <c:v>-198.53157161528452</c:v>
                </c:pt>
                <c:pt idx="45">
                  <c:v>-207.39105491312057</c:v>
                </c:pt>
                <c:pt idx="46">
                  <c:v>-216.43974220584732</c:v>
                </c:pt>
                <c:pt idx="47">
                  <c:v>-225.67727626678516</c:v>
                </c:pt>
                <c:pt idx="48">
                  <c:v>-235.10329241390536</c:v>
                </c:pt>
                <c:pt idx="49">
                  <c:v>-244.71741852423202</c:v>
                </c:pt>
                <c:pt idx="50">
                  <c:v>-254.51927504852665</c:v>
                </c:pt>
                <c:pt idx="51">
                  <c:v>-264.50847502627857</c:v>
                </c:pt>
                <c:pt idx="52">
                  <c:v>-274.68462410097618</c:v>
                </c:pt>
                <c:pt idx="53">
                  <c:v>-285.0473205356775</c:v>
                </c:pt>
                <c:pt idx="54">
                  <c:v>-295.5961552288727</c:v>
                </c:pt>
                <c:pt idx="55">
                  <c:v>-306.33071173062945</c:v>
                </c:pt>
                <c:pt idx="56">
                  <c:v>-317.25056625903835</c:v>
                </c:pt>
                <c:pt idx="57">
                  <c:v>-328.35528771693953</c:v>
                </c:pt>
                <c:pt idx="58">
                  <c:v>-339.64443770894559</c:v>
                </c:pt>
                <c:pt idx="59">
                  <c:v>-351.11757055874295</c:v>
                </c:pt>
                <c:pt idx="60">
                  <c:v>-362.77423332669332</c:v>
                </c:pt>
                <c:pt idx="61">
                  <c:v>-374.61396582770976</c:v>
                </c:pt>
                <c:pt idx="62">
                  <c:v>-386.63630064942572</c:v>
                </c:pt>
                <c:pt idx="63">
                  <c:v>-398.84076317064773</c:v>
                </c:pt>
                <c:pt idx="64">
                  <c:v>-411.22687158009467</c:v>
                </c:pt>
                <c:pt idx="65">
                  <c:v>-423.79413689541161</c:v>
                </c:pt>
                <c:pt idx="66">
                  <c:v>-436.54206298248573</c:v>
                </c:pt>
                <c:pt idx="67">
                  <c:v>-449.47014657502132</c:v>
                </c:pt>
                <c:pt idx="68">
                  <c:v>-462.57787729441498</c:v>
                </c:pt>
                <c:pt idx="69">
                  <c:v>-475.86473766990184</c:v>
                </c:pt>
                <c:pt idx="70">
                  <c:v>-489.33020315898557</c:v>
                </c:pt>
                <c:pt idx="71">
                  <c:v>-502.97374216814478</c:v>
                </c:pt>
                <c:pt idx="72">
                  <c:v>-516.79481607382058</c:v>
                </c:pt>
                <c:pt idx="73">
                  <c:v>-530.79287924368055</c:v>
                </c:pt>
                <c:pt idx="74">
                  <c:v>-544.96737905816008</c:v>
                </c:pt>
                <c:pt idx="75">
                  <c:v>-559.31775593227667</c:v>
                </c:pt>
                <c:pt idx="76">
                  <c:v>-573.84344333772333</c:v>
                </c:pt>
                <c:pt idx="77">
                  <c:v>-588.54386782523306</c:v>
                </c:pt>
                <c:pt idx="78">
                  <c:v>-603.41844904721802</c:v>
                </c:pt>
                <c:pt idx="79">
                  <c:v>-618.46659978068237</c:v>
                </c:pt>
                <c:pt idx="80">
                  <c:v>-633.687725950399</c:v>
                </c:pt>
                <c:pt idx="81">
                  <c:v>-649.0812266523717</c:v>
                </c:pt>
                <c:pt idx="82">
                  <c:v>-664.64649417755027</c:v>
                </c:pt>
                <c:pt idx="83">
                  <c:v>-680.38291403582389</c:v>
                </c:pt>
                <c:pt idx="84">
                  <c:v>-696.28986498028189</c:v>
                </c:pt>
                <c:pt idx="85">
                  <c:v>-712.36671903173919</c:v>
                </c:pt>
                <c:pt idx="86">
                  <c:v>-728.61284150352458</c:v>
                </c:pt>
                <c:pt idx="87">
                  <c:v>-745.02759102654181</c:v>
                </c:pt>
                <c:pt idx="88">
                  <c:v>-761.61031957458454</c:v>
                </c:pt>
                <c:pt idx="89">
                  <c:v>-778.36037248992579</c:v>
                </c:pt>
                <c:pt idx="90">
                  <c:v>-795.27708850915587</c:v>
                </c:pt>
                <c:pt idx="91">
                  <c:v>-812.35979978929299</c:v>
                </c:pt>
                <c:pt idx="92">
                  <c:v>-829.60783193414591</c:v>
                </c:pt>
                <c:pt idx="93">
                  <c:v>-847.02050402093846</c:v>
                </c:pt>
                <c:pt idx="94">
                  <c:v>-864.59712862719334</c:v>
                </c:pt>
                <c:pt idx="95">
                  <c:v>-882.33701185786504</c:v>
                </c:pt>
                <c:pt idx="96">
                  <c:v>-900.23945337274108</c:v>
                </c:pt>
                <c:pt idx="97">
                  <c:v>-918.30374641408253</c:v>
                </c:pt>
                <c:pt idx="98">
                  <c:v>-936.52917783453313</c:v>
                </c:pt>
                <c:pt idx="99">
                  <c:v>-954.91502812526551</c:v>
                </c:pt>
                <c:pt idx="100">
                  <c:v>-973.46057144439328</c:v>
                </c:pt>
                <c:pt idx="101">
                  <c:v>-992.16507564562016</c:v>
                </c:pt>
                <c:pt idx="102">
                  <c:v>-1011.0278023071482</c:v>
                </c:pt>
                <c:pt idx="103">
                  <c:v>-1030.0480067608269</c:v>
                </c:pt>
                <c:pt idx="104">
                  <c:v>-1049.224938121552</c:v>
                </c:pt>
                <c:pt idx="105">
                  <c:v>-1068.5578393169094</c:v>
                </c:pt>
                <c:pt idx="106">
                  <c:v>-1088.0459471170634</c:v>
                </c:pt>
                <c:pt idx="107">
                  <c:v>-1107.6884921648871</c:v>
                </c:pt>
                <c:pt idx="108">
                  <c:v>-1127.4846990063352</c:v>
                </c:pt>
                <c:pt idx="109">
                  <c:v>-1147.4337861210588</c:v>
                </c:pt>
                <c:pt idx="110">
                  <c:v>-1167.5349659532558</c:v>
                </c:pt>
                <c:pt idx="111">
                  <c:v>-1187.7874449427659</c:v>
                </c:pt>
                <c:pt idx="112">
                  <c:v>-1208.1904235563961</c:v>
                </c:pt>
                <c:pt idx="113">
                  <c:v>-1228.7430963194865</c:v>
                </c:pt>
                <c:pt idx="114">
                  <c:v>-1249.444651847708</c:v>
                </c:pt>
                <c:pt idx="115">
                  <c:v>-1270.2942728790954</c:v>
                </c:pt>
                <c:pt idx="116">
                  <c:v>-1291.2911363063099</c:v>
                </c:pt>
                <c:pt idx="117">
                  <c:v>-1312.4344132091369</c:v>
                </c:pt>
                <c:pt idx="118">
                  <c:v>-1333.7232688872064</c:v>
                </c:pt>
                <c:pt idx="119">
                  <c:v>-1355.1568628929494</c:v>
                </c:pt>
                <c:pt idx="120">
                  <c:v>-1376.7343490647736</c:v>
                </c:pt>
                <c:pt idx="121">
                  <c:v>-1398.4548755604733</c:v>
                </c:pt>
                <c:pt idx="122">
                  <c:v>-1420.3175848908518</c:v>
                </c:pt>
                <c:pt idx="123">
                  <c:v>-1442.3216139535812</c:v>
                </c:pt>
                <c:pt idx="124">
                  <c:v>-1464.4660940672707</c:v>
                </c:pt>
                <c:pt idx="125">
                  <c:v>-1486.7501510057623</c:v>
                </c:pt>
                <c:pt idx="126">
                  <c:v>-1509.1729050326453</c:v>
                </c:pt>
                <c:pt idx="127">
                  <c:v>-1531.7334709359843</c:v>
                </c:pt>
                <c:pt idx="128">
                  <c:v>-1554.4309580632671</c:v>
                </c:pt>
                <c:pt idx="129">
                  <c:v>-1577.2644703565657</c:v>
                </c:pt>
                <c:pt idx="130">
                  <c:v>-1600.2331063879137</c:v>
                </c:pt>
                <c:pt idx="131">
                  <c:v>-1623.3359593948876</c:v>
                </c:pt>
                <c:pt idx="132">
                  <c:v>-1646.5721173164097</c:v>
                </c:pt>
                <c:pt idx="133">
                  <c:v>-1669.940662828752</c:v>
                </c:pt>
                <c:pt idx="134">
                  <c:v>-1693.4406733817514</c:v>
                </c:pt>
                <c:pt idx="135">
                  <c:v>-1717.0712212352287</c:v>
                </c:pt>
                <c:pt idx="136">
                  <c:v>-1740.8313734956173</c:v>
                </c:pt>
                <c:pt idx="137">
                  <c:v>-1764.7201921527899</c:v>
                </c:pt>
                <c:pt idx="138">
                  <c:v>-1788.7367341170898</c:v>
                </c:pt>
                <c:pt idx="139">
                  <c:v>-1812.8800512565635</c:v>
                </c:pt>
                <c:pt idx="140">
                  <c:v>-1837.1491904343902</c:v>
                </c:pt>
                <c:pt idx="141">
                  <c:v>-1861.5431935465099</c:v>
                </c:pt>
                <c:pt idx="142">
                  <c:v>-1886.06109755945</c:v>
                </c:pt>
                <c:pt idx="143">
                  <c:v>-1910.7019345483413</c:v>
                </c:pt>
                <c:pt idx="144">
                  <c:v>-1935.464731735131</c:v>
                </c:pt>
                <c:pt idx="145">
                  <c:v>-1960.3485115269864</c:v>
                </c:pt>
                <c:pt idx="146">
                  <c:v>-1985.3522915548906</c:v>
                </c:pt>
                <c:pt idx="147">
                  <c:v>-2010.4750847124196</c:v>
                </c:pt>
                <c:pt idx="148">
                  <c:v>-2035.7158991947181</c:v>
                </c:pt>
                <c:pt idx="149">
                  <c:v>-2061.0737385376492</c:v>
                </c:pt>
                <c:pt idx="150">
                  <c:v>-2086.5476016571342</c:v>
                </c:pt>
                <c:pt idx="151">
                  <c:v>-2112.1364828886772</c:v>
                </c:pt>
                <c:pt idx="152">
                  <c:v>-2137.839372027061</c:v>
                </c:pt>
                <c:pt idx="153">
                  <c:v>-2163.6552543662333</c:v>
                </c:pt>
                <c:pt idx="154">
                  <c:v>-2189.5831107393633</c:v>
                </c:pt>
                <c:pt idx="155">
                  <c:v>-2215.6219175590763</c:v>
                </c:pt>
                <c:pt idx="156">
                  <c:v>-2241.7706468578658</c:v>
                </c:pt>
                <c:pt idx="157">
                  <c:v>-2268.0282663286716</c:v>
                </c:pt>
                <c:pt idx="158">
                  <c:v>-2294.3937393656383</c:v>
                </c:pt>
                <c:pt idx="159">
                  <c:v>-2320.8660251050337</c:v>
                </c:pt>
                <c:pt idx="160">
                  <c:v>-2347.444078466347</c:v>
                </c:pt>
                <c:pt idx="161">
                  <c:v>-2374.1268501935392</c:v>
                </c:pt>
                <c:pt idx="162">
                  <c:v>-2400.9132868964707</c:v>
                </c:pt>
                <c:pt idx="163">
                  <c:v>-2427.8023310924864</c:v>
                </c:pt>
                <c:pt idx="164">
                  <c:v>-2454.7929212481622</c:v>
                </c:pt>
                <c:pt idx="165">
                  <c:v>-2481.8839918212147</c:v>
                </c:pt>
                <c:pt idx="166">
                  <c:v>-2509.0744733025649</c:v>
                </c:pt>
                <c:pt idx="167">
                  <c:v>-2536.3632922585616</c:v>
                </c:pt>
                <c:pt idx="168">
                  <c:v>-2563.7493713733579</c:v>
                </c:pt>
                <c:pt idx="169">
                  <c:v>-2591.2316294914435</c:v>
                </c:pt>
                <c:pt idx="170">
                  <c:v>-2618.8089816603247</c:v>
                </c:pt>
                <c:pt idx="171">
                  <c:v>-2646.4803391733581</c:v>
                </c:pt>
                <c:pt idx="172">
                  <c:v>-2674.2446096127292</c:v>
                </c:pt>
                <c:pt idx="173">
                  <c:v>-2702.1006968925822</c:v>
                </c:pt>
                <c:pt idx="174">
                  <c:v>-2730.0475013022874</c:v>
                </c:pt>
                <c:pt idx="175">
                  <c:v>-2758.0839195498606</c:v>
                </c:pt>
                <c:pt idx="176">
                  <c:v>-2786.2088448055147</c:v>
                </c:pt>
                <c:pt idx="177">
                  <c:v>-2814.4211667453583</c:v>
                </c:pt>
                <c:pt idx="178">
                  <c:v>-2842.7197715952279</c:v>
                </c:pt>
                <c:pt idx="179">
                  <c:v>-2871.1035421746597</c:v>
                </c:pt>
                <c:pt idx="180">
                  <c:v>-2899.5713579409921</c:v>
                </c:pt>
                <c:pt idx="181">
                  <c:v>-2928.1220950336033</c:v>
                </c:pt>
                <c:pt idx="182">
                  <c:v>-2956.7546263182785</c:v>
                </c:pt>
                <c:pt idx="183">
                  <c:v>-2985.4678214317109</c:v>
                </c:pt>
                <c:pt idx="184">
                  <c:v>-3014.2605468261218</c:v>
                </c:pt>
                <c:pt idx="185">
                  <c:v>-3043.1316658140131</c:v>
                </c:pt>
                <c:pt idx="186">
                  <c:v>-3072.0800386130422</c:v>
                </c:pt>
                <c:pt idx="187">
                  <c:v>-3101.1045223910201</c:v>
                </c:pt>
                <c:pt idx="188">
                  <c:v>-3130.2039713110239</c:v>
                </c:pt>
                <c:pt idx="189">
                  <c:v>-3159.3772365766363</c:v>
                </c:pt>
                <c:pt idx="190">
                  <c:v>-3188.6231664772981</c:v>
                </c:pt>
                <c:pt idx="191">
                  <c:v>-3217.9406064337736</c:v>
                </c:pt>
                <c:pt idx="192">
                  <c:v>-3247.3283990437321</c:v>
                </c:pt>
                <c:pt idx="193">
                  <c:v>-3276.7853841274423</c:v>
                </c:pt>
                <c:pt idx="194">
                  <c:v>-3306.3103987735713</c:v>
                </c:pt>
                <c:pt idx="195">
                  <c:v>-3335.9022773850947</c:v>
                </c:pt>
                <c:pt idx="196">
                  <c:v>-3365.5598517253161</c:v>
                </c:pt>
                <c:pt idx="197">
                  <c:v>-3395.2819509639812</c:v>
                </c:pt>
                <c:pt idx="198">
                  <c:v>-3425.0674017235051</c:v>
                </c:pt>
                <c:pt idx="199">
                  <c:v>-3454.9150281252923</c:v>
                </c:pt>
                <c:pt idx="200">
                  <c:v>-3484.82365183616</c:v>
                </c:pt>
                <c:pt idx="201">
                  <c:v>-3514.7920921148552</c:v>
                </c:pt>
                <c:pt idx="202">
                  <c:v>-3544.8191658586711</c:v>
                </c:pt>
                <c:pt idx="203">
                  <c:v>-3574.90368765015</c:v>
                </c:pt>
                <c:pt idx="204">
                  <c:v>-3605.0444698038846</c:v>
                </c:pt>
                <c:pt idx="205">
                  <c:v>-3635.240322413405</c:v>
                </c:pt>
                <c:pt idx="206">
                  <c:v>-3665.4900533981536</c:v>
                </c:pt>
                <c:pt idx="207">
                  <c:v>-3695.7924685505473</c:v>
                </c:pt>
                <c:pt idx="208">
                  <c:v>-3726.1463715831214</c:v>
                </c:pt>
                <c:pt idx="209">
                  <c:v>-3756.5505641757586</c:v>
                </c:pt>
                <c:pt idx="210">
                  <c:v>-3787.0038460229953</c:v>
                </c:pt>
                <c:pt idx="211">
                  <c:v>-3817.5050148814098</c:v>
                </c:pt>
                <c:pt idx="212">
                  <c:v>-3848.0528666170803</c:v>
                </c:pt>
                <c:pt idx="213">
                  <c:v>-3878.6461952531276</c:v>
                </c:pt>
                <c:pt idx="214">
                  <c:v>-3909.2837930173209</c:v>
                </c:pt>
                <c:pt idx="215">
                  <c:v>-3939.9644503897612</c:v>
                </c:pt>
                <c:pt idx="216">
                  <c:v>-3970.6869561506282</c:v>
                </c:pt>
                <c:pt idx="217">
                  <c:v>-4001.4500974279999</c:v>
                </c:pt>
                <c:pt idx="218">
                  <c:v>-4032.252659745734</c:v>
                </c:pt>
                <c:pt idx="219">
                  <c:v>-4063.0934270714124</c:v>
                </c:pt>
                <c:pt idx="220">
                  <c:v>-4093.9711818643491</c:v>
                </c:pt>
                <c:pt idx="221">
                  <c:v>-4124.8847051236562</c:v>
                </c:pt>
                <c:pt idx="222">
                  <c:v>-4155.8327764363667</c:v>
                </c:pt>
                <c:pt idx="223">
                  <c:v>-4186.8141740256187</c:v>
                </c:pt>
                <c:pt idx="224">
                  <c:v>-4217.827674798883</c:v>
                </c:pt>
                <c:pt idx="225">
                  <c:v>-4248.8720543962518</c:v>
                </c:pt>
                <c:pt idx="226">
                  <c:v>-4279.9460872387772</c:v>
                </c:pt>
                <c:pt idx="227">
                  <c:v>-4311.0485465768479</c:v>
                </c:pt>
                <c:pt idx="228">
                  <c:v>-4342.1782045386253</c:v>
                </c:pt>
                <c:pt idx="229">
                  <c:v>-4373.3338321785177</c:v>
                </c:pt>
                <c:pt idx="230">
                  <c:v>-4404.5141995256899</c:v>
                </c:pt>
                <c:pt idx="231">
                  <c:v>-4435.7180756326306</c:v>
                </c:pt>
                <c:pt idx="232">
                  <c:v>-4466.9442286237399</c:v>
                </c:pt>
                <c:pt idx="233">
                  <c:v>-4498.1914257439648</c:v>
                </c:pt>
                <c:pt idx="234">
                  <c:v>-4529.458433407468</c:v>
                </c:pt>
                <c:pt idx="235">
                  <c:v>-4560.7440172463248</c:v>
                </c:pt>
                <c:pt idx="236">
                  <c:v>-4592.0469421592525</c:v>
                </c:pt>
                <c:pt idx="237">
                  <c:v>-4623.3659723603769</c:v>
                </c:pt>
                <c:pt idx="238">
                  <c:v>-4654.6998714280126</c:v>
                </c:pt>
                <c:pt idx="239">
                  <c:v>-4686.0474023534744</c:v>
                </c:pt>
                <c:pt idx="240">
                  <c:v>-4717.4073275899191</c:v>
                </c:pt>
                <c:pt idx="241">
                  <c:v>-4748.7784091011945</c:v>
                </c:pt>
                <c:pt idx="242">
                  <c:v>-4780.1594084107173</c:v>
                </c:pt>
                <c:pt idx="243">
                  <c:v>-4811.5490866503696</c:v>
                </c:pt>
                <c:pt idx="244">
                  <c:v>-4842.9462046094013</c:v>
                </c:pt>
                <c:pt idx="245">
                  <c:v>-4874.3495227833555</c:v>
                </c:pt>
                <c:pt idx="246">
                  <c:v>-4905.7578014230021</c:v>
                </c:pt>
                <c:pt idx="247">
                  <c:v>-4937.1698005832804</c:v>
                </c:pt>
                <c:pt idx="248">
                  <c:v>-4968.5842801722492</c:v>
                </c:pt>
                <c:pt idx="249">
                  <c:v>-5000.0000000000437</c:v>
                </c:pt>
                <c:pt idx="250">
                  <c:v>-5031.415719827839</c:v>
                </c:pt>
                <c:pt idx="251">
                  <c:v>-5062.8301994168078</c:v>
                </c:pt>
                <c:pt idx="252">
                  <c:v>-5094.2421985770861</c:v>
                </c:pt>
                <c:pt idx="253">
                  <c:v>-5125.6504772167327</c:v>
                </c:pt>
                <c:pt idx="254">
                  <c:v>-5157.0537953906869</c:v>
                </c:pt>
                <c:pt idx="255">
                  <c:v>-5188.4509133497186</c:v>
                </c:pt>
                <c:pt idx="256">
                  <c:v>-5219.8405915893709</c:v>
                </c:pt>
                <c:pt idx="257">
                  <c:v>-5251.2215908988937</c:v>
                </c:pt>
                <c:pt idx="258">
                  <c:v>-5282.5926724101691</c:v>
                </c:pt>
                <c:pt idx="259">
                  <c:v>-5313.9525976466139</c:v>
                </c:pt>
                <c:pt idx="260">
                  <c:v>-5345.3001285720757</c:v>
                </c:pt>
                <c:pt idx="261">
                  <c:v>-5376.6340276397104</c:v>
                </c:pt>
                <c:pt idx="262">
                  <c:v>-5407.9530578408348</c:v>
                </c:pt>
                <c:pt idx="263">
                  <c:v>-5439.2559827537634</c:v>
                </c:pt>
                <c:pt idx="264">
                  <c:v>-5470.5415665926193</c:v>
                </c:pt>
                <c:pt idx="265">
                  <c:v>-5501.8085742561225</c:v>
                </c:pt>
                <c:pt idx="266">
                  <c:v>-5533.0557713763483</c:v>
                </c:pt>
                <c:pt idx="267">
                  <c:v>-5564.2819243674567</c:v>
                </c:pt>
                <c:pt idx="268">
                  <c:v>-5595.4858004743974</c:v>
                </c:pt>
                <c:pt idx="269">
                  <c:v>-5626.6661678215705</c:v>
                </c:pt>
                <c:pt idx="270">
                  <c:v>-5657.821795461462</c:v>
                </c:pt>
                <c:pt idx="271">
                  <c:v>-5688.9514534232394</c:v>
                </c:pt>
                <c:pt idx="272">
                  <c:v>-5720.0539127613101</c:v>
                </c:pt>
                <c:pt idx="273">
                  <c:v>-5751.1279456038355</c:v>
                </c:pt>
                <c:pt idx="274">
                  <c:v>-5782.1723252012043</c:v>
                </c:pt>
                <c:pt idx="275">
                  <c:v>-5813.1858259744686</c:v>
                </c:pt>
                <c:pt idx="276">
                  <c:v>-5844.1672235637197</c:v>
                </c:pt>
                <c:pt idx="277">
                  <c:v>-5875.1152948764311</c:v>
                </c:pt>
                <c:pt idx="278">
                  <c:v>-5906.0288181357373</c:v>
                </c:pt>
                <c:pt idx="279">
                  <c:v>-5936.906572928674</c:v>
                </c:pt>
                <c:pt idx="280">
                  <c:v>-5967.7473402543528</c:v>
                </c:pt>
                <c:pt idx="281">
                  <c:v>-5998.5499025720865</c:v>
                </c:pt>
                <c:pt idx="282">
                  <c:v>-6029.3130438494582</c:v>
                </c:pt>
                <c:pt idx="283">
                  <c:v>-6060.0355496103257</c:v>
                </c:pt>
                <c:pt idx="284">
                  <c:v>-6090.7162069827646</c:v>
                </c:pt>
                <c:pt idx="285">
                  <c:v>-6121.3538047469583</c:v>
                </c:pt>
                <c:pt idx="286">
                  <c:v>-6151.9471333830052</c:v>
                </c:pt>
                <c:pt idx="287">
                  <c:v>-6182.4949851186757</c:v>
                </c:pt>
                <c:pt idx="288">
                  <c:v>-6212.9961539770902</c:v>
                </c:pt>
                <c:pt idx="289">
                  <c:v>-6243.4494358243264</c:v>
                </c:pt>
                <c:pt idx="290">
                  <c:v>-6273.8536284169641</c:v>
                </c:pt>
                <c:pt idx="291">
                  <c:v>-6304.2075314495378</c:v>
                </c:pt>
                <c:pt idx="292">
                  <c:v>-6334.509946601931</c:v>
                </c:pt>
                <c:pt idx="293">
                  <c:v>-6364.7596775866805</c:v>
                </c:pt>
                <c:pt idx="294">
                  <c:v>-6394.9555301962</c:v>
                </c:pt>
                <c:pt idx="295">
                  <c:v>-6425.096312349935</c:v>
                </c:pt>
                <c:pt idx="296">
                  <c:v>-6455.1808341414135</c:v>
                </c:pt>
                <c:pt idx="297">
                  <c:v>-6485.2079078852285</c:v>
                </c:pt>
                <c:pt idx="298">
                  <c:v>-6515.1763481639246</c:v>
                </c:pt>
                <c:pt idx="299">
                  <c:v>-6545.0849718747913</c:v>
                </c:pt>
                <c:pt idx="300">
                  <c:v>-6574.9325982765786</c:v>
                </c:pt>
                <c:pt idx="301">
                  <c:v>-6604.7180490361025</c:v>
                </c:pt>
                <c:pt idx="302">
                  <c:v>-6634.4401482747671</c:v>
                </c:pt>
                <c:pt idx="303">
                  <c:v>-6664.097722614988</c:v>
                </c:pt>
                <c:pt idx="304">
                  <c:v>-6693.6896012265115</c:v>
                </c:pt>
                <c:pt idx="305">
                  <c:v>-6723.2146158726409</c:v>
                </c:pt>
                <c:pt idx="306">
                  <c:v>-6752.6716009563506</c:v>
                </c:pt>
                <c:pt idx="307">
                  <c:v>-6782.0593935663092</c:v>
                </c:pt>
                <c:pt idx="308">
                  <c:v>-6811.3768335227842</c:v>
                </c:pt>
                <c:pt idx="309">
                  <c:v>-6840.6227634234456</c:v>
                </c:pt>
                <c:pt idx="310">
                  <c:v>-6869.7960286890575</c:v>
                </c:pt>
                <c:pt idx="311">
                  <c:v>-6898.8954776090613</c:v>
                </c:pt>
                <c:pt idx="312">
                  <c:v>-6927.9199613870387</c:v>
                </c:pt>
                <c:pt idx="313">
                  <c:v>-6956.8683341860688</c:v>
                </c:pt>
                <c:pt idx="314">
                  <c:v>-6985.7394531739592</c:v>
                </c:pt>
                <c:pt idx="315">
                  <c:v>-7014.53217856837</c:v>
                </c:pt>
                <c:pt idx="316">
                  <c:v>-7043.2453736818015</c:v>
                </c:pt>
                <c:pt idx="317">
                  <c:v>-7071.8779049664772</c:v>
                </c:pt>
                <c:pt idx="318">
                  <c:v>-7100.4286420590879</c:v>
                </c:pt>
                <c:pt idx="319">
                  <c:v>-7128.8964578254199</c:v>
                </c:pt>
                <c:pt idx="320">
                  <c:v>-7157.2802284048521</c:v>
                </c:pt>
                <c:pt idx="321">
                  <c:v>-7185.5788332547218</c:v>
                </c:pt>
                <c:pt idx="322">
                  <c:v>-7213.7911551945645</c:v>
                </c:pt>
                <c:pt idx="323">
                  <c:v>-7241.9160804502189</c:v>
                </c:pt>
                <c:pt idx="324">
                  <c:v>-7269.9524986977904</c:v>
                </c:pt>
                <c:pt idx="325">
                  <c:v>-7297.8993031074961</c:v>
                </c:pt>
                <c:pt idx="326">
                  <c:v>-7325.7553903873486</c:v>
                </c:pt>
                <c:pt idx="327">
                  <c:v>-7353.5196608267197</c:v>
                </c:pt>
                <c:pt idx="328">
                  <c:v>-7381.1910183397522</c:v>
                </c:pt>
                <c:pt idx="329">
                  <c:v>-7408.7683705086329</c:v>
                </c:pt>
                <c:pt idx="330">
                  <c:v>-7436.2506286267189</c:v>
                </c:pt>
                <c:pt idx="331">
                  <c:v>-7463.6367077415152</c:v>
                </c:pt>
                <c:pt idx="332">
                  <c:v>-7490.9255266975115</c:v>
                </c:pt>
                <c:pt idx="333">
                  <c:v>-7518.1160081788621</c:v>
                </c:pt>
                <c:pt idx="334">
                  <c:v>-7545.2070787519133</c:v>
                </c:pt>
                <c:pt idx="335">
                  <c:v>-7572.19766890759</c:v>
                </c:pt>
                <c:pt idx="336">
                  <c:v>-7599.0867131036048</c:v>
                </c:pt>
                <c:pt idx="337">
                  <c:v>-7625.8731498065354</c:v>
                </c:pt>
                <c:pt idx="338">
                  <c:v>-7652.5559215337271</c:v>
                </c:pt>
                <c:pt idx="339">
                  <c:v>-7679.1339748950404</c:v>
                </c:pt>
                <c:pt idx="340">
                  <c:v>-7705.6062606344367</c:v>
                </c:pt>
                <c:pt idx="341">
                  <c:v>-7731.9717336714029</c:v>
                </c:pt>
                <c:pt idx="342">
                  <c:v>-7758.2293531422092</c:v>
                </c:pt>
                <c:pt idx="343">
                  <c:v>-7784.3780824409969</c:v>
                </c:pt>
                <c:pt idx="344">
                  <c:v>-7810.4168892607104</c:v>
                </c:pt>
                <c:pt idx="345">
                  <c:v>-7836.3447456338399</c:v>
                </c:pt>
                <c:pt idx="346">
                  <c:v>-7862.1606279730113</c:v>
                </c:pt>
                <c:pt idx="347">
                  <c:v>-7887.8635171113947</c:v>
                </c:pt>
                <c:pt idx="348">
                  <c:v>-7913.4523983429372</c:v>
                </c:pt>
                <c:pt idx="349">
                  <c:v>-7938.9262614624222</c:v>
                </c:pt>
                <c:pt idx="350">
                  <c:v>-7964.2841008053529</c:v>
                </c:pt>
                <c:pt idx="351">
                  <c:v>-7989.5249152876513</c:v>
                </c:pt>
                <c:pt idx="352">
                  <c:v>-8014.6477084451808</c:v>
                </c:pt>
                <c:pt idx="353">
                  <c:v>-8039.6514884730841</c:v>
                </c:pt>
                <c:pt idx="354">
                  <c:v>-8064.5352682649391</c:v>
                </c:pt>
                <c:pt idx="355">
                  <c:v>-8089.2980654517287</c:v>
                </c:pt>
                <c:pt idx="356">
                  <c:v>-8113.9389024406191</c:v>
                </c:pt>
                <c:pt idx="357">
                  <c:v>-8138.4568064535588</c:v>
                </c:pt>
                <c:pt idx="358">
                  <c:v>-8162.8508095656789</c:v>
                </c:pt>
                <c:pt idx="359">
                  <c:v>-8187.1199487435042</c:v>
                </c:pt>
                <c:pt idx="360">
                  <c:v>-8211.2632658829789</c:v>
                </c:pt>
                <c:pt idx="361">
                  <c:v>-8235.279807847277</c:v>
                </c:pt>
                <c:pt idx="362">
                  <c:v>-8259.16862650445</c:v>
                </c:pt>
                <c:pt idx="363">
                  <c:v>-8282.9287787648391</c:v>
                </c:pt>
                <c:pt idx="364">
                  <c:v>-8306.559326618315</c:v>
                </c:pt>
                <c:pt idx="365">
                  <c:v>-8330.0593371713148</c:v>
                </c:pt>
                <c:pt idx="366">
                  <c:v>-8353.4278826836562</c:v>
                </c:pt>
                <c:pt idx="367">
                  <c:v>-8376.6640406051774</c:v>
                </c:pt>
                <c:pt idx="368">
                  <c:v>-8399.7668936121518</c:v>
                </c:pt>
                <c:pt idx="369">
                  <c:v>-8422.735529643498</c:v>
                </c:pt>
                <c:pt idx="370">
                  <c:v>-8445.5690419367966</c:v>
                </c:pt>
                <c:pt idx="371">
                  <c:v>-8468.2665290640798</c:v>
                </c:pt>
                <c:pt idx="372">
                  <c:v>-8490.8270949674188</c:v>
                </c:pt>
                <c:pt idx="373">
                  <c:v>-8513.2498489943009</c:v>
                </c:pt>
                <c:pt idx="374">
                  <c:v>-8535.5339059327925</c:v>
                </c:pt>
                <c:pt idx="375">
                  <c:v>-8557.678386046482</c:v>
                </c:pt>
                <c:pt idx="376">
                  <c:v>-8579.6824151092096</c:v>
                </c:pt>
                <c:pt idx="377">
                  <c:v>-8601.5451244395881</c:v>
                </c:pt>
                <c:pt idx="378">
                  <c:v>-8623.2656509352873</c:v>
                </c:pt>
                <c:pt idx="379">
                  <c:v>-8644.843137107111</c:v>
                </c:pt>
                <c:pt idx="380">
                  <c:v>-8666.2767311128537</c:v>
                </c:pt>
                <c:pt idx="381">
                  <c:v>-8687.5655867909227</c:v>
                </c:pt>
                <c:pt idx="382">
                  <c:v>-8708.7088636937497</c:v>
                </c:pt>
                <c:pt idx="383">
                  <c:v>-8729.7057271209633</c:v>
                </c:pt>
                <c:pt idx="384">
                  <c:v>-8750.5553481523511</c:v>
                </c:pt>
                <c:pt idx="385">
                  <c:v>-8771.2569036805726</c:v>
                </c:pt>
                <c:pt idx="386">
                  <c:v>-8791.8095764436621</c:v>
                </c:pt>
                <c:pt idx="387">
                  <c:v>-8812.212555057291</c:v>
                </c:pt>
                <c:pt idx="388">
                  <c:v>-8832.4650340468015</c:v>
                </c:pt>
                <c:pt idx="389">
                  <c:v>-8852.5662138789976</c:v>
                </c:pt>
                <c:pt idx="390">
                  <c:v>-8872.5153009937203</c:v>
                </c:pt>
                <c:pt idx="391">
                  <c:v>-8892.3115078351693</c:v>
                </c:pt>
                <c:pt idx="392">
                  <c:v>-8911.9540528829912</c:v>
                </c:pt>
                <c:pt idx="393">
                  <c:v>-8931.4421606831456</c:v>
                </c:pt>
                <c:pt idx="394">
                  <c:v>-8950.775061878503</c:v>
                </c:pt>
                <c:pt idx="395">
                  <c:v>-8969.9519932392268</c:v>
                </c:pt>
                <c:pt idx="396">
                  <c:v>-8988.972197692905</c:v>
                </c:pt>
                <c:pt idx="397">
                  <c:v>-9007.8349243544326</c:v>
                </c:pt>
                <c:pt idx="398">
                  <c:v>-9026.5394285556595</c:v>
                </c:pt>
                <c:pt idx="399">
                  <c:v>-9045.0849718747868</c:v>
                </c:pt>
                <c:pt idx="400">
                  <c:v>-9063.4708221655183</c:v>
                </c:pt>
                <c:pt idx="401">
                  <c:v>-9081.6962535859675</c:v>
                </c:pt>
                <c:pt idx="402">
                  <c:v>-9099.7605466273089</c:v>
                </c:pt>
                <c:pt idx="403">
                  <c:v>-9117.6629881421868</c:v>
                </c:pt>
                <c:pt idx="404">
                  <c:v>-9135.4028713728567</c:v>
                </c:pt>
                <c:pt idx="405">
                  <c:v>-9152.9794959791107</c:v>
                </c:pt>
                <c:pt idx="406">
                  <c:v>-9170.3921680659041</c:v>
                </c:pt>
                <c:pt idx="407">
                  <c:v>-9187.6402002107552</c:v>
                </c:pt>
                <c:pt idx="408">
                  <c:v>-9204.7229114908914</c:v>
                </c:pt>
                <c:pt idx="409">
                  <c:v>-9221.6396275101215</c:v>
                </c:pt>
                <c:pt idx="410">
                  <c:v>-9238.3896804254618</c:v>
                </c:pt>
                <c:pt idx="411">
                  <c:v>-9254.9724089735064</c:v>
                </c:pt>
                <c:pt idx="412">
                  <c:v>-9271.38715849652</c:v>
                </c:pt>
                <c:pt idx="413">
                  <c:v>-9287.6332809683063</c:v>
                </c:pt>
                <c:pt idx="414">
                  <c:v>-9303.7101350197627</c:v>
                </c:pt>
                <c:pt idx="415">
                  <c:v>-9319.6170859642207</c:v>
                </c:pt>
                <c:pt idx="416">
                  <c:v>-9335.3535058224952</c:v>
                </c:pt>
                <c:pt idx="417">
                  <c:v>-9350.918773347672</c:v>
                </c:pt>
                <c:pt idx="418">
                  <c:v>-9366.3122740496437</c:v>
                </c:pt>
                <c:pt idx="419">
                  <c:v>-9381.5334002193595</c:v>
                </c:pt>
                <c:pt idx="420">
                  <c:v>-9396.5815509528238</c:v>
                </c:pt>
                <c:pt idx="421">
                  <c:v>-9411.4561321748079</c:v>
                </c:pt>
                <c:pt idx="422">
                  <c:v>-9426.1565566623176</c:v>
                </c:pt>
                <c:pt idx="423">
                  <c:v>-9440.6822440677643</c:v>
                </c:pt>
                <c:pt idx="424">
                  <c:v>-9455.0326209418818</c:v>
                </c:pt>
                <c:pt idx="425">
                  <c:v>-9469.2071207563604</c:v>
                </c:pt>
                <c:pt idx="426">
                  <c:v>-9483.2051839262203</c:v>
                </c:pt>
                <c:pt idx="427">
                  <c:v>-9497.0262578318943</c:v>
                </c:pt>
                <c:pt idx="428">
                  <c:v>-9510.6697968410535</c:v>
                </c:pt>
                <c:pt idx="429">
                  <c:v>-9524.1352623301354</c:v>
                </c:pt>
                <c:pt idx="430">
                  <c:v>-9537.4221227056223</c:v>
                </c:pt>
                <c:pt idx="431">
                  <c:v>-9550.5298534250178</c:v>
                </c:pt>
                <c:pt idx="432">
                  <c:v>-9563.4579370175525</c:v>
                </c:pt>
                <c:pt idx="433">
                  <c:v>-9576.2058631046257</c:v>
                </c:pt>
                <c:pt idx="434">
                  <c:v>-9588.7731284199435</c:v>
                </c:pt>
                <c:pt idx="435">
                  <c:v>-9601.1592368293877</c:v>
                </c:pt>
                <c:pt idx="436">
                  <c:v>-9613.3636993506116</c:v>
                </c:pt>
                <c:pt idx="437">
                  <c:v>-9625.3860341723266</c:v>
                </c:pt>
                <c:pt idx="438">
                  <c:v>-9637.2257666733422</c:v>
                </c:pt>
                <c:pt idx="439">
                  <c:v>-9648.8824294412916</c:v>
                </c:pt>
                <c:pt idx="440">
                  <c:v>-9660.3555622910899</c:v>
                </c:pt>
                <c:pt idx="441">
                  <c:v>-9671.6447122830941</c:v>
                </c:pt>
                <c:pt idx="442">
                  <c:v>-9682.7494337409953</c:v>
                </c:pt>
                <c:pt idx="443">
                  <c:v>-9693.6692882694042</c:v>
                </c:pt>
                <c:pt idx="444">
                  <c:v>-9704.4038447711609</c:v>
                </c:pt>
                <c:pt idx="445">
                  <c:v>-9714.9526794643534</c:v>
                </c:pt>
                <c:pt idx="446">
                  <c:v>-9725.3153758990557</c:v>
                </c:pt>
                <c:pt idx="447">
                  <c:v>-9735.4915249737533</c:v>
                </c:pt>
                <c:pt idx="448">
                  <c:v>-9745.4807249515034</c:v>
                </c:pt>
                <c:pt idx="449">
                  <c:v>-9755.282581475798</c:v>
                </c:pt>
                <c:pt idx="450">
                  <c:v>-9764.8967075861237</c:v>
                </c:pt>
                <c:pt idx="451">
                  <c:v>-9774.322723733243</c:v>
                </c:pt>
                <c:pt idx="452">
                  <c:v>-9783.5602577941809</c:v>
                </c:pt>
                <c:pt idx="453">
                  <c:v>-9792.6089450869076</c:v>
                </c:pt>
                <c:pt idx="454">
                  <c:v>-9801.4684283847419</c:v>
                </c:pt>
                <c:pt idx="455">
                  <c:v>-9810.1383579304566</c:v>
                </c:pt>
                <c:pt idx="456">
                  <c:v>-9818.6183914500762</c:v>
                </c:pt>
                <c:pt idx="457">
                  <c:v>-9826.9081941663953</c:v>
                </c:pt>
                <c:pt idx="458">
                  <c:v>-9835.0074388122011</c:v>
                </c:pt>
                <c:pt idx="459">
                  <c:v>-9842.9158056431806</c:v>
                </c:pt>
                <c:pt idx="460">
                  <c:v>-9850.6329824505538</c:v>
                </c:pt>
                <c:pt idx="461">
                  <c:v>-9858.1586645733933</c:v>
                </c:pt>
                <c:pt idx="462">
                  <c:v>-9865.4925549106556</c:v>
                </c:pt>
                <c:pt idx="463">
                  <c:v>-9872.6343639329079</c:v>
                </c:pt>
                <c:pt idx="464">
                  <c:v>-9879.5838096937587</c:v>
                </c:pt>
                <c:pt idx="465">
                  <c:v>-9886.3406178409896</c:v>
                </c:pt>
                <c:pt idx="466">
                  <c:v>-9892.9045216273807</c:v>
                </c:pt>
                <c:pt idx="467">
                  <c:v>-9899.2752619212552</c:v>
                </c:pt>
                <c:pt idx="468">
                  <c:v>-9905.4525872166905</c:v>
                </c:pt>
                <c:pt idx="469">
                  <c:v>-9911.4362536434637</c:v>
                </c:pt>
                <c:pt idx="470">
                  <c:v>-9917.2260249766659</c:v>
                </c:pt>
                <c:pt idx="471">
                  <c:v>-9922.821672646045</c:v>
                </c:pt>
                <c:pt idx="472">
                  <c:v>-9928.2229757450077</c:v>
                </c:pt>
                <c:pt idx="473">
                  <c:v>-9933.4297210393561</c:v>
                </c:pt>
                <c:pt idx="474">
                  <c:v>-9938.441702975706</c:v>
                </c:pt>
                <c:pt idx="475">
                  <c:v>-9943.2587236895852</c:v>
                </c:pt>
                <c:pt idx="476">
                  <c:v>-9947.8805930132694</c:v>
                </c:pt>
                <c:pt idx="477">
                  <c:v>-9952.3071284832695</c:v>
                </c:pt>
                <c:pt idx="478">
                  <c:v>-9956.5381553475472</c:v>
                </c:pt>
                <c:pt idx="479">
                  <c:v>-9960.573506572402</c:v>
                </c:pt>
                <c:pt idx="480">
                  <c:v>-9964.4130228490794</c:v>
                </c:pt>
                <c:pt idx="481">
                  <c:v>-9968.0565526000537</c:v>
                </c:pt>
                <c:pt idx="482">
                  <c:v>-9971.503951985007</c:v>
                </c:pt>
                <c:pt idx="483">
                  <c:v>-9974.7550849065119</c:v>
                </c:pt>
                <c:pt idx="484">
                  <c:v>-9977.8098230154101</c:v>
                </c:pt>
                <c:pt idx="485">
                  <c:v>-9980.6680457158727</c:v>
                </c:pt>
                <c:pt idx="486">
                  <c:v>-9983.3296401701591</c:v>
                </c:pt>
                <c:pt idx="487">
                  <c:v>-9985.7945013030767</c:v>
                </c:pt>
                <c:pt idx="488">
                  <c:v>-9988.062531806132</c:v>
                </c:pt>
                <c:pt idx="489">
                  <c:v>-9990.1336421413653</c:v>
                </c:pt>
                <c:pt idx="490">
                  <c:v>-9992.0077505448808</c:v>
                </c:pt>
                <c:pt idx="491">
                  <c:v>-9993.684783030094</c:v>
                </c:pt>
                <c:pt idx="492">
                  <c:v>-9995.1646733906273</c:v>
                </c:pt>
                <c:pt idx="493">
                  <c:v>-9996.4473632029512</c:v>
                </c:pt>
                <c:pt idx="494">
                  <c:v>-9997.53280182866</c:v>
                </c:pt>
                <c:pt idx="495">
                  <c:v>-9998.4209464165033</c:v>
                </c:pt>
                <c:pt idx="496">
                  <c:v>-9999.1117619040469</c:v>
                </c:pt>
                <c:pt idx="497">
                  <c:v>-9999.6052210190828</c:v>
                </c:pt>
                <c:pt idx="498">
                  <c:v>-9999.9013042806873</c:v>
                </c:pt>
                <c:pt idx="499">
                  <c:v>-10000</c:v>
                </c:pt>
                <c:pt idx="500">
                  <c:v>-9999.9013042806837</c:v>
                </c:pt>
                <c:pt idx="501">
                  <c:v>-9999.6052210190792</c:v>
                </c:pt>
                <c:pt idx="502">
                  <c:v>-9999.1117619040433</c:v>
                </c:pt>
                <c:pt idx="503">
                  <c:v>-9998.420946416496</c:v>
                </c:pt>
                <c:pt idx="504">
                  <c:v>-9997.5328018286546</c:v>
                </c:pt>
                <c:pt idx="505">
                  <c:v>-9996.4473632029421</c:v>
                </c:pt>
                <c:pt idx="506">
                  <c:v>-9995.1646733906182</c:v>
                </c:pt>
                <c:pt idx="507">
                  <c:v>-9993.6847830300831</c:v>
                </c:pt>
                <c:pt idx="508">
                  <c:v>-9992.007750544868</c:v>
                </c:pt>
                <c:pt idx="509">
                  <c:v>-9990.1336421413507</c:v>
                </c:pt>
                <c:pt idx="510">
                  <c:v>-9988.0625318061175</c:v>
                </c:pt>
                <c:pt idx="511">
                  <c:v>-9985.7945013030621</c:v>
                </c:pt>
                <c:pt idx="512">
                  <c:v>-9983.3296401701409</c:v>
                </c:pt>
                <c:pt idx="513">
                  <c:v>-9980.6680457158527</c:v>
                </c:pt>
                <c:pt idx="514">
                  <c:v>-9977.8098230153882</c:v>
                </c:pt>
                <c:pt idx="515">
                  <c:v>-9974.7550849064901</c:v>
                </c:pt>
                <c:pt idx="516">
                  <c:v>-9971.5039519849815</c:v>
                </c:pt>
                <c:pt idx="517">
                  <c:v>-9968.0565526000282</c:v>
                </c:pt>
                <c:pt idx="518">
                  <c:v>-9964.413022849054</c:v>
                </c:pt>
                <c:pt idx="519">
                  <c:v>-9960.5735065723748</c:v>
                </c:pt>
                <c:pt idx="520">
                  <c:v>-9956.5381553475163</c:v>
                </c:pt>
                <c:pt idx="521">
                  <c:v>-9952.3071284832404</c:v>
                </c:pt>
                <c:pt idx="522">
                  <c:v>-9947.8805930132385</c:v>
                </c:pt>
                <c:pt idx="523">
                  <c:v>-9943.2587236895524</c:v>
                </c:pt>
                <c:pt idx="524">
                  <c:v>-9938.4417029756696</c:v>
                </c:pt>
                <c:pt idx="525">
                  <c:v>-9933.4297210393215</c:v>
                </c:pt>
                <c:pt idx="526">
                  <c:v>-9928.2229757449713</c:v>
                </c:pt>
                <c:pt idx="527">
                  <c:v>-9922.821672646005</c:v>
                </c:pt>
                <c:pt idx="528">
                  <c:v>-9917.2260249766259</c:v>
                </c:pt>
                <c:pt idx="529">
                  <c:v>-9911.4362536434201</c:v>
                </c:pt>
                <c:pt idx="530">
                  <c:v>-9905.4525872166487</c:v>
                </c:pt>
                <c:pt idx="531">
                  <c:v>-9899.2752619212115</c:v>
                </c:pt>
                <c:pt idx="532">
                  <c:v>-9892.9045216273371</c:v>
                </c:pt>
                <c:pt idx="533">
                  <c:v>-9886.3406178409423</c:v>
                </c:pt>
                <c:pt idx="534">
                  <c:v>-9879.5838096937114</c:v>
                </c:pt>
                <c:pt idx="535">
                  <c:v>-9872.6343639328588</c:v>
                </c:pt>
                <c:pt idx="536">
                  <c:v>-9865.4925549106047</c:v>
                </c:pt>
                <c:pt idx="537">
                  <c:v>-9858.1586645733405</c:v>
                </c:pt>
                <c:pt idx="538">
                  <c:v>-9850.632982450501</c:v>
                </c:pt>
                <c:pt idx="539">
                  <c:v>-9842.9158056431261</c:v>
                </c:pt>
                <c:pt idx="540">
                  <c:v>-9835.0074388121448</c:v>
                </c:pt>
                <c:pt idx="541">
                  <c:v>-9826.9081941663389</c:v>
                </c:pt>
                <c:pt idx="542">
                  <c:v>-9818.6183914500161</c:v>
                </c:pt>
                <c:pt idx="543">
                  <c:v>-9810.1383579303965</c:v>
                </c:pt>
                <c:pt idx="544">
                  <c:v>-9801.4684283846818</c:v>
                </c:pt>
                <c:pt idx="545">
                  <c:v>-9792.6089450868458</c:v>
                </c:pt>
                <c:pt idx="546">
                  <c:v>-9783.5602577941172</c:v>
                </c:pt>
                <c:pt idx="547">
                  <c:v>-9774.3227237331776</c:v>
                </c:pt>
                <c:pt idx="548">
                  <c:v>-9764.8967075860564</c:v>
                </c:pt>
                <c:pt idx="549">
                  <c:v>-9755.2825814757307</c:v>
                </c:pt>
                <c:pt idx="550">
                  <c:v>-9745.4807249514342</c:v>
                </c:pt>
                <c:pt idx="551">
                  <c:v>-9735.4915249736805</c:v>
                </c:pt>
                <c:pt idx="552">
                  <c:v>-9725.3153758989829</c:v>
                </c:pt>
                <c:pt idx="553">
                  <c:v>-9714.9526794642807</c:v>
                </c:pt>
                <c:pt idx="554">
                  <c:v>-9704.4038447710846</c:v>
                </c:pt>
                <c:pt idx="555">
                  <c:v>-9693.6692882693278</c:v>
                </c:pt>
                <c:pt idx="556">
                  <c:v>-9682.7494337409189</c:v>
                </c:pt>
                <c:pt idx="557">
                  <c:v>-9671.6447122830141</c:v>
                </c:pt>
                <c:pt idx="558">
                  <c:v>-9660.3555622910098</c:v>
                </c:pt>
                <c:pt idx="559">
                  <c:v>-9648.8824294412116</c:v>
                </c:pt>
                <c:pt idx="560">
                  <c:v>-9637.2257666732585</c:v>
                </c:pt>
                <c:pt idx="561">
                  <c:v>-9625.3860341722429</c:v>
                </c:pt>
                <c:pt idx="562">
                  <c:v>-9613.3636993505243</c:v>
                </c:pt>
                <c:pt idx="563">
                  <c:v>-9601.1592368293022</c:v>
                </c:pt>
                <c:pt idx="564">
                  <c:v>-9588.7731284198562</c:v>
                </c:pt>
                <c:pt idx="565">
                  <c:v>-9576.2058631045365</c:v>
                </c:pt>
                <c:pt idx="566">
                  <c:v>-9563.4579370174615</c:v>
                </c:pt>
                <c:pt idx="567">
                  <c:v>-9550.529853424925</c:v>
                </c:pt>
                <c:pt idx="568">
                  <c:v>-9537.4221227055314</c:v>
                </c:pt>
                <c:pt idx="569">
                  <c:v>-9524.1352623300427</c:v>
                </c:pt>
                <c:pt idx="570">
                  <c:v>-9510.6697968409571</c:v>
                </c:pt>
                <c:pt idx="571">
                  <c:v>-9497.0262578317997</c:v>
                </c:pt>
                <c:pt idx="572">
                  <c:v>-9483.2051839261221</c:v>
                </c:pt>
                <c:pt idx="573">
                  <c:v>-9469.2071207562603</c:v>
                </c:pt>
                <c:pt idx="574">
                  <c:v>-9455.0326209417799</c:v>
                </c:pt>
                <c:pt idx="575">
                  <c:v>-9440.6822440676624</c:v>
                </c:pt>
                <c:pt idx="576">
                  <c:v>-9426.1565566622157</c:v>
                </c:pt>
                <c:pt idx="577">
                  <c:v>-9411.456132174706</c:v>
                </c:pt>
                <c:pt idx="578">
                  <c:v>-9396.5815509527201</c:v>
                </c:pt>
                <c:pt idx="579">
                  <c:v>-9381.533400219254</c:v>
                </c:pt>
                <c:pt idx="580">
                  <c:v>-9366.3122740495364</c:v>
                </c:pt>
                <c:pt idx="581">
                  <c:v>-9350.9187733475628</c:v>
                </c:pt>
                <c:pt idx="582">
                  <c:v>-9335.3535058223842</c:v>
                </c:pt>
                <c:pt idx="583">
                  <c:v>-9319.6170859641097</c:v>
                </c:pt>
                <c:pt idx="584">
                  <c:v>-9303.7101350196499</c:v>
                </c:pt>
                <c:pt idx="585">
                  <c:v>-9287.6332809681917</c:v>
                </c:pt>
                <c:pt idx="586">
                  <c:v>-9271.3871584964072</c:v>
                </c:pt>
                <c:pt idx="587">
                  <c:v>-9254.97240897339</c:v>
                </c:pt>
                <c:pt idx="588">
                  <c:v>-9238.3896804253454</c:v>
                </c:pt>
                <c:pt idx="589">
                  <c:v>-9221.6396275100033</c:v>
                </c:pt>
                <c:pt idx="590">
                  <c:v>-9204.7229114907714</c:v>
                </c:pt>
                <c:pt idx="591">
                  <c:v>-9187.6402002106352</c:v>
                </c:pt>
                <c:pt idx="592">
                  <c:v>-9170.3921680657804</c:v>
                </c:pt>
                <c:pt idx="593">
                  <c:v>-9152.979495978987</c:v>
                </c:pt>
                <c:pt idx="594">
                  <c:v>-9135.402871372733</c:v>
                </c:pt>
                <c:pt idx="595">
                  <c:v>-9117.6629881420595</c:v>
                </c:pt>
                <c:pt idx="596">
                  <c:v>-9099.7605466271834</c:v>
                </c:pt>
                <c:pt idx="597">
                  <c:v>-9081.6962535858402</c:v>
                </c:pt>
                <c:pt idx="598">
                  <c:v>-9063.4708221653909</c:v>
                </c:pt>
                <c:pt idx="599">
                  <c:v>-9045.0849718746576</c:v>
                </c:pt>
                <c:pt idx="600">
                  <c:v>-9026.5394285555285</c:v>
                </c:pt>
                <c:pt idx="601">
                  <c:v>-9007.8349243542998</c:v>
                </c:pt>
                <c:pt idx="602">
                  <c:v>-8988.9721976927722</c:v>
                </c:pt>
                <c:pt idx="603">
                  <c:v>-8969.9519932390922</c:v>
                </c:pt>
                <c:pt idx="604">
                  <c:v>-8950.7750618783666</c:v>
                </c:pt>
                <c:pt idx="605">
                  <c:v>-8931.4421606830092</c:v>
                </c:pt>
                <c:pt idx="606">
                  <c:v>-8911.9540528828547</c:v>
                </c:pt>
                <c:pt idx="607">
                  <c:v>-8892.3115078350311</c:v>
                </c:pt>
                <c:pt idx="608">
                  <c:v>-8872.5153009935802</c:v>
                </c:pt>
                <c:pt idx="609">
                  <c:v>-8852.5662138788575</c:v>
                </c:pt>
                <c:pt idx="610">
                  <c:v>-8832.4650340466596</c:v>
                </c:pt>
                <c:pt idx="611">
                  <c:v>-8812.2125550571491</c:v>
                </c:pt>
                <c:pt idx="612">
                  <c:v>-8791.8095764435184</c:v>
                </c:pt>
                <c:pt idx="613">
                  <c:v>-8771.2569036804271</c:v>
                </c:pt>
                <c:pt idx="614">
                  <c:v>-8750.5553481522038</c:v>
                </c:pt>
                <c:pt idx="615">
                  <c:v>-8729.7057271208178</c:v>
                </c:pt>
                <c:pt idx="616">
                  <c:v>-8708.7088636936005</c:v>
                </c:pt>
                <c:pt idx="617">
                  <c:v>-8687.5655867907735</c:v>
                </c:pt>
                <c:pt idx="618">
                  <c:v>-8666.2767311127027</c:v>
                </c:pt>
                <c:pt idx="619">
                  <c:v>-8644.8431371069601</c:v>
                </c:pt>
                <c:pt idx="620">
                  <c:v>-8623.2656509351345</c:v>
                </c:pt>
                <c:pt idx="621">
                  <c:v>-8601.5451244394353</c:v>
                </c:pt>
                <c:pt idx="622">
                  <c:v>-8579.6824151090568</c:v>
                </c:pt>
                <c:pt idx="623">
                  <c:v>-8557.6783860463256</c:v>
                </c:pt>
                <c:pt idx="624">
                  <c:v>-8535.5339059326361</c:v>
                </c:pt>
                <c:pt idx="625">
                  <c:v>-8513.2498489941445</c:v>
                </c:pt>
                <c:pt idx="626">
                  <c:v>-8490.8270949672606</c:v>
                </c:pt>
                <c:pt idx="627">
                  <c:v>-8468.2665290639197</c:v>
                </c:pt>
                <c:pt idx="628">
                  <c:v>-8445.5690419366365</c:v>
                </c:pt>
                <c:pt idx="629">
                  <c:v>-8422.7355296433379</c:v>
                </c:pt>
                <c:pt idx="630">
                  <c:v>-8399.7668936119899</c:v>
                </c:pt>
                <c:pt idx="631">
                  <c:v>-8376.6640406050137</c:v>
                </c:pt>
                <c:pt idx="632">
                  <c:v>-8353.4278826834925</c:v>
                </c:pt>
                <c:pt idx="633">
                  <c:v>-8330.0593371711493</c:v>
                </c:pt>
                <c:pt idx="634">
                  <c:v>-8306.5593266181495</c:v>
                </c:pt>
                <c:pt idx="635">
                  <c:v>-8282.9287787646717</c:v>
                </c:pt>
                <c:pt idx="636">
                  <c:v>-8259.1686265042845</c:v>
                </c:pt>
                <c:pt idx="637">
                  <c:v>-8235.2798078471133</c:v>
                </c:pt>
                <c:pt idx="638">
                  <c:v>-8211.2632658828134</c:v>
                </c:pt>
                <c:pt idx="639">
                  <c:v>-8187.1199487433414</c:v>
                </c:pt>
                <c:pt idx="640">
                  <c:v>-8162.8508095655161</c:v>
                </c:pt>
                <c:pt idx="641">
                  <c:v>-8138.4568064533978</c:v>
                </c:pt>
                <c:pt idx="642">
                  <c:v>-8113.9389024404591</c:v>
                </c:pt>
                <c:pt idx="643">
                  <c:v>-8089.2980654515686</c:v>
                </c:pt>
                <c:pt idx="644">
                  <c:v>-8064.5352682647808</c:v>
                </c:pt>
                <c:pt idx="645">
                  <c:v>-8039.6514884729258</c:v>
                </c:pt>
                <c:pt idx="646">
                  <c:v>-8014.6477084450235</c:v>
                </c:pt>
                <c:pt idx="647">
                  <c:v>-7989.5249152874958</c:v>
                </c:pt>
                <c:pt idx="648">
                  <c:v>-7964.2841008051992</c:v>
                </c:pt>
                <c:pt idx="649">
                  <c:v>-7938.9262614622694</c:v>
                </c:pt>
                <c:pt idx="650">
                  <c:v>-7913.4523983427853</c:v>
                </c:pt>
                <c:pt idx="651">
                  <c:v>-7887.8635171112437</c:v>
                </c:pt>
                <c:pt idx="652">
                  <c:v>-7862.1606279728621</c:v>
                </c:pt>
                <c:pt idx="653">
                  <c:v>-7836.3447456336908</c:v>
                </c:pt>
                <c:pt idx="654">
                  <c:v>-7810.416889260563</c:v>
                </c:pt>
                <c:pt idx="655">
                  <c:v>-7784.3780824408514</c:v>
                </c:pt>
                <c:pt idx="656">
                  <c:v>-7758.2293531420637</c:v>
                </c:pt>
                <c:pt idx="657">
                  <c:v>-7731.9717336712583</c:v>
                </c:pt>
                <c:pt idx="658">
                  <c:v>-7705.6062606342939</c:v>
                </c:pt>
                <c:pt idx="659">
                  <c:v>-7679.1339748948994</c:v>
                </c:pt>
                <c:pt idx="660">
                  <c:v>-7652.555921533587</c:v>
                </c:pt>
                <c:pt idx="661">
                  <c:v>-7625.8731498063971</c:v>
                </c:pt>
                <c:pt idx="662">
                  <c:v>-7599.0867131034674</c:v>
                </c:pt>
                <c:pt idx="663">
                  <c:v>-7572.1976689074545</c:v>
                </c:pt>
                <c:pt idx="664">
                  <c:v>-7545.2070787517796</c:v>
                </c:pt>
                <c:pt idx="665">
                  <c:v>-7518.1160081787284</c:v>
                </c:pt>
                <c:pt idx="666">
                  <c:v>-7490.9255266973796</c:v>
                </c:pt>
                <c:pt idx="667">
                  <c:v>-7463.6367077413852</c:v>
                </c:pt>
                <c:pt idx="668">
                  <c:v>-7436.2506286265907</c:v>
                </c:pt>
                <c:pt idx="669">
                  <c:v>-7408.7683705085065</c:v>
                </c:pt>
                <c:pt idx="670">
                  <c:v>-7381.1910183396267</c:v>
                </c:pt>
                <c:pt idx="671">
                  <c:v>-7353.519660826596</c:v>
                </c:pt>
                <c:pt idx="672">
                  <c:v>-7325.7553903872267</c:v>
                </c:pt>
                <c:pt idx="673">
                  <c:v>-7297.8993031073751</c:v>
                </c:pt>
                <c:pt idx="674">
                  <c:v>-7269.9524986976712</c:v>
                </c:pt>
                <c:pt idx="675">
                  <c:v>-7241.9160804501007</c:v>
                </c:pt>
                <c:pt idx="676">
                  <c:v>-7213.791155194448</c:v>
                </c:pt>
                <c:pt idx="677">
                  <c:v>-7185.5788332546072</c:v>
                </c:pt>
                <c:pt idx="678">
                  <c:v>-7157.2802284047384</c:v>
                </c:pt>
                <c:pt idx="679">
                  <c:v>-7128.896457825309</c:v>
                </c:pt>
                <c:pt idx="680">
                  <c:v>-7100.4286420589779</c:v>
                </c:pt>
                <c:pt idx="681">
                  <c:v>-7071.877904966369</c:v>
                </c:pt>
                <c:pt idx="682">
                  <c:v>-7043.2453736816951</c:v>
                </c:pt>
                <c:pt idx="683">
                  <c:v>-7014.5321785682654</c:v>
                </c:pt>
                <c:pt idx="684">
                  <c:v>-6985.7394531738564</c:v>
                </c:pt>
                <c:pt idx="685">
                  <c:v>-6956.8683341859669</c:v>
                </c:pt>
                <c:pt idx="686">
                  <c:v>-6927.9199613869396</c:v>
                </c:pt>
                <c:pt idx="687">
                  <c:v>-6898.895477608964</c:v>
                </c:pt>
                <c:pt idx="688">
                  <c:v>-6869.7960286889629</c:v>
                </c:pt>
                <c:pt idx="689">
                  <c:v>-6840.6227634233519</c:v>
                </c:pt>
                <c:pt idx="690">
                  <c:v>-6811.3768335226923</c:v>
                </c:pt>
                <c:pt idx="691">
                  <c:v>-6782.0593935662191</c:v>
                </c:pt>
                <c:pt idx="692">
                  <c:v>-6752.6716009562624</c:v>
                </c:pt>
                <c:pt idx="693">
                  <c:v>-6723.2146158725545</c:v>
                </c:pt>
                <c:pt idx="694">
                  <c:v>-6693.6896012264278</c:v>
                </c:pt>
                <c:pt idx="695">
                  <c:v>-6664.0977226149062</c:v>
                </c:pt>
                <c:pt idx="696">
                  <c:v>-6634.4401482746871</c:v>
                </c:pt>
                <c:pt idx="697">
                  <c:v>-6604.7180490360233</c:v>
                </c:pt>
                <c:pt idx="698">
                  <c:v>-6574.9325982765022</c:v>
                </c:pt>
                <c:pt idx="699">
                  <c:v>-6545.0849718747168</c:v>
                </c:pt>
                <c:pt idx="700">
                  <c:v>-6515.1763481638518</c:v>
                </c:pt>
                <c:pt idx="701">
                  <c:v>-6485.2079078851584</c:v>
                </c:pt>
                <c:pt idx="702">
                  <c:v>-6455.1808341413443</c:v>
                </c:pt>
                <c:pt idx="703">
                  <c:v>-6425.0963123498677</c:v>
                </c:pt>
                <c:pt idx="704">
                  <c:v>-6394.9555301961354</c:v>
                </c:pt>
                <c:pt idx="705">
                  <c:v>-6364.7596775866168</c:v>
                </c:pt>
                <c:pt idx="706">
                  <c:v>-6334.5099466018701</c:v>
                </c:pt>
                <c:pt idx="707">
                  <c:v>-6304.2075314494796</c:v>
                </c:pt>
                <c:pt idx="708">
                  <c:v>-6273.8536284169077</c:v>
                </c:pt>
                <c:pt idx="709">
                  <c:v>-6243.4494358242719</c:v>
                </c:pt>
                <c:pt idx="710">
                  <c:v>-6212.9961539770375</c:v>
                </c:pt>
                <c:pt idx="711">
                  <c:v>-6182.4949851186257</c:v>
                </c:pt>
                <c:pt idx="712">
                  <c:v>-6151.947133382957</c:v>
                </c:pt>
                <c:pt idx="713">
                  <c:v>-6121.3538047469119</c:v>
                </c:pt>
                <c:pt idx="714">
                  <c:v>-6090.7162069827209</c:v>
                </c:pt>
                <c:pt idx="715">
                  <c:v>-6060.0355496102829</c:v>
                </c:pt>
                <c:pt idx="716">
                  <c:v>-6029.3130438494181</c:v>
                </c:pt>
                <c:pt idx="717">
                  <c:v>-5998.5499025720483</c:v>
                </c:pt>
                <c:pt idx="718">
                  <c:v>-5967.7473402543164</c:v>
                </c:pt>
                <c:pt idx="719">
                  <c:v>-5936.9065729286403</c:v>
                </c:pt>
                <c:pt idx="720">
                  <c:v>-5906.0288181357064</c:v>
                </c:pt>
                <c:pt idx="721">
                  <c:v>-5875.1152948764011</c:v>
                </c:pt>
                <c:pt idx="722">
                  <c:v>-5844.1672235636925</c:v>
                </c:pt>
                <c:pt idx="723">
                  <c:v>-5813.1858259744431</c:v>
                </c:pt>
                <c:pt idx="724">
                  <c:v>-5782.1723252011816</c:v>
                </c:pt>
                <c:pt idx="725">
                  <c:v>-5751.1279456038146</c:v>
                </c:pt>
                <c:pt idx="726">
                  <c:v>-5720.0539127612919</c:v>
                </c:pt>
                <c:pt idx="727">
                  <c:v>-5688.951453423223</c:v>
                </c:pt>
                <c:pt idx="728">
                  <c:v>-5657.8217954614474</c:v>
                </c:pt>
                <c:pt idx="729">
                  <c:v>-5626.6661678215587</c:v>
                </c:pt>
                <c:pt idx="730">
                  <c:v>-5595.4858004743874</c:v>
                </c:pt>
                <c:pt idx="731">
                  <c:v>-5564.2819243674494</c:v>
                </c:pt>
                <c:pt idx="732">
                  <c:v>-5533.0557713763428</c:v>
                </c:pt>
                <c:pt idx="733">
                  <c:v>-5501.8085742561198</c:v>
                </c:pt>
                <c:pt idx="734">
                  <c:v>-5470.5415665926184</c:v>
                </c:pt>
                <c:pt idx="735">
                  <c:v>-5439.2559827537643</c:v>
                </c:pt>
                <c:pt idx="736">
                  <c:v>-5407.9530578408385</c:v>
                </c:pt>
                <c:pt idx="737">
                  <c:v>-5376.6340276397168</c:v>
                </c:pt>
                <c:pt idx="738">
                  <c:v>-5345.3001285720838</c:v>
                </c:pt>
                <c:pt idx="739">
                  <c:v>-5313.9525976466239</c:v>
                </c:pt>
                <c:pt idx="740">
                  <c:v>-5282.592672410181</c:v>
                </c:pt>
                <c:pt idx="741">
                  <c:v>-5251.2215908989083</c:v>
                </c:pt>
                <c:pt idx="742">
                  <c:v>-5219.8405915893873</c:v>
                </c:pt>
                <c:pt idx="743">
                  <c:v>-5188.4509133497377</c:v>
                </c:pt>
                <c:pt idx="744">
                  <c:v>-5157.0537953907078</c:v>
                </c:pt>
                <c:pt idx="745">
                  <c:v>-5125.6504772167564</c:v>
                </c:pt>
                <c:pt idx="746">
                  <c:v>-5094.2421985771116</c:v>
                </c:pt>
                <c:pt idx="747">
                  <c:v>-5062.830199416836</c:v>
                </c:pt>
                <c:pt idx="748">
                  <c:v>-5031.415719827869</c:v>
                </c:pt>
                <c:pt idx="749">
                  <c:v>-5000.0000000000764</c:v>
                </c:pt>
                <c:pt idx="750">
                  <c:v>-4968.5842801722838</c:v>
                </c:pt>
                <c:pt idx="751">
                  <c:v>-4937.1698005833168</c:v>
                </c:pt>
                <c:pt idx="752">
                  <c:v>-4905.7578014230412</c:v>
                </c:pt>
                <c:pt idx="753">
                  <c:v>-4874.3495227833964</c:v>
                </c:pt>
                <c:pt idx="754">
                  <c:v>-4842.946204609445</c:v>
                </c:pt>
                <c:pt idx="755">
                  <c:v>-4811.5490866504151</c:v>
                </c:pt>
                <c:pt idx="756">
                  <c:v>-4780.1594084107655</c:v>
                </c:pt>
                <c:pt idx="757">
                  <c:v>-4748.7784091012445</c:v>
                </c:pt>
                <c:pt idx="758">
                  <c:v>-4717.4073275899709</c:v>
                </c:pt>
                <c:pt idx="759">
                  <c:v>-4686.0474023535289</c:v>
                </c:pt>
                <c:pt idx="760">
                  <c:v>-4654.6998714280689</c:v>
                </c:pt>
                <c:pt idx="761">
                  <c:v>-4623.365972360436</c:v>
                </c:pt>
                <c:pt idx="762">
                  <c:v>-4592.0469421593134</c:v>
                </c:pt>
                <c:pt idx="763">
                  <c:v>-4560.7440172463876</c:v>
                </c:pt>
                <c:pt idx="764">
                  <c:v>-4529.4584334075334</c:v>
                </c:pt>
                <c:pt idx="765">
                  <c:v>-4498.191425744033</c:v>
                </c:pt>
                <c:pt idx="766">
                  <c:v>-4466.9442286238091</c:v>
                </c:pt>
                <c:pt idx="767">
                  <c:v>-4435.7180756327025</c:v>
                </c:pt>
                <c:pt idx="768">
                  <c:v>-4404.5141995257636</c:v>
                </c:pt>
                <c:pt idx="769">
                  <c:v>-4373.3338321785932</c:v>
                </c:pt>
                <c:pt idx="770">
                  <c:v>-4342.1782045387035</c:v>
                </c:pt>
                <c:pt idx="771">
                  <c:v>-4311.0485465769279</c:v>
                </c:pt>
                <c:pt idx="772">
                  <c:v>-4279.946087238859</c:v>
                </c:pt>
                <c:pt idx="773">
                  <c:v>-4248.8720543963364</c:v>
                </c:pt>
                <c:pt idx="774">
                  <c:v>-4217.8276747989694</c:v>
                </c:pt>
                <c:pt idx="775">
                  <c:v>-4186.8141740257079</c:v>
                </c:pt>
                <c:pt idx="776">
                  <c:v>-4155.8327764364585</c:v>
                </c:pt>
                <c:pt idx="777">
                  <c:v>-4124.884705123749</c:v>
                </c:pt>
                <c:pt idx="778">
                  <c:v>-4093.9711818644441</c:v>
                </c:pt>
                <c:pt idx="779">
                  <c:v>-4063.0934270715097</c:v>
                </c:pt>
                <c:pt idx="780">
                  <c:v>-4032.2526597458332</c:v>
                </c:pt>
                <c:pt idx="781">
                  <c:v>-4001.4500974281009</c:v>
                </c:pt>
                <c:pt idx="782">
                  <c:v>-3970.686956150731</c:v>
                </c:pt>
                <c:pt idx="783">
                  <c:v>-3939.9644503898662</c:v>
                </c:pt>
                <c:pt idx="784">
                  <c:v>-3909.2837930174287</c:v>
                </c:pt>
                <c:pt idx="785">
                  <c:v>-3878.6461952532372</c:v>
                </c:pt>
                <c:pt idx="786">
                  <c:v>-3848.0528666171917</c:v>
                </c:pt>
                <c:pt idx="787">
                  <c:v>-3817.505014881523</c:v>
                </c:pt>
                <c:pt idx="788">
                  <c:v>-3787.0038460231108</c:v>
                </c:pt>
                <c:pt idx="789">
                  <c:v>-3756.5505641758755</c:v>
                </c:pt>
                <c:pt idx="790">
                  <c:v>-3726.1463715832406</c:v>
                </c:pt>
                <c:pt idx="791">
                  <c:v>-3695.7924685506687</c:v>
                </c:pt>
                <c:pt idx="792">
                  <c:v>-3665.4900533982768</c:v>
                </c:pt>
                <c:pt idx="793">
                  <c:v>-3635.2403224135301</c:v>
                </c:pt>
                <c:pt idx="794">
                  <c:v>-3605.0444698040114</c:v>
                </c:pt>
                <c:pt idx="795">
                  <c:v>-3574.9036876502787</c:v>
                </c:pt>
                <c:pt idx="796">
                  <c:v>-3544.8191658588021</c:v>
                </c:pt>
                <c:pt idx="797">
                  <c:v>-3514.792092114988</c:v>
                </c:pt>
                <c:pt idx="798">
                  <c:v>-3484.8236518362946</c:v>
                </c:pt>
                <c:pt idx="799">
                  <c:v>-3454.9150281254288</c:v>
                </c:pt>
                <c:pt idx="800">
                  <c:v>-3425.0674017236433</c:v>
                </c:pt>
                <c:pt idx="801">
                  <c:v>-3395.2819509641213</c:v>
                </c:pt>
                <c:pt idx="802">
                  <c:v>-3365.5598517254575</c:v>
                </c:pt>
                <c:pt idx="803">
                  <c:v>-3335.9022773852384</c:v>
                </c:pt>
                <c:pt idx="804">
                  <c:v>-3306.3103987737159</c:v>
                </c:pt>
                <c:pt idx="805">
                  <c:v>-3276.7853841275892</c:v>
                </c:pt>
                <c:pt idx="806">
                  <c:v>-3247.3283990438808</c:v>
                </c:pt>
                <c:pt idx="807">
                  <c:v>-3217.9406064339237</c:v>
                </c:pt>
                <c:pt idx="808">
                  <c:v>-3188.6231664774505</c:v>
                </c:pt>
                <c:pt idx="809">
                  <c:v>-3159.37723657679</c:v>
                </c:pt>
                <c:pt idx="810">
                  <c:v>-3130.203971311179</c:v>
                </c:pt>
                <c:pt idx="811">
                  <c:v>-3101.1045223911774</c:v>
                </c:pt>
                <c:pt idx="812">
                  <c:v>-3072.0800386132014</c:v>
                </c:pt>
                <c:pt idx="813">
                  <c:v>-3043.1316658141732</c:v>
                </c:pt>
                <c:pt idx="814">
                  <c:v>-3014.2605468262836</c:v>
                </c:pt>
                <c:pt idx="815">
                  <c:v>-2985.4678214318747</c:v>
                </c:pt>
                <c:pt idx="816">
                  <c:v>-2956.754626318444</c:v>
                </c:pt>
                <c:pt idx="817">
                  <c:v>-2928.1220950337702</c:v>
                </c:pt>
                <c:pt idx="818">
                  <c:v>-2899.5713579411604</c:v>
                </c:pt>
                <c:pt idx="819">
                  <c:v>-2871.1035421748297</c:v>
                </c:pt>
                <c:pt idx="820">
                  <c:v>-2842.7197715953994</c:v>
                </c:pt>
                <c:pt idx="821">
                  <c:v>-2814.4211667455306</c:v>
                </c:pt>
                <c:pt idx="822">
                  <c:v>-2786.2088448056888</c:v>
                </c:pt>
                <c:pt idx="823">
                  <c:v>-2758.0839195500366</c:v>
                </c:pt>
                <c:pt idx="824">
                  <c:v>-2730.0475013024648</c:v>
                </c:pt>
                <c:pt idx="825">
                  <c:v>-2702.1006968927604</c:v>
                </c:pt>
                <c:pt idx="826">
                  <c:v>-2674.2446096129092</c:v>
                </c:pt>
                <c:pt idx="827">
                  <c:v>-2646.4803391735391</c:v>
                </c:pt>
                <c:pt idx="828">
                  <c:v>-2618.8089816605075</c:v>
                </c:pt>
                <c:pt idx="829">
                  <c:v>-2591.2316294916277</c:v>
                </c:pt>
                <c:pt idx="830">
                  <c:v>-2563.7493713735435</c:v>
                </c:pt>
                <c:pt idx="831">
                  <c:v>-2536.3632922587481</c:v>
                </c:pt>
                <c:pt idx="832">
                  <c:v>-2509.0744733027527</c:v>
                </c:pt>
                <c:pt idx="833">
                  <c:v>-2481.8839918214035</c:v>
                </c:pt>
                <c:pt idx="834">
                  <c:v>-2454.7929212483523</c:v>
                </c:pt>
                <c:pt idx="835">
                  <c:v>-2427.8023310926774</c:v>
                </c:pt>
                <c:pt idx="836">
                  <c:v>-2400.9132868966631</c:v>
                </c:pt>
                <c:pt idx="837">
                  <c:v>-2374.1268501937329</c:v>
                </c:pt>
                <c:pt idx="838">
                  <c:v>-2347.4440784665417</c:v>
                </c:pt>
                <c:pt idx="839">
                  <c:v>-2320.8660251052297</c:v>
                </c:pt>
                <c:pt idx="840">
                  <c:v>-2294.3937393658348</c:v>
                </c:pt>
                <c:pt idx="841">
                  <c:v>-2268.0282663288694</c:v>
                </c:pt>
                <c:pt idx="842">
                  <c:v>-2241.7706468580645</c:v>
                </c:pt>
                <c:pt idx="843">
                  <c:v>-2215.621917559276</c:v>
                </c:pt>
                <c:pt idx="844">
                  <c:v>-2189.5831107395634</c:v>
                </c:pt>
                <c:pt idx="845">
                  <c:v>-2163.6552543664352</c:v>
                </c:pt>
                <c:pt idx="846">
                  <c:v>-2137.8393720272638</c:v>
                </c:pt>
                <c:pt idx="847">
                  <c:v>-2112.1364828888804</c:v>
                </c:pt>
                <c:pt idx="848">
                  <c:v>-2086.5476016573393</c:v>
                </c:pt>
                <c:pt idx="849">
                  <c:v>-2061.0737385378543</c:v>
                </c:pt>
                <c:pt idx="850">
                  <c:v>-2035.7158991949241</c:v>
                </c:pt>
                <c:pt idx="851">
                  <c:v>-2010.475084712627</c:v>
                </c:pt>
                <c:pt idx="852">
                  <c:v>-1985.352291555098</c:v>
                </c:pt>
                <c:pt idx="853">
                  <c:v>-1960.3485115271951</c:v>
                </c:pt>
                <c:pt idx="854">
                  <c:v>-1935.4647317353401</c:v>
                </c:pt>
                <c:pt idx="855">
                  <c:v>-1910.7019345485514</c:v>
                </c:pt>
                <c:pt idx="856">
                  <c:v>-1886.061097559661</c:v>
                </c:pt>
                <c:pt idx="857">
                  <c:v>-1861.5431935467213</c:v>
                </c:pt>
                <c:pt idx="858">
                  <c:v>-1837.1491904346021</c:v>
                </c:pt>
                <c:pt idx="859">
                  <c:v>-1812.8800512567759</c:v>
                </c:pt>
                <c:pt idx="860">
                  <c:v>-1788.7367341173031</c:v>
                </c:pt>
                <c:pt idx="861">
                  <c:v>-1764.7201921530036</c:v>
                </c:pt>
                <c:pt idx="862">
                  <c:v>-1740.8313734958319</c:v>
                </c:pt>
                <c:pt idx="863">
                  <c:v>-1717.0712212354433</c:v>
                </c:pt>
                <c:pt idx="864">
                  <c:v>-1693.4406733819669</c:v>
                </c:pt>
                <c:pt idx="865">
                  <c:v>-1669.940662828968</c:v>
                </c:pt>
                <c:pt idx="866">
                  <c:v>-1646.5721173166257</c:v>
                </c:pt>
                <c:pt idx="867">
                  <c:v>-1623.3359593951041</c:v>
                </c:pt>
                <c:pt idx="868">
                  <c:v>-1600.2331063881311</c:v>
                </c:pt>
                <c:pt idx="869">
                  <c:v>-1577.2644703567835</c:v>
                </c:pt>
                <c:pt idx="870">
                  <c:v>-1554.4309580634845</c:v>
                </c:pt>
                <c:pt idx="871">
                  <c:v>-1531.7334709362017</c:v>
                </c:pt>
                <c:pt idx="872">
                  <c:v>-1509.1729050328636</c:v>
                </c:pt>
                <c:pt idx="873">
                  <c:v>-1486.750151005981</c:v>
                </c:pt>
                <c:pt idx="874">
                  <c:v>-1464.4660940674894</c:v>
                </c:pt>
                <c:pt idx="875">
                  <c:v>-1442.3216139538004</c:v>
                </c:pt>
                <c:pt idx="876">
                  <c:v>-1420.317584891071</c:v>
                </c:pt>
                <c:pt idx="877">
                  <c:v>-1398.4548755606925</c:v>
                </c:pt>
                <c:pt idx="878">
                  <c:v>-1376.7343490649932</c:v>
                </c:pt>
                <c:pt idx="879">
                  <c:v>-1355.1568628931686</c:v>
                </c:pt>
                <c:pt idx="880">
                  <c:v>-1333.723268887426</c:v>
                </c:pt>
                <c:pt idx="881">
                  <c:v>-1312.4344132093561</c:v>
                </c:pt>
                <c:pt idx="882">
                  <c:v>-1291.2911363065296</c:v>
                </c:pt>
                <c:pt idx="883">
                  <c:v>-1270.294272879315</c:v>
                </c:pt>
                <c:pt idx="884">
                  <c:v>-1249.4446518479276</c:v>
                </c:pt>
                <c:pt idx="885">
                  <c:v>-1228.7430963197053</c:v>
                </c:pt>
                <c:pt idx="886">
                  <c:v>-1208.1904235566153</c:v>
                </c:pt>
                <c:pt idx="887">
                  <c:v>-1187.7874449429846</c:v>
                </c:pt>
                <c:pt idx="888">
                  <c:v>-1167.5349659534745</c:v>
                </c:pt>
                <c:pt idx="889">
                  <c:v>-1147.4337861212771</c:v>
                </c:pt>
                <c:pt idx="890">
                  <c:v>-1127.4846990065535</c:v>
                </c:pt>
                <c:pt idx="891">
                  <c:v>-1107.6884921651053</c:v>
                </c:pt>
                <c:pt idx="892">
                  <c:v>-1088.0459471172808</c:v>
                </c:pt>
                <c:pt idx="893">
                  <c:v>-1068.5578393171268</c:v>
                </c:pt>
                <c:pt idx="894">
                  <c:v>-1049.2249381217689</c:v>
                </c:pt>
                <c:pt idx="895">
                  <c:v>-1030.0480067610433</c:v>
                </c:pt>
                <c:pt idx="896">
                  <c:v>-1011.0278023073643</c:v>
                </c:pt>
                <c:pt idx="897">
                  <c:v>-992.16507564583617</c:v>
                </c:pt>
                <c:pt idx="898">
                  <c:v>-973.46057144460838</c:v>
                </c:pt>
                <c:pt idx="899">
                  <c:v>-954.91502812548015</c:v>
                </c:pt>
                <c:pt idx="900">
                  <c:v>-936.52917783474686</c:v>
                </c:pt>
                <c:pt idx="901">
                  <c:v>-918.30374641429626</c:v>
                </c:pt>
                <c:pt idx="902">
                  <c:v>-900.2394533729539</c:v>
                </c:pt>
                <c:pt idx="903">
                  <c:v>-882.33701185807695</c:v>
                </c:pt>
                <c:pt idx="904">
                  <c:v>-864.59712862740435</c:v>
                </c:pt>
                <c:pt idx="905">
                  <c:v>-847.02050402114946</c:v>
                </c:pt>
                <c:pt idx="906">
                  <c:v>-829.607831934356</c:v>
                </c:pt>
                <c:pt idx="907">
                  <c:v>-812.35979978950218</c:v>
                </c:pt>
                <c:pt idx="908">
                  <c:v>-795.27708850936415</c:v>
                </c:pt>
                <c:pt idx="909">
                  <c:v>-778.36037249013316</c:v>
                </c:pt>
                <c:pt idx="910">
                  <c:v>-761.61031957479099</c:v>
                </c:pt>
                <c:pt idx="911">
                  <c:v>-745.02759102674736</c:v>
                </c:pt>
                <c:pt idx="912">
                  <c:v>-728.61284150372921</c:v>
                </c:pt>
                <c:pt idx="913">
                  <c:v>-712.36671903194292</c:v>
                </c:pt>
                <c:pt idx="914">
                  <c:v>-696.28986498048471</c:v>
                </c:pt>
                <c:pt idx="915">
                  <c:v>-680.38291403602489</c:v>
                </c:pt>
                <c:pt idx="916">
                  <c:v>-664.64649417775036</c:v>
                </c:pt>
                <c:pt idx="917">
                  <c:v>-649.08122665257179</c:v>
                </c:pt>
                <c:pt idx="918">
                  <c:v>-633.68772595059727</c:v>
                </c:pt>
                <c:pt idx="919">
                  <c:v>-618.46659978087882</c:v>
                </c:pt>
                <c:pt idx="920">
                  <c:v>-603.41844904741447</c:v>
                </c:pt>
                <c:pt idx="921">
                  <c:v>-588.5438678254277</c:v>
                </c:pt>
                <c:pt idx="922">
                  <c:v>-573.84344333791705</c:v>
                </c:pt>
                <c:pt idx="923">
                  <c:v>-559.31775593246857</c:v>
                </c:pt>
                <c:pt idx="924">
                  <c:v>-544.96737905835107</c:v>
                </c:pt>
                <c:pt idx="925">
                  <c:v>-530.79287924386972</c:v>
                </c:pt>
                <c:pt idx="926">
                  <c:v>-516.79481607400794</c:v>
                </c:pt>
                <c:pt idx="927">
                  <c:v>-502.97374216833032</c:v>
                </c:pt>
                <c:pt idx="928">
                  <c:v>-489.3302031591702</c:v>
                </c:pt>
                <c:pt idx="929">
                  <c:v>-475.86473767008465</c:v>
                </c:pt>
                <c:pt idx="930">
                  <c:v>-462.57787729459596</c:v>
                </c:pt>
                <c:pt idx="931">
                  <c:v>-449.47014657520049</c:v>
                </c:pt>
                <c:pt idx="932">
                  <c:v>-436.54206298266308</c:v>
                </c:pt>
                <c:pt idx="933">
                  <c:v>-423.79413689558805</c:v>
                </c:pt>
                <c:pt idx="934">
                  <c:v>-411.22687158026838</c:v>
                </c:pt>
                <c:pt idx="935">
                  <c:v>-398.84076317082054</c:v>
                </c:pt>
                <c:pt idx="936">
                  <c:v>-386.63630064959671</c:v>
                </c:pt>
                <c:pt idx="937">
                  <c:v>-374.61396582787893</c:v>
                </c:pt>
                <c:pt idx="938">
                  <c:v>-362.77423332685976</c:v>
                </c:pt>
                <c:pt idx="939">
                  <c:v>-351.11757055890848</c:v>
                </c:pt>
                <c:pt idx="940">
                  <c:v>-339.64443770910748</c:v>
                </c:pt>
                <c:pt idx="941">
                  <c:v>-328.35528771710051</c:v>
                </c:pt>
                <c:pt idx="942">
                  <c:v>-317.25056625919751</c:v>
                </c:pt>
                <c:pt idx="943">
                  <c:v>-306.33071173078679</c:v>
                </c:pt>
                <c:pt idx="944">
                  <c:v>-295.59615522902732</c:v>
                </c:pt>
                <c:pt idx="945">
                  <c:v>-285.04732053583029</c:v>
                </c:pt>
                <c:pt idx="946">
                  <c:v>-274.68462410112716</c:v>
                </c:pt>
                <c:pt idx="947">
                  <c:v>-264.50847502642773</c:v>
                </c:pt>
                <c:pt idx="948">
                  <c:v>-254.51927504867399</c:v>
                </c:pt>
                <c:pt idx="949">
                  <c:v>-244.71741852437663</c:v>
                </c:pt>
                <c:pt idx="950">
                  <c:v>-235.10329241404816</c:v>
                </c:pt>
                <c:pt idx="951">
                  <c:v>-225.67727626692522</c:v>
                </c:pt>
                <c:pt idx="952">
                  <c:v>-216.43974220598557</c:v>
                </c:pt>
                <c:pt idx="953">
                  <c:v>-207.39105491325608</c:v>
                </c:pt>
                <c:pt idx="954">
                  <c:v>-198.53157161541822</c:v>
                </c:pt>
                <c:pt idx="955">
                  <c:v>-189.8616420697017</c:v>
                </c:pt>
                <c:pt idx="956">
                  <c:v>-181.38160855007936</c:v>
                </c:pt>
                <c:pt idx="957">
                  <c:v>-173.09180583375655</c:v>
                </c:pt>
                <c:pt idx="958">
                  <c:v>-164.99256118794801</c:v>
                </c:pt>
                <c:pt idx="959">
                  <c:v>-157.08419435696578</c:v>
                </c:pt>
                <c:pt idx="960">
                  <c:v>-149.36701754958904</c:v>
                </c:pt>
                <c:pt idx="961">
                  <c:v>-141.84133542674681</c:v>
                </c:pt>
                <c:pt idx="962">
                  <c:v>-134.50744508948083</c:v>
                </c:pt>
                <c:pt idx="963">
                  <c:v>-127.36563606722575</c:v>
                </c:pt>
                <c:pt idx="964">
                  <c:v>-120.41619030637139</c:v>
                </c:pt>
                <c:pt idx="965">
                  <c:v>-113.65938215913866</c:v>
                </c:pt>
                <c:pt idx="966">
                  <c:v>-107.09547837274204</c:v>
                </c:pt>
                <c:pt idx="967">
                  <c:v>-100.72473807886581</c:v>
                </c:pt>
                <c:pt idx="968">
                  <c:v>-94.547412783427717</c:v>
                </c:pt>
                <c:pt idx="969">
                  <c:v>-88.563746356650881</c:v>
                </c:pt>
                <c:pt idx="970">
                  <c:v>-82.773975023443199</c:v>
                </c:pt>
                <c:pt idx="971">
                  <c:v>-77.178327354062276</c:v>
                </c:pt>
                <c:pt idx="972">
                  <c:v>-71.777024255095967</c:v>
                </c:pt>
                <c:pt idx="973">
                  <c:v>-66.570278960743053</c:v>
                </c:pt>
                <c:pt idx="974">
                  <c:v>-61.558297024392232</c:v>
                </c:pt>
                <c:pt idx="975">
                  <c:v>-56.741276310507601</c:v>
                </c:pt>
                <c:pt idx="976">
                  <c:v>-52.11940698682065</c:v>
                </c:pt>
                <c:pt idx="977">
                  <c:v>-47.692871516816012</c:v>
                </c:pt>
                <c:pt idx="978">
                  <c:v>-43.461844652535547</c:v>
                </c:pt>
                <c:pt idx="979">
                  <c:v>-39.426493427677087</c:v>
                </c:pt>
                <c:pt idx="980">
                  <c:v>-35.586977150995153</c:v>
                </c:pt>
                <c:pt idx="981">
                  <c:v>-31.943447400018158</c:v>
                </c:pt>
                <c:pt idx="982">
                  <c:v>-28.496048015062115</c:v>
                </c:pt>
                <c:pt idx="983">
                  <c:v>-25.244915093552663</c:v>
                </c:pt>
                <c:pt idx="984">
                  <c:v>-22.190176984650861</c:v>
                </c:pt>
                <c:pt idx="985">
                  <c:v>-19.331954284184576</c:v>
                </c:pt>
                <c:pt idx="986">
                  <c:v>-16.670359829894551</c:v>
                </c:pt>
                <c:pt idx="987">
                  <c:v>-14.205498696971517</c:v>
                </c:pt>
                <c:pt idx="988">
                  <c:v>-11.937468193911627</c:v>
                </c:pt>
                <c:pt idx="989">
                  <c:v>-9.8663578586765652</c:v>
                </c:pt>
                <c:pt idx="990">
                  <c:v>-7.9922494551556156</c:v>
                </c:pt>
                <c:pt idx="991">
                  <c:v>-6.3152169699396836</c:v>
                </c:pt>
                <c:pt idx="992">
                  <c:v>-4.8353266093999991</c:v>
                </c:pt>
                <c:pt idx="993">
                  <c:v>-3.5526367970742285</c:v>
                </c:pt>
                <c:pt idx="994">
                  <c:v>-2.4671981713599962</c:v>
                </c:pt>
                <c:pt idx="995">
                  <c:v>-1.5790535835139963</c:v>
                </c:pt>
                <c:pt idx="996">
                  <c:v>-0.8882380959657894</c:v>
                </c:pt>
                <c:pt idx="997">
                  <c:v>-0.39477898092627584</c:v>
                </c:pt>
                <c:pt idx="998">
                  <c:v>-9.8695719318129704E-2</c:v>
                </c:pt>
                <c:pt idx="999">
                  <c:v>0</c:v>
                </c:pt>
              </c:numCache>
            </c:numRef>
          </c:xVal>
          <c:yVal>
            <c:numRef>
              <c:f>'Conditions initiale'!$W$5:$W$1004</c:f>
              <c:numCache>
                <c:formatCode>General</c:formatCode>
                <c:ptCount val="1000"/>
                <c:pt idx="0">
                  <c:v>-14968.584280172205</c:v>
                </c:pt>
                <c:pt idx="1">
                  <c:v>-14937.169800583237</c:v>
                </c:pt>
                <c:pt idx="2">
                  <c:v>-14905.757801422958</c:v>
                </c:pt>
                <c:pt idx="3">
                  <c:v>-14874.349522783312</c:v>
                </c:pt>
                <c:pt idx="4">
                  <c:v>-14842.946204609358</c:v>
                </c:pt>
                <c:pt idx="5">
                  <c:v>-14811.549086650328</c:v>
                </c:pt>
                <c:pt idx="6">
                  <c:v>-14780.159408410676</c:v>
                </c:pt>
                <c:pt idx="7">
                  <c:v>-14748.778409101153</c:v>
                </c:pt>
                <c:pt idx="8">
                  <c:v>-14717.407327589877</c:v>
                </c:pt>
                <c:pt idx="9">
                  <c:v>-14686.047402353433</c:v>
                </c:pt>
                <c:pt idx="10">
                  <c:v>-14654.699871427971</c:v>
                </c:pt>
                <c:pt idx="11">
                  <c:v>-14623.365972360336</c:v>
                </c:pt>
                <c:pt idx="12">
                  <c:v>-14592.046942159212</c:v>
                </c:pt>
                <c:pt idx="13">
                  <c:v>-14560.744017246285</c:v>
                </c:pt>
                <c:pt idx="14">
                  <c:v>-14529.458433407428</c:v>
                </c:pt>
                <c:pt idx="15">
                  <c:v>-14498.191425743926</c:v>
                </c:pt>
                <c:pt idx="16">
                  <c:v>-14466.944228623701</c:v>
                </c:pt>
                <c:pt idx="17">
                  <c:v>-14435.718075632592</c:v>
                </c:pt>
                <c:pt idx="18">
                  <c:v>-14404.514199525651</c:v>
                </c:pt>
                <c:pt idx="19">
                  <c:v>-14373.333832178479</c:v>
                </c:pt>
                <c:pt idx="20">
                  <c:v>-14342.178204538588</c:v>
                </c:pt>
                <c:pt idx="21">
                  <c:v>-14311.048546576811</c:v>
                </c:pt>
                <c:pt idx="22">
                  <c:v>-14279.946087238739</c:v>
                </c:pt>
                <c:pt idx="23">
                  <c:v>-14248.872054396215</c:v>
                </c:pt>
                <c:pt idx="24">
                  <c:v>-14217.827674798846</c:v>
                </c:pt>
                <c:pt idx="25">
                  <c:v>-14186.814174025581</c:v>
                </c:pt>
                <c:pt idx="26">
                  <c:v>-14155.832776436331</c:v>
                </c:pt>
                <c:pt idx="27">
                  <c:v>-14124.884705123621</c:v>
                </c:pt>
                <c:pt idx="28">
                  <c:v>-14093.971181864314</c:v>
                </c:pt>
                <c:pt idx="29">
                  <c:v>-14063.093427071377</c:v>
                </c:pt>
                <c:pt idx="30">
                  <c:v>-14032.2526597457</c:v>
                </c:pt>
                <c:pt idx="31">
                  <c:v>-14001.450097427965</c:v>
                </c:pt>
                <c:pt idx="32">
                  <c:v>-13970.686956150594</c:v>
                </c:pt>
                <c:pt idx="33">
                  <c:v>-13939.964450389727</c:v>
                </c:pt>
                <c:pt idx="34">
                  <c:v>-13909.283793017288</c:v>
                </c:pt>
                <c:pt idx="35">
                  <c:v>-13878.646195253095</c:v>
                </c:pt>
                <c:pt idx="36">
                  <c:v>-13848.052866617047</c:v>
                </c:pt>
                <c:pt idx="37">
                  <c:v>-13817.505014881377</c:v>
                </c:pt>
                <c:pt idx="38">
                  <c:v>-13787.003846022963</c:v>
                </c:pt>
                <c:pt idx="39">
                  <c:v>-13756.550564175726</c:v>
                </c:pt>
                <c:pt idx="40">
                  <c:v>-13726.146371583089</c:v>
                </c:pt>
                <c:pt idx="41">
                  <c:v>-13695.792468550515</c:v>
                </c:pt>
                <c:pt idx="42">
                  <c:v>-13665.490053398122</c:v>
                </c:pt>
                <c:pt idx="43">
                  <c:v>-13635.240322413374</c:v>
                </c:pt>
                <c:pt idx="44">
                  <c:v>-13605.044469803854</c:v>
                </c:pt>
                <c:pt idx="45">
                  <c:v>-13574.90368765012</c:v>
                </c:pt>
                <c:pt idx="46">
                  <c:v>-13544.81916585864</c:v>
                </c:pt>
                <c:pt idx="47">
                  <c:v>-13514.792092114825</c:v>
                </c:pt>
                <c:pt idx="48">
                  <c:v>-13484.82365183613</c:v>
                </c:pt>
                <c:pt idx="49">
                  <c:v>-13454.915028125262</c:v>
                </c:pt>
                <c:pt idx="50">
                  <c:v>-13425.067401723476</c:v>
                </c:pt>
                <c:pt idx="51">
                  <c:v>-13395.281950963952</c:v>
                </c:pt>
                <c:pt idx="52">
                  <c:v>-13365.559851725287</c:v>
                </c:pt>
                <c:pt idx="53">
                  <c:v>-13335.902277385067</c:v>
                </c:pt>
                <c:pt idx="54">
                  <c:v>-13306.310398773543</c:v>
                </c:pt>
                <c:pt idx="55">
                  <c:v>-13276.785384127415</c:v>
                </c:pt>
                <c:pt idx="56">
                  <c:v>-13247.328399043705</c:v>
                </c:pt>
                <c:pt idx="57">
                  <c:v>-13217.940606433747</c:v>
                </c:pt>
                <c:pt idx="58">
                  <c:v>-13188.623166477271</c:v>
                </c:pt>
                <c:pt idx="59">
                  <c:v>-13159.377236576611</c:v>
                </c:pt>
                <c:pt idx="60">
                  <c:v>-13130.203971310999</c:v>
                </c:pt>
                <c:pt idx="61">
                  <c:v>-13101.104522390995</c:v>
                </c:pt>
                <c:pt idx="62">
                  <c:v>-13072.080038613018</c:v>
                </c:pt>
                <c:pt idx="63">
                  <c:v>-13043.131665813988</c:v>
                </c:pt>
                <c:pt idx="64">
                  <c:v>-13014.260546826097</c:v>
                </c:pt>
                <c:pt idx="65">
                  <c:v>-12985.467821431686</c:v>
                </c:pt>
                <c:pt idx="66">
                  <c:v>-12956.754626318256</c:v>
                </c:pt>
                <c:pt idx="67">
                  <c:v>-12928.122095033579</c:v>
                </c:pt>
                <c:pt idx="68">
                  <c:v>-12899.571357940969</c:v>
                </c:pt>
                <c:pt idx="69">
                  <c:v>-12871.103542174638</c:v>
                </c:pt>
                <c:pt idx="70">
                  <c:v>-12842.719771595206</c:v>
                </c:pt>
                <c:pt idx="71">
                  <c:v>-12814.421166745336</c:v>
                </c:pt>
                <c:pt idx="72">
                  <c:v>-12786.208844805493</c:v>
                </c:pt>
                <c:pt idx="73">
                  <c:v>-12758.083919549839</c:v>
                </c:pt>
                <c:pt idx="74">
                  <c:v>-12730.047501302266</c:v>
                </c:pt>
                <c:pt idx="75">
                  <c:v>-12702.100696892561</c:v>
                </c:pt>
                <c:pt idx="76">
                  <c:v>-12674.24460961271</c:v>
                </c:pt>
                <c:pt idx="77">
                  <c:v>-12646.480339173337</c:v>
                </c:pt>
                <c:pt idx="78">
                  <c:v>-12618.808981660306</c:v>
                </c:pt>
                <c:pt idx="79">
                  <c:v>-12591.231629491424</c:v>
                </c:pt>
                <c:pt idx="80">
                  <c:v>-12563.749371373338</c:v>
                </c:pt>
                <c:pt idx="81">
                  <c:v>-12536.363292258542</c:v>
                </c:pt>
                <c:pt idx="82">
                  <c:v>-12509.074473302546</c:v>
                </c:pt>
                <c:pt idx="83">
                  <c:v>-12481.883991821196</c:v>
                </c:pt>
                <c:pt idx="84">
                  <c:v>-12454.792921248143</c:v>
                </c:pt>
                <c:pt idx="85">
                  <c:v>-12427.802331092467</c:v>
                </c:pt>
                <c:pt idx="86">
                  <c:v>-12400.913286896452</c:v>
                </c:pt>
                <c:pt idx="87">
                  <c:v>-12374.126850193519</c:v>
                </c:pt>
                <c:pt idx="88">
                  <c:v>-12347.444078466327</c:v>
                </c:pt>
                <c:pt idx="89">
                  <c:v>-12320.866025105015</c:v>
                </c:pt>
                <c:pt idx="90">
                  <c:v>-12294.39373936562</c:v>
                </c:pt>
                <c:pt idx="91">
                  <c:v>-12268.028266328653</c:v>
                </c:pt>
                <c:pt idx="92">
                  <c:v>-12241.770646857847</c:v>
                </c:pt>
                <c:pt idx="93">
                  <c:v>-12215.621917559058</c:v>
                </c:pt>
                <c:pt idx="94">
                  <c:v>-12189.583110739344</c:v>
                </c:pt>
                <c:pt idx="95">
                  <c:v>-12163.655254366215</c:v>
                </c:pt>
                <c:pt idx="96">
                  <c:v>-12137.839372027043</c:v>
                </c:pt>
                <c:pt idx="97">
                  <c:v>-12112.136482888658</c:v>
                </c:pt>
                <c:pt idx="98">
                  <c:v>-12086.547601657116</c:v>
                </c:pt>
                <c:pt idx="99">
                  <c:v>-12061.073738537631</c:v>
                </c:pt>
                <c:pt idx="100">
                  <c:v>-12035.7158991947</c:v>
                </c:pt>
                <c:pt idx="101">
                  <c:v>-12010.475084712401</c:v>
                </c:pt>
                <c:pt idx="102">
                  <c:v>-11985.352291554871</c:v>
                </c:pt>
                <c:pt idx="103">
                  <c:v>-11960.348511526969</c:v>
                </c:pt>
                <c:pt idx="104">
                  <c:v>-11935.464731735112</c:v>
                </c:pt>
                <c:pt idx="105">
                  <c:v>-11910.701934548324</c:v>
                </c:pt>
                <c:pt idx="106">
                  <c:v>-11886.061097559432</c:v>
                </c:pt>
                <c:pt idx="107">
                  <c:v>-11861.543193546491</c:v>
                </c:pt>
                <c:pt idx="108">
                  <c:v>-11837.149190434373</c:v>
                </c:pt>
                <c:pt idx="109">
                  <c:v>-11812.880051256547</c:v>
                </c:pt>
                <c:pt idx="110">
                  <c:v>-11788.736734117072</c:v>
                </c:pt>
                <c:pt idx="111">
                  <c:v>-11764.720192152772</c:v>
                </c:pt>
                <c:pt idx="112">
                  <c:v>-11740.831373495599</c:v>
                </c:pt>
                <c:pt idx="113">
                  <c:v>-11717.071221235212</c:v>
                </c:pt>
                <c:pt idx="114">
                  <c:v>-11693.440673381734</c:v>
                </c:pt>
                <c:pt idx="115">
                  <c:v>-11669.940662828736</c:v>
                </c:pt>
                <c:pt idx="116">
                  <c:v>-11646.572117316393</c:v>
                </c:pt>
                <c:pt idx="117">
                  <c:v>-11623.33595939487</c:v>
                </c:pt>
                <c:pt idx="118">
                  <c:v>-11600.233106387896</c:v>
                </c:pt>
                <c:pt idx="119">
                  <c:v>-11577.264470356549</c:v>
                </c:pt>
                <c:pt idx="120">
                  <c:v>-11554.430958063251</c:v>
                </c:pt>
                <c:pt idx="121">
                  <c:v>-11531.733470935967</c:v>
                </c:pt>
                <c:pt idx="122">
                  <c:v>-11509.172905032628</c:v>
                </c:pt>
                <c:pt idx="123">
                  <c:v>-11486.750151005746</c:v>
                </c:pt>
                <c:pt idx="124">
                  <c:v>-11464.466094067255</c:v>
                </c:pt>
                <c:pt idx="125">
                  <c:v>-11442.321613953565</c:v>
                </c:pt>
                <c:pt idx="126">
                  <c:v>-11420.317584890836</c:v>
                </c:pt>
                <c:pt idx="127">
                  <c:v>-11398.454875560457</c:v>
                </c:pt>
                <c:pt idx="128">
                  <c:v>-11376.734349064758</c:v>
                </c:pt>
                <c:pt idx="129">
                  <c:v>-11355.156862892934</c:v>
                </c:pt>
                <c:pt idx="130">
                  <c:v>-11333.723268887192</c:v>
                </c:pt>
                <c:pt idx="131">
                  <c:v>-11312.434413209121</c:v>
                </c:pt>
                <c:pt idx="132">
                  <c:v>-11291.291136306294</c:v>
                </c:pt>
                <c:pt idx="133">
                  <c:v>-11270.29427287908</c:v>
                </c:pt>
                <c:pt idx="134">
                  <c:v>-11249.444651847693</c:v>
                </c:pt>
                <c:pt idx="135">
                  <c:v>-11228.743096319471</c:v>
                </c:pt>
                <c:pt idx="136">
                  <c:v>-11208.190423556382</c:v>
                </c:pt>
                <c:pt idx="137">
                  <c:v>-11187.787444942751</c:v>
                </c:pt>
                <c:pt idx="138">
                  <c:v>-11167.53496595324</c:v>
                </c:pt>
                <c:pt idx="139">
                  <c:v>-11147.433786121044</c:v>
                </c:pt>
                <c:pt idx="140">
                  <c:v>-11127.484699006322</c:v>
                </c:pt>
                <c:pt idx="141">
                  <c:v>-11107.688492164873</c:v>
                </c:pt>
                <c:pt idx="142">
                  <c:v>-11088.045947117049</c:v>
                </c:pt>
                <c:pt idx="143">
                  <c:v>-11068.557839316894</c:v>
                </c:pt>
                <c:pt idx="144">
                  <c:v>-11049.224938121537</c:v>
                </c:pt>
                <c:pt idx="145">
                  <c:v>-11030.048006760813</c:v>
                </c:pt>
                <c:pt idx="146">
                  <c:v>-11011.027802307135</c:v>
                </c:pt>
                <c:pt idx="147">
                  <c:v>-10992.165075645607</c:v>
                </c:pt>
                <c:pt idx="148">
                  <c:v>-10973.460571444379</c:v>
                </c:pt>
                <c:pt idx="149">
                  <c:v>-10954.915028125251</c:v>
                </c:pt>
                <c:pt idx="150">
                  <c:v>-10936.52917783452</c:v>
                </c:pt>
                <c:pt idx="151">
                  <c:v>-10918.303746414069</c:v>
                </c:pt>
                <c:pt idx="152">
                  <c:v>-10900.239453372727</c:v>
                </c:pt>
                <c:pt idx="153">
                  <c:v>-10882.337011857853</c:v>
                </c:pt>
                <c:pt idx="154">
                  <c:v>-10864.59712862718</c:v>
                </c:pt>
                <c:pt idx="155">
                  <c:v>-10847.020504020926</c:v>
                </c:pt>
                <c:pt idx="156">
                  <c:v>-10829.607831934132</c:v>
                </c:pt>
                <c:pt idx="157">
                  <c:v>-10812.359799789279</c:v>
                </c:pt>
                <c:pt idx="158">
                  <c:v>-10795.277088509145</c:v>
                </c:pt>
                <c:pt idx="159">
                  <c:v>-10778.360372489915</c:v>
                </c:pt>
                <c:pt idx="160">
                  <c:v>-10761.610319574573</c:v>
                </c:pt>
                <c:pt idx="161">
                  <c:v>-10745.02759102653</c:v>
                </c:pt>
                <c:pt idx="162">
                  <c:v>-10728.612841503513</c:v>
                </c:pt>
                <c:pt idx="163">
                  <c:v>-10712.366719031728</c:v>
                </c:pt>
                <c:pt idx="164">
                  <c:v>-10696.28986498027</c:v>
                </c:pt>
                <c:pt idx="165">
                  <c:v>-10680.382914035814</c:v>
                </c:pt>
                <c:pt idx="166">
                  <c:v>-10664.646494177538</c:v>
                </c:pt>
                <c:pt idx="167">
                  <c:v>-10649.081226652361</c:v>
                </c:pt>
                <c:pt idx="168">
                  <c:v>-10633.687725950389</c:v>
                </c:pt>
                <c:pt idx="169">
                  <c:v>-10618.46659978067</c:v>
                </c:pt>
                <c:pt idx="170">
                  <c:v>-10603.418449047207</c:v>
                </c:pt>
                <c:pt idx="171">
                  <c:v>-10588.543867825221</c:v>
                </c:pt>
                <c:pt idx="172">
                  <c:v>-10573.843443337713</c:v>
                </c:pt>
                <c:pt idx="173">
                  <c:v>-10559.317755932267</c:v>
                </c:pt>
                <c:pt idx="174">
                  <c:v>-10544.967379058151</c:v>
                </c:pt>
                <c:pt idx="175">
                  <c:v>-10530.792879243669</c:v>
                </c:pt>
                <c:pt idx="176">
                  <c:v>-10516.794816073809</c:v>
                </c:pt>
                <c:pt idx="177">
                  <c:v>-10502.973742168135</c:v>
                </c:pt>
                <c:pt idx="178">
                  <c:v>-10489.330203158974</c:v>
                </c:pt>
                <c:pt idx="179">
                  <c:v>-10475.864737669892</c:v>
                </c:pt>
                <c:pt idx="180">
                  <c:v>-10462.577877294403</c:v>
                </c:pt>
                <c:pt idx="181">
                  <c:v>-10449.470146575011</c:v>
                </c:pt>
                <c:pt idx="182">
                  <c:v>-10436.542062982475</c:v>
                </c:pt>
                <c:pt idx="183">
                  <c:v>-10423.794136895402</c:v>
                </c:pt>
                <c:pt idx="184">
                  <c:v>-10411.226871580084</c:v>
                </c:pt>
                <c:pt idx="185">
                  <c:v>-10398.840763170638</c:v>
                </c:pt>
                <c:pt idx="186">
                  <c:v>-10386.636300649414</c:v>
                </c:pt>
                <c:pt idx="187">
                  <c:v>-10374.613965827699</c:v>
                </c:pt>
                <c:pt idx="188">
                  <c:v>-10362.774233326683</c:v>
                </c:pt>
                <c:pt idx="189">
                  <c:v>-10351.117570558734</c:v>
                </c:pt>
                <c:pt idx="190">
                  <c:v>-10339.644437708936</c:v>
                </c:pt>
                <c:pt idx="191">
                  <c:v>-10328.35528771693</c:v>
                </c:pt>
                <c:pt idx="192">
                  <c:v>-10317.250566259028</c:v>
                </c:pt>
                <c:pt idx="193">
                  <c:v>-10306.330711730619</c:v>
                </c:pt>
                <c:pt idx="194">
                  <c:v>-10295.596155228863</c:v>
                </c:pt>
                <c:pt idx="195">
                  <c:v>-10285.047320535668</c:v>
                </c:pt>
                <c:pt idx="196">
                  <c:v>-10274.684624100966</c:v>
                </c:pt>
                <c:pt idx="197">
                  <c:v>-10264.508475026269</c:v>
                </c:pt>
                <c:pt idx="198">
                  <c:v>-10254.519275048518</c:v>
                </c:pt>
                <c:pt idx="199">
                  <c:v>-10244.717418524222</c:v>
                </c:pt>
                <c:pt idx="200">
                  <c:v>-10235.103292413896</c:v>
                </c:pt>
                <c:pt idx="201">
                  <c:v>-10225.677276266775</c:v>
                </c:pt>
                <c:pt idx="202">
                  <c:v>-10216.439742205839</c:v>
                </c:pt>
                <c:pt idx="203">
                  <c:v>-10207.391054913111</c:v>
                </c:pt>
                <c:pt idx="204">
                  <c:v>-10198.531571615276</c:v>
                </c:pt>
                <c:pt idx="205">
                  <c:v>-10189.861642069562</c:v>
                </c:pt>
                <c:pt idx="206">
                  <c:v>-10181.381608549942</c:v>
                </c:pt>
                <c:pt idx="207">
                  <c:v>-10173.091805833621</c:v>
                </c:pt>
                <c:pt idx="208">
                  <c:v>-10164.992561187817</c:v>
                </c:pt>
                <c:pt idx="209">
                  <c:v>-10157.084194356838</c:v>
                </c:pt>
                <c:pt idx="210">
                  <c:v>-10149.367017549463</c:v>
                </c:pt>
                <c:pt idx="211">
                  <c:v>-10141.841335426623</c:v>
                </c:pt>
                <c:pt idx="212">
                  <c:v>-10134.507445089359</c:v>
                </c:pt>
                <c:pt idx="213">
                  <c:v>-10127.365636067107</c:v>
                </c:pt>
                <c:pt idx="214">
                  <c:v>-10120.416190306256</c:v>
                </c:pt>
                <c:pt idx="215">
                  <c:v>-10113.659382159025</c:v>
                </c:pt>
                <c:pt idx="216">
                  <c:v>-10107.095478372634</c:v>
                </c:pt>
                <c:pt idx="217">
                  <c:v>-10100.724738078759</c:v>
                </c:pt>
                <c:pt idx="218">
                  <c:v>-10094.547412783322</c:v>
                </c:pt>
                <c:pt idx="219">
                  <c:v>-10088.563746356551</c:v>
                </c:pt>
                <c:pt idx="220">
                  <c:v>-10082.773975023345</c:v>
                </c:pt>
                <c:pt idx="221">
                  <c:v>-10077.178327353966</c:v>
                </c:pt>
                <c:pt idx="222">
                  <c:v>-10071.777024255003</c:v>
                </c:pt>
                <c:pt idx="223">
                  <c:v>-10066.570278960655</c:v>
                </c:pt>
                <c:pt idx="224">
                  <c:v>-10061.558297024305</c:v>
                </c:pt>
                <c:pt idx="225">
                  <c:v>-10056.741276310424</c:v>
                </c:pt>
                <c:pt idx="226">
                  <c:v>-10052.11940698674</c:v>
                </c:pt>
                <c:pt idx="227">
                  <c:v>-10047.692871516738</c:v>
                </c:pt>
                <c:pt idx="228">
                  <c:v>-10043.461844652462</c:v>
                </c:pt>
                <c:pt idx="229">
                  <c:v>-10039.426493427607</c:v>
                </c:pt>
                <c:pt idx="230">
                  <c:v>-10035.586977150928</c:v>
                </c:pt>
                <c:pt idx="231">
                  <c:v>-10031.943447399954</c:v>
                </c:pt>
                <c:pt idx="232">
                  <c:v>-10028.496048015</c:v>
                </c:pt>
                <c:pt idx="233">
                  <c:v>-10025.244915093495</c:v>
                </c:pt>
                <c:pt idx="234">
                  <c:v>-10022.190176984597</c:v>
                </c:pt>
                <c:pt idx="235">
                  <c:v>-10019.331954284135</c:v>
                </c:pt>
                <c:pt idx="236">
                  <c:v>-10016.670359829848</c:v>
                </c:pt>
                <c:pt idx="237">
                  <c:v>-10014.205498696927</c:v>
                </c:pt>
                <c:pt idx="238">
                  <c:v>-10011.937468193872</c:v>
                </c:pt>
                <c:pt idx="239">
                  <c:v>-10009.866357858638</c:v>
                </c:pt>
                <c:pt idx="240">
                  <c:v>-10007.992249455123</c:v>
                </c:pt>
                <c:pt idx="241">
                  <c:v>-10006.31521696991</c:v>
                </c:pt>
                <c:pt idx="242">
                  <c:v>-10004.835326609375</c:v>
                </c:pt>
                <c:pt idx="243">
                  <c:v>-10003.552636797052</c:v>
                </c:pt>
                <c:pt idx="244">
                  <c:v>-10002.46719817134</c:v>
                </c:pt>
                <c:pt idx="245">
                  <c:v>-10001.5790535835</c:v>
                </c:pt>
                <c:pt idx="246">
                  <c:v>-10000.888238095955</c:v>
                </c:pt>
                <c:pt idx="247">
                  <c:v>-10000.394778980919</c:v>
                </c:pt>
                <c:pt idx="248">
                  <c:v>-10000.098695719313</c:v>
                </c:pt>
                <c:pt idx="249">
                  <c:v>-10000</c:v>
                </c:pt>
                <c:pt idx="250">
                  <c:v>-10000.098695719314</c:v>
                </c:pt>
                <c:pt idx="251">
                  <c:v>-10000.394778980921</c:v>
                </c:pt>
                <c:pt idx="252">
                  <c:v>-10000.888238095955</c:v>
                </c:pt>
                <c:pt idx="253">
                  <c:v>-10001.5790535835</c:v>
                </c:pt>
                <c:pt idx="254">
                  <c:v>-10002.467198171344</c:v>
                </c:pt>
                <c:pt idx="255">
                  <c:v>-10003.552636797056</c:v>
                </c:pt>
                <c:pt idx="256">
                  <c:v>-10004.835326609378</c:v>
                </c:pt>
                <c:pt idx="257">
                  <c:v>-10006.315216969915</c:v>
                </c:pt>
                <c:pt idx="258">
                  <c:v>-10007.992249455128</c:v>
                </c:pt>
                <c:pt idx="259">
                  <c:v>-10009.866357858646</c:v>
                </c:pt>
                <c:pt idx="260">
                  <c:v>-10011.937468193877</c:v>
                </c:pt>
                <c:pt idx="261">
                  <c:v>-10014.205498696934</c:v>
                </c:pt>
                <c:pt idx="262">
                  <c:v>-10016.670359829855</c:v>
                </c:pt>
                <c:pt idx="263">
                  <c:v>-10019.331954284142</c:v>
                </c:pt>
                <c:pt idx="264">
                  <c:v>-10022.190176984604</c:v>
                </c:pt>
                <c:pt idx="265">
                  <c:v>-10025.244915093504</c:v>
                </c:pt>
                <c:pt idx="266">
                  <c:v>-10028.496048015011</c:v>
                </c:pt>
                <c:pt idx="267">
                  <c:v>-10031.943447399964</c:v>
                </c:pt>
                <c:pt idx="268">
                  <c:v>-10035.586977150939</c:v>
                </c:pt>
                <c:pt idx="269">
                  <c:v>-10039.426493427618</c:v>
                </c:pt>
                <c:pt idx="270">
                  <c:v>-10043.461844652473</c:v>
                </c:pt>
                <c:pt idx="271">
                  <c:v>-10047.692871516751</c:v>
                </c:pt>
                <c:pt idx="272">
                  <c:v>-10052.119406986752</c:v>
                </c:pt>
                <c:pt idx="273">
                  <c:v>-10056.741276310437</c:v>
                </c:pt>
                <c:pt idx="274">
                  <c:v>-10061.558297024319</c:v>
                </c:pt>
                <c:pt idx="275">
                  <c:v>-10066.570278960669</c:v>
                </c:pt>
                <c:pt idx="276">
                  <c:v>-10071.777024255018</c:v>
                </c:pt>
                <c:pt idx="277">
                  <c:v>-10077.178327353982</c:v>
                </c:pt>
                <c:pt idx="278">
                  <c:v>-10082.77397502336</c:v>
                </c:pt>
                <c:pt idx="279">
                  <c:v>-10088.563746356565</c:v>
                </c:pt>
                <c:pt idx="280">
                  <c:v>-10094.54741278334</c:v>
                </c:pt>
                <c:pt idx="281">
                  <c:v>-10100.724738078778</c:v>
                </c:pt>
                <c:pt idx="282">
                  <c:v>-10107.09547837265</c:v>
                </c:pt>
                <c:pt idx="283">
                  <c:v>-10113.659382159043</c:v>
                </c:pt>
                <c:pt idx="284">
                  <c:v>-10120.416190306274</c:v>
                </c:pt>
                <c:pt idx="285">
                  <c:v>-10127.365636067127</c:v>
                </c:pt>
                <c:pt idx="286">
                  <c:v>-10134.507445089381</c:v>
                </c:pt>
                <c:pt idx="287">
                  <c:v>-10141.841335426643</c:v>
                </c:pt>
                <c:pt idx="288">
                  <c:v>-10149.367017549484</c:v>
                </c:pt>
                <c:pt idx="289">
                  <c:v>-10157.084194356858</c:v>
                </c:pt>
                <c:pt idx="290">
                  <c:v>-10164.992561187839</c:v>
                </c:pt>
                <c:pt idx="291">
                  <c:v>-10173.091805833645</c:v>
                </c:pt>
                <c:pt idx="292">
                  <c:v>-10181.381608549967</c:v>
                </c:pt>
                <c:pt idx="293">
                  <c:v>-10189.861642069587</c:v>
                </c:pt>
                <c:pt idx="294">
                  <c:v>-10198.5315716153</c:v>
                </c:pt>
                <c:pt idx="295">
                  <c:v>-10207.391054913136</c:v>
                </c:pt>
                <c:pt idx="296">
                  <c:v>-10216.439742205865</c:v>
                </c:pt>
                <c:pt idx="297">
                  <c:v>-10225.677276266801</c:v>
                </c:pt>
                <c:pt idx="298">
                  <c:v>-10235.103292413924</c:v>
                </c:pt>
                <c:pt idx="299">
                  <c:v>-10244.717418524251</c:v>
                </c:pt>
                <c:pt idx="300">
                  <c:v>-10254.519275048546</c:v>
                </c:pt>
                <c:pt idx="301">
                  <c:v>-10264.508475026298</c:v>
                </c:pt>
                <c:pt idx="302">
                  <c:v>-10274.684624100995</c:v>
                </c:pt>
                <c:pt idx="303">
                  <c:v>-10285.047320535698</c:v>
                </c:pt>
                <c:pt idx="304">
                  <c:v>-10295.596155228894</c:v>
                </c:pt>
                <c:pt idx="305">
                  <c:v>-10306.33071173065</c:v>
                </c:pt>
                <c:pt idx="306">
                  <c:v>-10317.250566259059</c:v>
                </c:pt>
                <c:pt idx="307">
                  <c:v>-10328.35528771696</c:v>
                </c:pt>
                <c:pt idx="308">
                  <c:v>-10339.644437708967</c:v>
                </c:pt>
                <c:pt idx="309">
                  <c:v>-10351.117570558765</c:v>
                </c:pt>
                <c:pt idx="310">
                  <c:v>-10362.774233326716</c:v>
                </c:pt>
                <c:pt idx="311">
                  <c:v>-10374.613965827732</c:v>
                </c:pt>
                <c:pt idx="312">
                  <c:v>-10386.63630064945</c:v>
                </c:pt>
                <c:pt idx="313">
                  <c:v>-10398.840763170672</c:v>
                </c:pt>
                <c:pt idx="314">
                  <c:v>-10411.226871580118</c:v>
                </c:pt>
                <c:pt idx="315">
                  <c:v>-10423.794136895438</c:v>
                </c:pt>
                <c:pt idx="316">
                  <c:v>-10436.542062982511</c:v>
                </c:pt>
                <c:pt idx="317">
                  <c:v>-10449.470146575048</c:v>
                </c:pt>
                <c:pt idx="318">
                  <c:v>-10462.577877294441</c:v>
                </c:pt>
                <c:pt idx="319">
                  <c:v>-10475.86473766993</c:v>
                </c:pt>
                <c:pt idx="320">
                  <c:v>-10489.330203159014</c:v>
                </c:pt>
                <c:pt idx="321">
                  <c:v>-10502.973742168171</c:v>
                </c:pt>
                <c:pt idx="322">
                  <c:v>-10516.794816073849</c:v>
                </c:pt>
                <c:pt idx="323">
                  <c:v>-10530.792879243709</c:v>
                </c:pt>
                <c:pt idx="324">
                  <c:v>-10544.967379058191</c:v>
                </c:pt>
                <c:pt idx="325">
                  <c:v>-10559.317755932307</c:v>
                </c:pt>
                <c:pt idx="326">
                  <c:v>-10573.843443337753</c:v>
                </c:pt>
                <c:pt idx="327">
                  <c:v>-10588.543867825265</c:v>
                </c:pt>
                <c:pt idx="328">
                  <c:v>-10603.418449047251</c:v>
                </c:pt>
                <c:pt idx="329">
                  <c:v>-10618.466599780713</c:v>
                </c:pt>
                <c:pt idx="330">
                  <c:v>-10633.687725950431</c:v>
                </c:pt>
                <c:pt idx="331">
                  <c:v>-10649.081226652404</c:v>
                </c:pt>
                <c:pt idx="332">
                  <c:v>-10664.646494177583</c:v>
                </c:pt>
                <c:pt idx="333">
                  <c:v>-10680.382914035858</c:v>
                </c:pt>
                <c:pt idx="334">
                  <c:v>-10696.289864980316</c:v>
                </c:pt>
                <c:pt idx="335">
                  <c:v>-10712.366719031774</c:v>
                </c:pt>
                <c:pt idx="336">
                  <c:v>-10728.61284150356</c:v>
                </c:pt>
                <c:pt idx="337">
                  <c:v>-10745.027591026577</c:v>
                </c:pt>
                <c:pt idx="338">
                  <c:v>-10761.61031957462</c:v>
                </c:pt>
                <c:pt idx="339">
                  <c:v>-10778.360372489962</c:v>
                </c:pt>
                <c:pt idx="340">
                  <c:v>-10795.277088509192</c:v>
                </c:pt>
                <c:pt idx="341">
                  <c:v>-10812.35979978933</c:v>
                </c:pt>
                <c:pt idx="342">
                  <c:v>-10829.607831934183</c:v>
                </c:pt>
                <c:pt idx="343">
                  <c:v>-10847.020504020977</c:v>
                </c:pt>
                <c:pt idx="344">
                  <c:v>-10864.597128627229</c:v>
                </c:pt>
                <c:pt idx="345">
                  <c:v>-10882.337011857902</c:v>
                </c:pt>
                <c:pt idx="346">
                  <c:v>-10900.239453372778</c:v>
                </c:pt>
                <c:pt idx="347">
                  <c:v>-10918.30374641412</c:v>
                </c:pt>
                <c:pt idx="348">
                  <c:v>-10936.529177834571</c:v>
                </c:pt>
                <c:pt idx="349">
                  <c:v>-10954.915028125304</c:v>
                </c:pt>
                <c:pt idx="350">
                  <c:v>-10973.460571444433</c:v>
                </c:pt>
                <c:pt idx="351">
                  <c:v>-10992.16507564566</c:v>
                </c:pt>
                <c:pt idx="352">
                  <c:v>-11011.027802307188</c:v>
                </c:pt>
                <c:pt idx="353">
                  <c:v>-11030.048006760866</c:v>
                </c:pt>
                <c:pt idx="354">
                  <c:v>-11049.224938121592</c:v>
                </c:pt>
                <c:pt idx="355">
                  <c:v>-11068.557839316951</c:v>
                </c:pt>
                <c:pt idx="356">
                  <c:v>-11088.045947117105</c:v>
                </c:pt>
                <c:pt idx="357">
                  <c:v>-11107.688492164929</c:v>
                </c:pt>
                <c:pt idx="358">
                  <c:v>-11127.484699006378</c:v>
                </c:pt>
                <c:pt idx="359">
                  <c:v>-11147.433786121101</c:v>
                </c:pt>
                <c:pt idx="360">
                  <c:v>-11167.534965953299</c:v>
                </c:pt>
                <c:pt idx="361">
                  <c:v>-11187.787444942809</c:v>
                </c:pt>
                <c:pt idx="362">
                  <c:v>-11208.19042355644</c:v>
                </c:pt>
                <c:pt idx="363">
                  <c:v>-11228.743096319529</c:v>
                </c:pt>
                <c:pt idx="364">
                  <c:v>-11249.444651847753</c:v>
                </c:pt>
                <c:pt idx="365">
                  <c:v>-11270.294272879139</c:v>
                </c:pt>
                <c:pt idx="366">
                  <c:v>-11291.291136306354</c:v>
                </c:pt>
                <c:pt idx="367">
                  <c:v>-11312.434413209181</c:v>
                </c:pt>
                <c:pt idx="368">
                  <c:v>-11333.723268887252</c:v>
                </c:pt>
                <c:pt idx="369">
                  <c:v>-11355.156862892994</c:v>
                </c:pt>
                <c:pt idx="370">
                  <c:v>-11376.73434906482</c:v>
                </c:pt>
                <c:pt idx="371">
                  <c:v>-11398.454875560519</c:v>
                </c:pt>
                <c:pt idx="372">
                  <c:v>-11420.317584890898</c:v>
                </c:pt>
                <c:pt idx="373">
                  <c:v>-11442.321613953627</c:v>
                </c:pt>
                <c:pt idx="374">
                  <c:v>-11464.466094067317</c:v>
                </c:pt>
                <c:pt idx="375">
                  <c:v>-11486.75015100581</c:v>
                </c:pt>
                <c:pt idx="376">
                  <c:v>-11509.172905032692</c:v>
                </c:pt>
                <c:pt idx="377">
                  <c:v>-11531.733470936031</c:v>
                </c:pt>
                <c:pt idx="378">
                  <c:v>-11554.430958063314</c:v>
                </c:pt>
                <c:pt idx="379">
                  <c:v>-11577.264470356615</c:v>
                </c:pt>
                <c:pt idx="380">
                  <c:v>-11600.233106387961</c:v>
                </c:pt>
                <c:pt idx="381">
                  <c:v>-11623.335959394935</c:v>
                </c:pt>
                <c:pt idx="382">
                  <c:v>-11646.572117316458</c:v>
                </c:pt>
                <c:pt idx="383">
                  <c:v>-11669.940662828802</c:v>
                </c:pt>
                <c:pt idx="384">
                  <c:v>-11693.440673381801</c:v>
                </c:pt>
                <c:pt idx="385">
                  <c:v>-11717.071221235277</c:v>
                </c:pt>
                <c:pt idx="386">
                  <c:v>-11740.831373495666</c:v>
                </c:pt>
                <c:pt idx="387">
                  <c:v>-11764.720192152839</c:v>
                </c:pt>
                <c:pt idx="388">
                  <c:v>-11788.736734117141</c:v>
                </c:pt>
                <c:pt idx="389">
                  <c:v>-11812.880051256614</c:v>
                </c:pt>
                <c:pt idx="390">
                  <c:v>-11837.14919043444</c:v>
                </c:pt>
                <c:pt idx="391">
                  <c:v>-11861.543193546562</c:v>
                </c:pt>
                <c:pt idx="392">
                  <c:v>-11886.061097559501</c:v>
                </c:pt>
                <c:pt idx="393">
                  <c:v>-11910.701934548393</c:v>
                </c:pt>
                <c:pt idx="394">
                  <c:v>-11935.464731735183</c:v>
                </c:pt>
                <c:pt idx="395">
                  <c:v>-11960.348511527038</c:v>
                </c:pt>
                <c:pt idx="396">
                  <c:v>-11985.352291554942</c:v>
                </c:pt>
                <c:pt idx="397">
                  <c:v>-12010.475084712472</c:v>
                </c:pt>
                <c:pt idx="398">
                  <c:v>-12035.715899194771</c:v>
                </c:pt>
                <c:pt idx="399">
                  <c:v>-12061.073738537702</c:v>
                </c:pt>
                <c:pt idx="400">
                  <c:v>-12086.547601657188</c:v>
                </c:pt>
                <c:pt idx="401">
                  <c:v>-12112.136482888731</c:v>
                </c:pt>
                <c:pt idx="402">
                  <c:v>-12137.839372027116</c:v>
                </c:pt>
                <c:pt idx="403">
                  <c:v>-12163.655254366287</c:v>
                </c:pt>
                <c:pt idx="404">
                  <c:v>-12189.583110739417</c:v>
                </c:pt>
                <c:pt idx="405">
                  <c:v>-12215.62191755913</c:v>
                </c:pt>
                <c:pt idx="406">
                  <c:v>-12241.77064685792</c:v>
                </c:pt>
                <c:pt idx="407">
                  <c:v>-12268.028266328727</c:v>
                </c:pt>
                <c:pt idx="408">
                  <c:v>-12294.393739365692</c:v>
                </c:pt>
                <c:pt idx="409">
                  <c:v>-12320.86602510509</c:v>
                </c:pt>
                <c:pt idx="410">
                  <c:v>-12347.444078466404</c:v>
                </c:pt>
                <c:pt idx="411">
                  <c:v>-12374.126850193596</c:v>
                </c:pt>
                <c:pt idx="412">
                  <c:v>-12400.913286896528</c:v>
                </c:pt>
                <c:pt idx="413">
                  <c:v>-12427.802331092542</c:v>
                </c:pt>
                <c:pt idx="414">
                  <c:v>-12454.792921248219</c:v>
                </c:pt>
                <c:pt idx="415">
                  <c:v>-12481.883991821273</c:v>
                </c:pt>
                <c:pt idx="416">
                  <c:v>-12509.074473302622</c:v>
                </c:pt>
                <c:pt idx="417">
                  <c:v>-12536.363292258618</c:v>
                </c:pt>
                <c:pt idx="418">
                  <c:v>-12563.749371373417</c:v>
                </c:pt>
                <c:pt idx="419">
                  <c:v>-12591.231629491502</c:v>
                </c:pt>
                <c:pt idx="420">
                  <c:v>-12618.808981660382</c:v>
                </c:pt>
                <c:pt idx="421">
                  <c:v>-12646.480339173417</c:v>
                </c:pt>
                <c:pt idx="422">
                  <c:v>-12674.244609612788</c:v>
                </c:pt>
                <c:pt idx="423">
                  <c:v>-12702.100696892641</c:v>
                </c:pt>
                <c:pt idx="424">
                  <c:v>-12730.047501302346</c:v>
                </c:pt>
                <c:pt idx="425">
                  <c:v>-12758.083919549919</c:v>
                </c:pt>
                <c:pt idx="426">
                  <c:v>-12786.208844805575</c:v>
                </c:pt>
                <c:pt idx="427">
                  <c:v>-12814.421166745418</c:v>
                </c:pt>
                <c:pt idx="428">
                  <c:v>-12842.719771595288</c:v>
                </c:pt>
                <c:pt idx="429">
                  <c:v>-12871.10354217472</c:v>
                </c:pt>
                <c:pt idx="430">
                  <c:v>-12899.571357941051</c:v>
                </c:pt>
                <c:pt idx="431">
                  <c:v>-12928.122095033663</c:v>
                </c:pt>
                <c:pt idx="432">
                  <c:v>-12956.754626318339</c:v>
                </c:pt>
                <c:pt idx="433">
                  <c:v>-12985.467821431772</c:v>
                </c:pt>
                <c:pt idx="434">
                  <c:v>-13014.260546826183</c:v>
                </c:pt>
                <c:pt idx="435">
                  <c:v>-13043.131665814073</c:v>
                </c:pt>
                <c:pt idx="436">
                  <c:v>-13072.080038613103</c:v>
                </c:pt>
                <c:pt idx="437">
                  <c:v>-13101.104522391081</c:v>
                </c:pt>
                <c:pt idx="438">
                  <c:v>-13130.203971311086</c:v>
                </c:pt>
                <c:pt idx="439">
                  <c:v>-13159.377236576698</c:v>
                </c:pt>
                <c:pt idx="440">
                  <c:v>-13188.62316647736</c:v>
                </c:pt>
                <c:pt idx="441">
                  <c:v>-13217.940606433835</c:v>
                </c:pt>
                <c:pt idx="442">
                  <c:v>-13247.328399043794</c:v>
                </c:pt>
                <c:pt idx="443">
                  <c:v>-13276.785384127505</c:v>
                </c:pt>
                <c:pt idx="444">
                  <c:v>-13306.310398773634</c:v>
                </c:pt>
                <c:pt idx="445">
                  <c:v>-13335.902277385158</c:v>
                </c:pt>
                <c:pt idx="446">
                  <c:v>-13365.559851725378</c:v>
                </c:pt>
                <c:pt idx="447">
                  <c:v>-13395.281950964045</c:v>
                </c:pt>
                <c:pt idx="448">
                  <c:v>-13425.067401723569</c:v>
                </c:pt>
                <c:pt idx="449">
                  <c:v>-13454.915028125355</c:v>
                </c:pt>
                <c:pt idx="450">
                  <c:v>-13484.823651836223</c:v>
                </c:pt>
                <c:pt idx="451">
                  <c:v>-13514.792092114918</c:v>
                </c:pt>
                <c:pt idx="452">
                  <c:v>-13544.819165858735</c:v>
                </c:pt>
                <c:pt idx="453">
                  <c:v>-13574.903687650214</c:v>
                </c:pt>
                <c:pt idx="454">
                  <c:v>-13605.044469803948</c:v>
                </c:pt>
                <c:pt idx="455">
                  <c:v>-13635.240322413469</c:v>
                </c:pt>
                <c:pt idx="456">
                  <c:v>-13665.490053398218</c:v>
                </c:pt>
                <c:pt idx="457">
                  <c:v>-13695.792468550611</c:v>
                </c:pt>
                <c:pt idx="458">
                  <c:v>-13726.146371583185</c:v>
                </c:pt>
                <c:pt idx="459">
                  <c:v>-13756.550564175823</c:v>
                </c:pt>
                <c:pt idx="460">
                  <c:v>-13787.003846023061</c:v>
                </c:pt>
                <c:pt idx="461">
                  <c:v>-13817.505014881473</c:v>
                </c:pt>
                <c:pt idx="462">
                  <c:v>-13848.052866617145</c:v>
                </c:pt>
                <c:pt idx="463">
                  <c:v>-13878.646195253192</c:v>
                </c:pt>
                <c:pt idx="464">
                  <c:v>-13909.283793017386</c:v>
                </c:pt>
                <c:pt idx="465">
                  <c:v>-13939.964450389825</c:v>
                </c:pt>
                <c:pt idx="466">
                  <c:v>-13970.686956150694</c:v>
                </c:pt>
                <c:pt idx="467">
                  <c:v>-14001.450097428065</c:v>
                </c:pt>
                <c:pt idx="468">
                  <c:v>-14032.252659745798</c:v>
                </c:pt>
                <c:pt idx="469">
                  <c:v>-14063.093427071477</c:v>
                </c:pt>
                <c:pt idx="470">
                  <c:v>-14093.971181864414</c:v>
                </c:pt>
                <c:pt idx="471">
                  <c:v>-14124.884705123721</c:v>
                </c:pt>
                <c:pt idx="472">
                  <c:v>-14155.832776436433</c:v>
                </c:pt>
                <c:pt idx="473">
                  <c:v>-14186.814174025683</c:v>
                </c:pt>
                <c:pt idx="474">
                  <c:v>-14217.827674798948</c:v>
                </c:pt>
                <c:pt idx="475">
                  <c:v>-14248.872054396317</c:v>
                </c:pt>
                <c:pt idx="476">
                  <c:v>-14279.946087238843</c:v>
                </c:pt>
                <c:pt idx="477">
                  <c:v>-14311.048546576912</c:v>
                </c:pt>
                <c:pt idx="478">
                  <c:v>-14342.178204538692</c:v>
                </c:pt>
                <c:pt idx="479">
                  <c:v>-14373.333832178583</c:v>
                </c:pt>
                <c:pt idx="480">
                  <c:v>-14404.514199525756</c:v>
                </c:pt>
                <c:pt idx="481">
                  <c:v>-14435.718075632696</c:v>
                </c:pt>
                <c:pt idx="482">
                  <c:v>-14466.944228623806</c:v>
                </c:pt>
                <c:pt idx="483">
                  <c:v>-14498.191425744031</c:v>
                </c:pt>
                <c:pt idx="484">
                  <c:v>-14529.458433407535</c:v>
                </c:pt>
                <c:pt idx="485">
                  <c:v>-14560.74401724639</c:v>
                </c:pt>
                <c:pt idx="486">
                  <c:v>-14592.046942159319</c:v>
                </c:pt>
                <c:pt idx="487">
                  <c:v>-14623.365972360443</c:v>
                </c:pt>
                <c:pt idx="488">
                  <c:v>-14654.699871428078</c:v>
                </c:pt>
                <c:pt idx="489">
                  <c:v>-14686.047402353541</c:v>
                </c:pt>
                <c:pt idx="490">
                  <c:v>-14717.407327589985</c:v>
                </c:pt>
                <c:pt idx="491">
                  <c:v>-14748.77840910126</c:v>
                </c:pt>
                <c:pt idx="492">
                  <c:v>-14780.159408410784</c:v>
                </c:pt>
                <c:pt idx="493">
                  <c:v>-14811.549086650437</c:v>
                </c:pt>
                <c:pt idx="494">
                  <c:v>-14842.946204609467</c:v>
                </c:pt>
                <c:pt idx="495">
                  <c:v>-14874.349522783423</c:v>
                </c:pt>
                <c:pt idx="496">
                  <c:v>-14905.757801423069</c:v>
                </c:pt>
                <c:pt idx="497">
                  <c:v>-14937.169800583346</c:v>
                </c:pt>
                <c:pt idx="498">
                  <c:v>-14968.584280172316</c:v>
                </c:pt>
                <c:pt idx="499">
                  <c:v>-15000.000000000111</c:v>
                </c:pt>
                <c:pt idx="500">
                  <c:v>-15031.415719827906</c:v>
                </c:pt>
                <c:pt idx="501">
                  <c:v>-15062.830199416874</c:v>
                </c:pt>
                <c:pt idx="502">
                  <c:v>-15094.242198577153</c:v>
                </c:pt>
                <c:pt idx="503">
                  <c:v>-15125.650477216799</c:v>
                </c:pt>
                <c:pt idx="504">
                  <c:v>-15157.053795390753</c:v>
                </c:pt>
                <c:pt idx="505">
                  <c:v>-15188.450913349785</c:v>
                </c:pt>
                <c:pt idx="506">
                  <c:v>-15219.840591589436</c:v>
                </c:pt>
                <c:pt idx="507">
                  <c:v>-15251.22159089896</c:v>
                </c:pt>
                <c:pt idx="508">
                  <c:v>-15282.592672410236</c:v>
                </c:pt>
                <c:pt idx="509">
                  <c:v>-15313.952597646679</c:v>
                </c:pt>
                <c:pt idx="510">
                  <c:v>-15345.300128572142</c:v>
                </c:pt>
                <c:pt idx="511">
                  <c:v>-15376.634027639777</c:v>
                </c:pt>
                <c:pt idx="512">
                  <c:v>-15407.953057840901</c:v>
                </c:pt>
                <c:pt idx="513">
                  <c:v>-15439.25598275383</c:v>
                </c:pt>
                <c:pt idx="514">
                  <c:v>-15470.541566592685</c:v>
                </c:pt>
                <c:pt idx="515">
                  <c:v>-15501.808574256189</c:v>
                </c:pt>
                <c:pt idx="516">
                  <c:v>-15533.055771376414</c:v>
                </c:pt>
                <c:pt idx="517">
                  <c:v>-15564.281924367522</c:v>
                </c:pt>
                <c:pt idx="518">
                  <c:v>-15595.485800474464</c:v>
                </c:pt>
                <c:pt idx="519">
                  <c:v>-15626.666167821637</c:v>
                </c:pt>
                <c:pt idx="520">
                  <c:v>-15657.821795461528</c:v>
                </c:pt>
                <c:pt idx="521">
                  <c:v>-15688.951453423306</c:v>
                </c:pt>
                <c:pt idx="522">
                  <c:v>-15720.053912761376</c:v>
                </c:pt>
                <c:pt idx="523">
                  <c:v>-15751.127945603901</c:v>
                </c:pt>
                <c:pt idx="524">
                  <c:v>-15782.172325201271</c:v>
                </c:pt>
                <c:pt idx="525">
                  <c:v>-15813.185825974533</c:v>
                </c:pt>
                <c:pt idx="526">
                  <c:v>-15844.167223563785</c:v>
                </c:pt>
                <c:pt idx="527">
                  <c:v>-15875.115294876496</c:v>
                </c:pt>
                <c:pt idx="528">
                  <c:v>-15906.028818135803</c:v>
                </c:pt>
                <c:pt idx="529">
                  <c:v>-15936.906572928739</c:v>
                </c:pt>
                <c:pt idx="530">
                  <c:v>-15967.747340254418</c:v>
                </c:pt>
                <c:pt idx="531">
                  <c:v>-15998.549902572151</c:v>
                </c:pt>
                <c:pt idx="532">
                  <c:v>-16029.313043849523</c:v>
                </c:pt>
                <c:pt idx="533">
                  <c:v>-16060.035549610389</c:v>
                </c:pt>
                <c:pt idx="534">
                  <c:v>-16090.71620698283</c:v>
                </c:pt>
                <c:pt idx="535">
                  <c:v>-16121.353804747023</c:v>
                </c:pt>
                <c:pt idx="536">
                  <c:v>-16151.94713338307</c:v>
                </c:pt>
                <c:pt idx="537">
                  <c:v>-16182.494985118741</c:v>
                </c:pt>
                <c:pt idx="538">
                  <c:v>-16212.996153977154</c:v>
                </c:pt>
                <c:pt idx="539">
                  <c:v>-16243.44943582439</c:v>
                </c:pt>
                <c:pt idx="540">
                  <c:v>-16273.853628417028</c:v>
                </c:pt>
                <c:pt idx="541">
                  <c:v>-16304.207531449601</c:v>
                </c:pt>
                <c:pt idx="542">
                  <c:v>-16334.509946601995</c:v>
                </c:pt>
                <c:pt idx="543">
                  <c:v>-16364.759677586744</c:v>
                </c:pt>
                <c:pt idx="544">
                  <c:v>-16394.955530196265</c:v>
                </c:pt>
                <c:pt idx="545">
                  <c:v>-16425.096312349997</c:v>
                </c:pt>
                <c:pt idx="546">
                  <c:v>-16455.180834141476</c:v>
                </c:pt>
                <c:pt idx="547">
                  <c:v>-16485.207907885291</c:v>
                </c:pt>
                <c:pt idx="548">
                  <c:v>-16515.176348163986</c:v>
                </c:pt>
                <c:pt idx="549">
                  <c:v>-16545.084971874854</c:v>
                </c:pt>
                <c:pt idx="550">
                  <c:v>-16574.932598276642</c:v>
                </c:pt>
                <c:pt idx="551">
                  <c:v>-16604.718049036164</c:v>
                </c:pt>
                <c:pt idx="552">
                  <c:v>-16634.440148274829</c:v>
                </c:pt>
                <c:pt idx="553">
                  <c:v>-16664.09772261505</c:v>
                </c:pt>
                <c:pt idx="554">
                  <c:v>-16693.689601226575</c:v>
                </c:pt>
                <c:pt idx="555">
                  <c:v>-16723.214615872705</c:v>
                </c:pt>
                <c:pt idx="556">
                  <c:v>-16752.671600956412</c:v>
                </c:pt>
                <c:pt idx="557">
                  <c:v>-16782.059393566371</c:v>
                </c:pt>
                <c:pt idx="558">
                  <c:v>-16811.376833522845</c:v>
                </c:pt>
                <c:pt idx="559">
                  <c:v>-16840.622763423507</c:v>
                </c:pt>
                <c:pt idx="560">
                  <c:v>-16869.796028689121</c:v>
                </c:pt>
                <c:pt idx="561">
                  <c:v>-16898.895477609123</c:v>
                </c:pt>
                <c:pt idx="562">
                  <c:v>-16927.919961387099</c:v>
                </c:pt>
                <c:pt idx="563">
                  <c:v>-16956.868334186129</c:v>
                </c:pt>
                <c:pt idx="564">
                  <c:v>-16985.739453174021</c:v>
                </c:pt>
                <c:pt idx="565">
                  <c:v>-17014.532178568432</c:v>
                </c:pt>
                <c:pt idx="566">
                  <c:v>-17043.245373681861</c:v>
                </c:pt>
                <c:pt idx="567">
                  <c:v>-17071.877904966539</c:v>
                </c:pt>
                <c:pt idx="568">
                  <c:v>-17100.428642059149</c:v>
                </c:pt>
                <c:pt idx="569">
                  <c:v>-17128.896457825482</c:v>
                </c:pt>
                <c:pt idx="570">
                  <c:v>-17157.28022840491</c:v>
                </c:pt>
                <c:pt idx="571">
                  <c:v>-17185.578833254782</c:v>
                </c:pt>
                <c:pt idx="572">
                  <c:v>-17213.791155194624</c:v>
                </c:pt>
                <c:pt idx="573">
                  <c:v>-17241.916080450279</c:v>
                </c:pt>
                <c:pt idx="574">
                  <c:v>-17269.95249869785</c:v>
                </c:pt>
                <c:pt idx="575">
                  <c:v>-17297.899303107555</c:v>
                </c:pt>
                <c:pt idx="576">
                  <c:v>-17325.755390387407</c:v>
                </c:pt>
                <c:pt idx="577">
                  <c:v>-17353.51966082678</c:v>
                </c:pt>
                <c:pt idx="578">
                  <c:v>-17381.19101833981</c:v>
                </c:pt>
                <c:pt idx="579">
                  <c:v>-17408.768370508693</c:v>
                </c:pt>
                <c:pt idx="580">
                  <c:v>-17436.250628626778</c:v>
                </c:pt>
                <c:pt idx="581">
                  <c:v>-17463.636707741571</c:v>
                </c:pt>
                <c:pt idx="582">
                  <c:v>-17490.925526697571</c:v>
                </c:pt>
                <c:pt idx="583">
                  <c:v>-17518.11600817892</c:v>
                </c:pt>
                <c:pt idx="584">
                  <c:v>-17545.20707875197</c:v>
                </c:pt>
                <c:pt idx="585">
                  <c:v>-17572.197668907647</c:v>
                </c:pt>
                <c:pt idx="586">
                  <c:v>-17599.086713103661</c:v>
                </c:pt>
                <c:pt idx="587">
                  <c:v>-17625.873149806594</c:v>
                </c:pt>
                <c:pt idx="588">
                  <c:v>-17652.555921533785</c:v>
                </c:pt>
                <c:pt idx="589">
                  <c:v>-17679.133974895096</c:v>
                </c:pt>
                <c:pt idx="590">
                  <c:v>-17705.606260634493</c:v>
                </c:pt>
                <c:pt idx="591">
                  <c:v>-17731.97173367146</c:v>
                </c:pt>
                <c:pt idx="592">
                  <c:v>-17758.229353142262</c:v>
                </c:pt>
                <c:pt idx="593">
                  <c:v>-17784.378082441053</c:v>
                </c:pt>
                <c:pt idx="594">
                  <c:v>-17810.416889260763</c:v>
                </c:pt>
                <c:pt idx="595">
                  <c:v>-17836.344745633894</c:v>
                </c:pt>
                <c:pt idx="596">
                  <c:v>-17862.160627973066</c:v>
                </c:pt>
                <c:pt idx="597">
                  <c:v>-17887.863517111451</c:v>
                </c:pt>
                <c:pt idx="598">
                  <c:v>-17913.45239834299</c:v>
                </c:pt>
                <c:pt idx="599">
                  <c:v>-17938.926261462475</c:v>
                </c:pt>
                <c:pt idx="600">
                  <c:v>-17964.284100805406</c:v>
                </c:pt>
                <c:pt idx="601">
                  <c:v>-17989.524915287704</c:v>
                </c:pt>
                <c:pt idx="602">
                  <c:v>-18014.647708445234</c:v>
                </c:pt>
                <c:pt idx="603">
                  <c:v>-18039.651488473137</c:v>
                </c:pt>
                <c:pt idx="604">
                  <c:v>-18064.53526826499</c:v>
                </c:pt>
                <c:pt idx="605">
                  <c:v>-18089.298065451781</c:v>
                </c:pt>
                <c:pt idx="606">
                  <c:v>-18113.93890244067</c:v>
                </c:pt>
                <c:pt idx="607">
                  <c:v>-18138.456806453611</c:v>
                </c:pt>
                <c:pt idx="608">
                  <c:v>-18162.850809565731</c:v>
                </c:pt>
                <c:pt idx="609">
                  <c:v>-18187.119948743555</c:v>
                </c:pt>
                <c:pt idx="610">
                  <c:v>-18211.26326588303</c:v>
                </c:pt>
                <c:pt idx="611">
                  <c:v>-18235.279807847328</c:v>
                </c:pt>
                <c:pt idx="612">
                  <c:v>-18259.168626504499</c:v>
                </c:pt>
                <c:pt idx="613">
                  <c:v>-18282.928778764886</c:v>
                </c:pt>
                <c:pt idx="614">
                  <c:v>-18306.559326618364</c:v>
                </c:pt>
                <c:pt idx="615">
                  <c:v>-18330.059337171362</c:v>
                </c:pt>
                <c:pt idx="616">
                  <c:v>-18353.427882683704</c:v>
                </c:pt>
                <c:pt idx="617">
                  <c:v>-18376.664040605225</c:v>
                </c:pt>
                <c:pt idx="618">
                  <c:v>-18399.766893612199</c:v>
                </c:pt>
                <c:pt idx="619">
                  <c:v>-18422.735529643545</c:v>
                </c:pt>
                <c:pt idx="620">
                  <c:v>-18445.569041936847</c:v>
                </c:pt>
                <c:pt idx="621">
                  <c:v>-18468.266529064127</c:v>
                </c:pt>
                <c:pt idx="622">
                  <c:v>-18490.827094967466</c:v>
                </c:pt>
                <c:pt idx="623">
                  <c:v>-18513.249848994346</c:v>
                </c:pt>
                <c:pt idx="624">
                  <c:v>-18535.53390593284</c:v>
                </c:pt>
                <c:pt idx="625">
                  <c:v>-18557.678386046529</c:v>
                </c:pt>
                <c:pt idx="626">
                  <c:v>-18579.682415109255</c:v>
                </c:pt>
                <c:pt idx="627">
                  <c:v>-18601.545124439635</c:v>
                </c:pt>
                <c:pt idx="628">
                  <c:v>-18623.265650935333</c:v>
                </c:pt>
                <c:pt idx="629">
                  <c:v>-18644.843137107157</c:v>
                </c:pt>
                <c:pt idx="630">
                  <c:v>-18666.276731112899</c:v>
                </c:pt>
                <c:pt idx="631">
                  <c:v>-18687.565586790966</c:v>
                </c:pt>
                <c:pt idx="632">
                  <c:v>-18708.708863693795</c:v>
                </c:pt>
                <c:pt idx="633">
                  <c:v>-18729.705727121007</c:v>
                </c:pt>
                <c:pt idx="634">
                  <c:v>-18750.555348152393</c:v>
                </c:pt>
                <c:pt idx="635">
                  <c:v>-18771.256903680616</c:v>
                </c:pt>
                <c:pt idx="636">
                  <c:v>-18791.809576443702</c:v>
                </c:pt>
                <c:pt idx="637">
                  <c:v>-18812.212555057333</c:v>
                </c:pt>
                <c:pt idx="638">
                  <c:v>-18832.46503404684</c:v>
                </c:pt>
                <c:pt idx="639">
                  <c:v>-18852.566213879036</c:v>
                </c:pt>
                <c:pt idx="640">
                  <c:v>-18872.515300993757</c:v>
                </c:pt>
                <c:pt idx="641">
                  <c:v>-18892.311507835202</c:v>
                </c:pt>
                <c:pt idx="642">
                  <c:v>-18911.954052883022</c:v>
                </c:pt>
                <c:pt idx="643">
                  <c:v>-18931.442160683175</c:v>
                </c:pt>
                <c:pt idx="644">
                  <c:v>-18950.775061878532</c:v>
                </c:pt>
                <c:pt idx="645">
                  <c:v>-18969.951993239254</c:v>
                </c:pt>
                <c:pt idx="646">
                  <c:v>-18988.972197692929</c:v>
                </c:pt>
                <c:pt idx="647">
                  <c:v>-19007.834924354458</c:v>
                </c:pt>
                <c:pt idx="648">
                  <c:v>-19026.539428555683</c:v>
                </c:pt>
                <c:pt idx="649">
                  <c:v>-19045.084971874807</c:v>
                </c:pt>
                <c:pt idx="650">
                  <c:v>-19063.470822165538</c:v>
                </c:pt>
                <c:pt idx="651">
                  <c:v>-19081.696253585986</c:v>
                </c:pt>
                <c:pt idx="652">
                  <c:v>-19099.760546627327</c:v>
                </c:pt>
                <c:pt idx="653">
                  <c:v>-19117.662988142201</c:v>
                </c:pt>
                <c:pt idx="654">
                  <c:v>-19135.402871372869</c:v>
                </c:pt>
                <c:pt idx="655">
                  <c:v>-19152.979495979122</c:v>
                </c:pt>
                <c:pt idx="656">
                  <c:v>-19170.392168065915</c:v>
                </c:pt>
                <c:pt idx="657">
                  <c:v>-19187.640200210764</c:v>
                </c:pt>
                <c:pt idx="658">
                  <c:v>-19204.722911490899</c:v>
                </c:pt>
                <c:pt idx="659">
                  <c:v>-19221.639627510129</c:v>
                </c:pt>
                <c:pt idx="660">
                  <c:v>-19238.389680425469</c:v>
                </c:pt>
                <c:pt idx="661">
                  <c:v>-19254.97240897351</c:v>
                </c:pt>
                <c:pt idx="662">
                  <c:v>-19271.387158496524</c:v>
                </c:pt>
                <c:pt idx="663">
                  <c:v>-19287.633280968308</c:v>
                </c:pt>
                <c:pt idx="664">
                  <c:v>-19303.710135019763</c:v>
                </c:pt>
                <c:pt idx="665">
                  <c:v>-19319.617085964222</c:v>
                </c:pt>
                <c:pt idx="666">
                  <c:v>-19335.353505822492</c:v>
                </c:pt>
                <c:pt idx="667">
                  <c:v>-19350.918773347668</c:v>
                </c:pt>
                <c:pt idx="668">
                  <c:v>-19366.31227404964</c:v>
                </c:pt>
                <c:pt idx="669">
                  <c:v>-19381.533400219356</c:v>
                </c:pt>
                <c:pt idx="670">
                  <c:v>-19396.581550952818</c:v>
                </c:pt>
                <c:pt idx="671">
                  <c:v>-19411.456132174804</c:v>
                </c:pt>
                <c:pt idx="672">
                  <c:v>-19426.15655666231</c:v>
                </c:pt>
                <c:pt idx="673">
                  <c:v>-19440.682244067757</c:v>
                </c:pt>
                <c:pt idx="674">
                  <c:v>-19455.032620941871</c:v>
                </c:pt>
                <c:pt idx="675">
                  <c:v>-19469.207120756349</c:v>
                </c:pt>
                <c:pt idx="676">
                  <c:v>-19483.205183926209</c:v>
                </c:pt>
                <c:pt idx="677">
                  <c:v>-19497.026257831883</c:v>
                </c:pt>
                <c:pt idx="678">
                  <c:v>-19510.669796841041</c:v>
                </c:pt>
                <c:pt idx="679">
                  <c:v>-19524.135262330125</c:v>
                </c:pt>
                <c:pt idx="680">
                  <c:v>-19537.422122705611</c:v>
                </c:pt>
                <c:pt idx="681">
                  <c:v>-19550.529853425003</c:v>
                </c:pt>
                <c:pt idx="682">
                  <c:v>-19563.457937017534</c:v>
                </c:pt>
                <c:pt idx="683">
                  <c:v>-19576.205863104609</c:v>
                </c:pt>
                <c:pt idx="684">
                  <c:v>-19588.773128419925</c:v>
                </c:pt>
                <c:pt idx="685">
                  <c:v>-19601.159236829371</c:v>
                </c:pt>
                <c:pt idx="686">
                  <c:v>-19613.363699350593</c:v>
                </c:pt>
                <c:pt idx="687">
                  <c:v>-19625.386034172308</c:v>
                </c:pt>
                <c:pt idx="688">
                  <c:v>-19637.22576667332</c:v>
                </c:pt>
                <c:pt idx="689">
                  <c:v>-19648.882429441273</c:v>
                </c:pt>
                <c:pt idx="690">
                  <c:v>-19660.355562291068</c:v>
                </c:pt>
                <c:pt idx="691">
                  <c:v>-19671.644712283072</c:v>
                </c:pt>
                <c:pt idx="692">
                  <c:v>-19682.749433740973</c:v>
                </c:pt>
                <c:pt idx="693">
                  <c:v>-19693.669288269382</c:v>
                </c:pt>
                <c:pt idx="694">
                  <c:v>-19704.403844771139</c:v>
                </c:pt>
                <c:pt idx="695">
                  <c:v>-19714.952679464332</c:v>
                </c:pt>
                <c:pt idx="696">
                  <c:v>-19725.315375899034</c:v>
                </c:pt>
                <c:pt idx="697">
                  <c:v>-19735.491524973731</c:v>
                </c:pt>
                <c:pt idx="698">
                  <c:v>-19745.480724951482</c:v>
                </c:pt>
                <c:pt idx="699">
                  <c:v>-19755.282581475774</c:v>
                </c:pt>
                <c:pt idx="700">
                  <c:v>-19764.8967075861</c:v>
                </c:pt>
                <c:pt idx="701">
                  <c:v>-19774.322723733218</c:v>
                </c:pt>
                <c:pt idx="702">
                  <c:v>-19783.560257794157</c:v>
                </c:pt>
                <c:pt idx="703">
                  <c:v>-19792.608945086882</c:v>
                </c:pt>
                <c:pt idx="704">
                  <c:v>-19801.468428384716</c:v>
                </c:pt>
                <c:pt idx="705">
                  <c:v>-19810.138357930431</c:v>
                </c:pt>
                <c:pt idx="706">
                  <c:v>-19818.618391450051</c:v>
                </c:pt>
                <c:pt idx="707">
                  <c:v>-19826.908194166372</c:v>
                </c:pt>
                <c:pt idx="708">
                  <c:v>-19835.007438812176</c:v>
                </c:pt>
                <c:pt idx="709">
                  <c:v>-19842.915805643155</c:v>
                </c:pt>
                <c:pt idx="710">
                  <c:v>-19850.63298245053</c:v>
                </c:pt>
                <c:pt idx="711">
                  <c:v>-19858.15866457337</c:v>
                </c:pt>
                <c:pt idx="712">
                  <c:v>-19865.492554910634</c:v>
                </c:pt>
                <c:pt idx="713">
                  <c:v>-19872.634363932884</c:v>
                </c:pt>
                <c:pt idx="714">
                  <c:v>-19879.583809693737</c:v>
                </c:pt>
                <c:pt idx="715">
                  <c:v>-19886.340617840964</c:v>
                </c:pt>
                <c:pt idx="716">
                  <c:v>-19892.904521627359</c:v>
                </c:pt>
                <c:pt idx="717">
                  <c:v>-19899.275261921233</c:v>
                </c:pt>
                <c:pt idx="718">
                  <c:v>-19905.452587216667</c:v>
                </c:pt>
                <c:pt idx="719">
                  <c:v>-19911.436253643442</c:v>
                </c:pt>
                <c:pt idx="720">
                  <c:v>-19917.226024976644</c:v>
                </c:pt>
                <c:pt idx="721">
                  <c:v>-19922.821672646023</c:v>
                </c:pt>
                <c:pt idx="722">
                  <c:v>-19928.222975744986</c:v>
                </c:pt>
                <c:pt idx="723">
                  <c:v>-19933.429721039334</c:v>
                </c:pt>
                <c:pt idx="724">
                  <c:v>-19938.441702975684</c:v>
                </c:pt>
                <c:pt idx="725">
                  <c:v>-19943.258723689567</c:v>
                </c:pt>
                <c:pt idx="726">
                  <c:v>-19947.880593013251</c:v>
                </c:pt>
                <c:pt idx="727">
                  <c:v>-19952.307128483251</c:v>
                </c:pt>
                <c:pt idx="728">
                  <c:v>-19956.538155347527</c:v>
                </c:pt>
                <c:pt idx="729">
                  <c:v>-19960.573506572386</c:v>
                </c:pt>
                <c:pt idx="730">
                  <c:v>-19964.413022849061</c:v>
                </c:pt>
                <c:pt idx="731">
                  <c:v>-19968.056552600036</c:v>
                </c:pt>
                <c:pt idx="732">
                  <c:v>-19971.503951984989</c:v>
                </c:pt>
                <c:pt idx="733">
                  <c:v>-19974.755084906497</c:v>
                </c:pt>
                <c:pt idx="734">
                  <c:v>-19977.809823015396</c:v>
                </c:pt>
                <c:pt idx="735">
                  <c:v>-19980.668045715858</c:v>
                </c:pt>
                <c:pt idx="736">
                  <c:v>-19983.329640170145</c:v>
                </c:pt>
                <c:pt idx="737">
                  <c:v>-19985.794501303066</c:v>
                </c:pt>
                <c:pt idx="738">
                  <c:v>-19988.062531806121</c:v>
                </c:pt>
                <c:pt idx="739">
                  <c:v>-19990.133642141354</c:v>
                </c:pt>
                <c:pt idx="740">
                  <c:v>-19992.007750544872</c:v>
                </c:pt>
                <c:pt idx="741">
                  <c:v>-19993.684783030083</c:v>
                </c:pt>
                <c:pt idx="742">
                  <c:v>-19995.16467339062</c:v>
                </c:pt>
                <c:pt idx="743">
                  <c:v>-19996.447363202944</c:v>
                </c:pt>
                <c:pt idx="744">
                  <c:v>-19997.532801828656</c:v>
                </c:pt>
                <c:pt idx="745">
                  <c:v>-19998.420946416496</c:v>
                </c:pt>
                <c:pt idx="746">
                  <c:v>-19999.111761904045</c:v>
                </c:pt>
                <c:pt idx="747">
                  <c:v>-19999.605221019079</c:v>
                </c:pt>
                <c:pt idx="748">
                  <c:v>-19999.901304280684</c:v>
                </c:pt>
                <c:pt idx="749">
                  <c:v>-20000</c:v>
                </c:pt>
                <c:pt idx="750">
                  <c:v>-19999.901304280687</c:v>
                </c:pt>
                <c:pt idx="751">
                  <c:v>-19999.605221019083</c:v>
                </c:pt>
                <c:pt idx="752">
                  <c:v>-19999.111761904045</c:v>
                </c:pt>
                <c:pt idx="753">
                  <c:v>-19998.420946416503</c:v>
                </c:pt>
                <c:pt idx="754">
                  <c:v>-19997.53280182866</c:v>
                </c:pt>
                <c:pt idx="755">
                  <c:v>-19996.447363202948</c:v>
                </c:pt>
                <c:pt idx="756">
                  <c:v>-19995.164673390627</c:v>
                </c:pt>
                <c:pt idx="757">
                  <c:v>-19993.68478303009</c:v>
                </c:pt>
                <c:pt idx="758">
                  <c:v>-19992.007750544879</c:v>
                </c:pt>
                <c:pt idx="759">
                  <c:v>-19990.133642141365</c:v>
                </c:pt>
                <c:pt idx="760">
                  <c:v>-19988.062531806132</c:v>
                </c:pt>
                <c:pt idx="761">
                  <c:v>-19985.794501303077</c:v>
                </c:pt>
                <c:pt idx="762">
                  <c:v>-19983.329640170159</c:v>
                </c:pt>
                <c:pt idx="763">
                  <c:v>-19980.668045715873</c:v>
                </c:pt>
                <c:pt idx="764">
                  <c:v>-19977.80982301541</c:v>
                </c:pt>
                <c:pt idx="765">
                  <c:v>-19974.755084906512</c:v>
                </c:pt>
                <c:pt idx="766">
                  <c:v>-19971.503951985007</c:v>
                </c:pt>
                <c:pt idx="767">
                  <c:v>-19968.056552600054</c:v>
                </c:pt>
                <c:pt idx="768">
                  <c:v>-19964.413022849083</c:v>
                </c:pt>
                <c:pt idx="769">
                  <c:v>-19960.573506572404</c:v>
                </c:pt>
                <c:pt idx="770">
                  <c:v>-19956.538155347549</c:v>
                </c:pt>
                <c:pt idx="771">
                  <c:v>-19952.307128483273</c:v>
                </c:pt>
                <c:pt idx="772">
                  <c:v>-19947.880593013273</c:v>
                </c:pt>
                <c:pt idx="773">
                  <c:v>-19943.258723689589</c:v>
                </c:pt>
                <c:pt idx="774">
                  <c:v>-19938.44170297571</c:v>
                </c:pt>
                <c:pt idx="775">
                  <c:v>-19933.429721039363</c:v>
                </c:pt>
                <c:pt idx="776">
                  <c:v>-19928.222975745011</c:v>
                </c:pt>
                <c:pt idx="777">
                  <c:v>-19922.821672646049</c:v>
                </c:pt>
                <c:pt idx="778">
                  <c:v>-19917.226024976673</c:v>
                </c:pt>
                <c:pt idx="779">
                  <c:v>-19911.436253643467</c:v>
                </c:pt>
                <c:pt idx="780">
                  <c:v>-19905.452587216696</c:v>
                </c:pt>
                <c:pt idx="781">
                  <c:v>-19899.275261921262</c:v>
                </c:pt>
                <c:pt idx="782">
                  <c:v>-19892.904521627388</c:v>
                </c:pt>
                <c:pt idx="783">
                  <c:v>-19886.340617840997</c:v>
                </c:pt>
                <c:pt idx="784">
                  <c:v>-19879.58380969377</c:v>
                </c:pt>
                <c:pt idx="785">
                  <c:v>-19872.634363932921</c:v>
                </c:pt>
                <c:pt idx="786">
                  <c:v>-19865.492554910667</c:v>
                </c:pt>
                <c:pt idx="787">
                  <c:v>-19858.158664573406</c:v>
                </c:pt>
                <c:pt idx="788">
                  <c:v>-19850.632982450566</c:v>
                </c:pt>
                <c:pt idx="789">
                  <c:v>-19842.915805643195</c:v>
                </c:pt>
                <c:pt idx="790">
                  <c:v>-19835.007438812216</c:v>
                </c:pt>
                <c:pt idx="791">
                  <c:v>-19826.908194166412</c:v>
                </c:pt>
                <c:pt idx="792">
                  <c:v>-19818.618391450091</c:v>
                </c:pt>
                <c:pt idx="793">
                  <c:v>-19810.138357930475</c:v>
                </c:pt>
                <c:pt idx="794">
                  <c:v>-19801.46842838476</c:v>
                </c:pt>
                <c:pt idx="795">
                  <c:v>-19792.608945086926</c:v>
                </c:pt>
                <c:pt idx="796">
                  <c:v>-19783.560257794201</c:v>
                </c:pt>
                <c:pt idx="797">
                  <c:v>-19774.322723733265</c:v>
                </c:pt>
                <c:pt idx="798">
                  <c:v>-19764.896707586147</c:v>
                </c:pt>
                <c:pt idx="799">
                  <c:v>-19755.282581475822</c:v>
                </c:pt>
                <c:pt idx="800">
                  <c:v>-19745.480724951529</c:v>
                </c:pt>
                <c:pt idx="801">
                  <c:v>-19735.491524973779</c:v>
                </c:pt>
                <c:pt idx="802">
                  <c:v>-19725.315375899081</c:v>
                </c:pt>
                <c:pt idx="803">
                  <c:v>-19714.952679464383</c:v>
                </c:pt>
                <c:pt idx="804">
                  <c:v>-19704.40384477119</c:v>
                </c:pt>
                <c:pt idx="805">
                  <c:v>-19693.669288269433</c:v>
                </c:pt>
                <c:pt idx="806">
                  <c:v>-19682.749433741028</c:v>
                </c:pt>
                <c:pt idx="807">
                  <c:v>-19671.644712283127</c:v>
                </c:pt>
                <c:pt idx="808">
                  <c:v>-19660.355562291123</c:v>
                </c:pt>
                <c:pt idx="809">
                  <c:v>-19648.882429441328</c:v>
                </c:pt>
                <c:pt idx="810">
                  <c:v>-19637.225766673379</c:v>
                </c:pt>
                <c:pt idx="811">
                  <c:v>-19625.386034172363</c:v>
                </c:pt>
                <c:pt idx="812">
                  <c:v>-19613.363699350652</c:v>
                </c:pt>
                <c:pt idx="813">
                  <c:v>-19601.15923682943</c:v>
                </c:pt>
                <c:pt idx="814">
                  <c:v>-19588.773128419987</c:v>
                </c:pt>
                <c:pt idx="815">
                  <c:v>-19576.205863104671</c:v>
                </c:pt>
                <c:pt idx="816">
                  <c:v>-19563.4579370176</c:v>
                </c:pt>
                <c:pt idx="817">
                  <c:v>-19550.529853425065</c:v>
                </c:pt>
                <c:pt idx="818">
                  <c:v>-19537.422122705673</c:v>
                </c:pt>
                <c:pt idx="819">
                  <c:v>-19524.135262330186</c:v>
                </c:pt>
                <c:pt idx="820">
                  <c:v>-19510.669796841106</c:v>
                </c:pt>
                <c:pt idx="821">
                  <c:v>-19497.026257831953</c:v>
                </c:pt>
                <c:pt idx="822">
                  <c:v>-19483.205183926279</c:v>
                </c:pt>
                <c:pt idx="823">
                  <c:v>-19469.207120756419</c:v>
                </c:pt>
                <c:pt idx="824">
                  <c:v>-19455.03262094194</c:v>
                </c:pt>
                <c:pt idx="825">
                  <c:v>-19440.682244067826</c:v>
                </c:pt>
                <c:pt idx="826">
                  <c:v>-19426.156556662383</c:v>
                </c:pt>
                <c:pt idx="827">
                  <c:v>-19411.456132174873</c:v>
                </c:pt>
                <c:pt idx="828">
                  <c:v>-19396.581550952891</c:v>
                </c:pt>
                <c:pt idx="829">
                  <c:v>-19381.533400219429</c:v>
                </c:pt>
                <c:pt idx="830">
                  <c:v>-19366.312274049713</c:v>
                </c:pt>
                <c:pt idx="831">
                  <c:v>-19350.918773347745</c:v>
                </c:pt>
                <c:pt idx="832">
                  <c:v>-19335.353505822568</c:v>
                </c:pt>
                <c:pt idx="833">
                  <c:v>-19319.617085964299</c:v>
                </c:pt>
                <c:pt idx="834">
                  <c:v>-19303.710135019843</c:v>
                </c:pt>
                <c:pt idx="835">
                  <c:v>-19287.633280968388</c:v>
                </c:pt>
                <c:pt idx="836">
                  <c:v>-19271.387158496604</c:v>
                </c:pt>
                <c:pt idx="837">
                  <c:v>-19254.97240897359</c:v>
                </c:pt>
                <c:pt idx="838">
                  <c:v>-19238.389680425549</c:v>
                </c:pt>
                <c:pt idx="839">
                  <c:v>-19221.639627510209</c:v>
                </c:pt>
                <c:pt idx="840">
                  <c:v>-19204.722911490982</c:v>
                </c:pt>
                <c:pt idx="841">
                  <c:v>-19187.640200210848</c:v>
                </c:pt>
                <c:pt idx="842">
                  <c:v>-19170.392168065999</c:v>
                </c:pt>
                <c:pt idx="843">
                  <c:v>-19152.979495979209</c:v>
                </c:pt>
                <c:pt idx="844">
                  <c:v>-19135.402871372957</c:v>
                </c:pt>
                <c:pt idx="845">
                  <c:v>-19117.662988142285</c:v>
                </c:pt>
                <c:pt idx="846">
                  <c:v>-19099.760546627414</c:v>
                </c:pt>
                <c:pt idx="847">
                  <c:v>-19081.696253586073</c:v>
                </c:pt>
                <c:pt idx="848">
                  <c:v>-19063.470822165626</c:v>
                </c:pt>
                <c:pt idx="849">
                  <c:v>-19045.084971874898</c:v>
                </c:pt>
                <c:pt idx="850">
                  <c:v>-19026.53942855577</c:v>
                </c:pt>
                <c:pt idx="851">
                  <c:v>-19007.834924354549</c:v>
                </c:pt>
                <c:pt idx="852">
                  <c:v>-18988.972197693023</c:v>
                </c:pt>
                <c:pt idx="853">
                  <c:v>-18969.951993239345</c:v>
                </c:pt>
                <c:pt idx="854">
                  <c:v>-18950.775061878623</c:v>
                </c:pt>
                <c:pt idx="855">
                  <c:v>-18931.442160683269</c:v>
                </c:pt>
                <c:pt idx="856">
                  <c:v>-18911.95405288312</c:v>
                </c:pt>
                <c:pt idx="857">
                  <c:v>-18892.311507835297</c:v>
                </c:pt>
                <c:pt idx="858">
                  <c:v>-18872.515300993851</c:v>
                </c:pt>
                <c:pt idx="859">
                  <c:v>-18852.56621387913</c:v>
                </c:pt>
                <c:pt idx="860">
                  <c:v>-18832.465034046938</c:v>
                </c:pt>
                <c:pt idx="861">
                  <c:v>-18812.212555057431</c:v>
                </c:pt>
                <c:pt idx="862">
                  <c:v>-18791.809576443804</c:v>
                </c:pt>
                <c:pt idx="863">
                  <c:v>-18771.256903680714</c:v>
                </c:pt>
                <c:pt idx="864">
                  <c:v>-18750.555348152498</c:v>
                </c:pt>
                <c:pt idx="865">
                  <c:v>-18729.705727121112</c:v>
                </c:pt>
                <c:pt idx="866">
                  <c:v>-18708.708863693901</c:v>
                </c:pt>
                <c:pt idx="867">
                  <c:v>-18687.565586791075</c:v>
                </c:pt>
                <c:pt idx="868">
                  <c:v>-18666.276731113008</c:v>
                </c:pt>
                <c:pt idx="869">
                  <c:v>-18644.843137107269</c:v>
                </c:pt>
                <c:pt idx="870">
                  <c:v>-18623.265650935449</c:v>
                </c:pt>
                <c:pt idx="871">
                  <c:v>-18601.545124439752</c:v>
                </c:pt>
                <c:pt idx="872">
                  <c:v>-18579.682415109375</c:v>
                </c:pt>
                <c:pt idx="873">
                  <c:v>-18557.678386046653</c:v>
                </c:pt>
                <c:pt idx="874">
                  <c:v>-18535.533905932964</c:v>
                </c:pt>
                <c:pt idx="875">
                  <c:v>-18513.249848994477</c:v>
                </c:pt>
                <c:pt idx="876">
                  <c:v>-18490.827094967597</c:v>
                </c:pt>
                <c:pt idx="877">
                  <c:v>-18468.266529064262</c:v>
                </c:pt>
                <c:pt idx="878">
                  <c:v>-18445.569041936982</c:v>
                </c:pt>
                <c:pt idx="879">
                  <c:v>-18422.735529643684</c:v>
                </c:pt>
                <c:pt idx="880">
                  <c:v>-18399.766893612341</c:v>
                </c:pt>
                <c:pt idx="881">
                  <c:v>-18376.66404060537</c:v>
                </c:pt>
                <c:pt idx="882">
                  <c:v>-18353.427882683849</c:v>
                </c:pt>
                <c:pt idx="883">
                  <c:v>-18330.059337171511</c:v>
                </c:pt>
                <c:pt idx="884">
                  <c:v>-18306.559326618513</c:v>
                </c:pt>
                <c:pt idx="885">
                  <c:v>-18282.928778765039</c:v>
                </c:pt>
                <c:pt idx="886">
                  <c:v>-18259.168626504656</c:v>
                </c:pt>
                <c:pt idx="887">
                  <c:v>-18235.279807847484</c:v>
                </c:pt>
                <c:pt idx="888">
                  <c:v>-18211.26326588319</c:v>
                </c:pt>
                <c:pt idx="889">
                  <c:v>-18187.119948743719</c:v>
                </c:pt>
                <c:pt idx="890">
                  <c:v>-18162.850809565894</c:v>
                </c:pt>
                <c:pt idx="891">
                  <c:v>-18138.456806453778</c:v>
                </c:pt>
                <c:pt idx="892">
                  <c:v>-18113.938902440841</c:v>
                </c:pt>
                <c:pt idx="893">
                  <c:v>-18089.298065451952</c:v>
                </c:pt>
                <c:pt idx="894">
                  <c:v>-18064.535268265165</c:v>
                </c:pt>
                <c:pt idx="895">
                  <c:v>-18039.651488473315</c:v>
                </c:pt>
                <c:pt idx="896">
                  <c:v>-18014.647708445413</c:v>
                </c:pt>
                <c:pt idx="897">
                  <c:v>-17989.52491528789</c:v>
                </c:pt>
                <c:pt idx="898">
                  <c:v>-17964.284100805591</c:v>
                </c:pt>
                <c:pt idx="899">
                  <c:v>-17938.926261462664</c:v>
                </c:pt>
                <c:pt idx="900">
                  <c:v>-17913.452398343183</c:v>
                </c:pt>
                <c:pt idx="901">
                  <c:v>-17887.863517111644</c:v>
                </c:pt>
                <c:pt idx="902">
                  <c:v>-17862.160627973262</c:v>
                </c:pt>
                <c:pt idx="903">
                  <c:v>-17836.344745634095</c:v>
                </c:pt>
                <c:pt idx="904">
                  <c:v>-17810.416889260967</c:v>
                </c:pt>
                <c:pt idx="905">
                  <c:v>-17784.378082441257</c:v>
                </c:pt>
                <c:pt idx="906">
                  <c:v>-17758.229353142473</c:v>
                </c:pt>
                <c:pt idx="907">
                  <c:v>-17731.971733671668</c:v>
                </c:pt>
                <c:pt idx="908">
                  <c:v>-17705.606260634704</c:v>
                </c:pt>
                <c:pt idx="909">
                  <c:v>-17679.133974895311</c:v>
                </c:pt>
                <c:pt idx="910">
                  <c:v>-17652.555921534004</c:v>
                </c:pt>
                <c:pt idx="911">
                  <c:v>-17625.873149806812</c:v>
                </c:pt>
                <c:pt idx="912">
                  <c:v>-17599.086713103883</c:v>
                </c:pt>
                <c:pt idx="913">
                  <c:v>-17572.197668907873</c:v>
                </c:pt>
                <c:pt idx="914">
                  <c:v>-17545.207078752199</c:v>
                </c:pt>
                <c:pt idx="915">
                  <c:v>-17518.11600817915</c:v>
                </c:pt>
                <c:pt idx="916">
                  <c:v>-17490.925526697803</c:v>
                </c:pt>
                <c:pt idx="917">
                  <c:v>-17463.636707741811</c:v>
                </c:pt>
                <c:pt idx="918">
                  <c:v>-17436.250628627018</c:v>
                </c:pt>
                <c:pt idx="919">
                  <c:v>-17408.768370508937</c:v>
                </c:pt>
                <c:pt idx="920">
                  <c:v>-17381.191018340058</c:v>
                </c:pt>
                <c:pt idx="921">
                  <c:v>-17353.519660827027</c:v>
                </c:pt>
                <c:pt idx="922">
                  <c:v>-17325.755390387658</c:v>
                </c:pt>
                <c:pt idx="923">
                  <c:v>-17297.89930310781</c:v>
                </c:pt>
                <c:pt idx="924">
                  <c:v>-17269.952498698105</c:v>
                </c:pt>
                <c:pt idx="925">
                  <c:v>-17241.916080450537</c:v>
                </c:pt>
                <c:pt idx="926">
                  <c:v>-17213.791155194886</c:v>
                </c:pt>
                <c:pt idx="927">
                  <c:v>-17185.578833255047</c:v>
                </c:pt>
                <c:pt idx="928">
                  <c:v>-17157.28022840518</c:v>
                </c:pt>
                <c:pt idx="929">
                  <c:v>-17128.896457825751</c:v>
                </c:pt>
                <c:pt idx="930">
                  <c:v>-17100.428642059422</c:v>
                </c:pt>
                <c:pt idx="931">
                  <c:v>-17071.877904966816</c:v>
                </c:pt>
                <c:pt idx="932">
                  <c:v>-17043.245373682141</c:v>
                </c:pt>
                <c:pt idx="933">
                  <c:v>-17014.532178568712</c:v>
                </c:pt>
                <c:pt idx="934">
                  <c:v>-16985.739453174305</c:v>
                </c:pt>
                <c:pt idx="935">
                  <c:v>-16956.868334186416</c:v>
                </c:pt>
                <c:pt idx="936">
                  <c:v>-16927.91996138739</c:v>
                </c:pt>
                <c:pt idx="937">
                  <c:v>-16898.895477609418</c:v>
                </c:pt>
                <c:pt idx="938">
                  <c:v>-16869.796028689416</c:v>
                </c:pt>
                <c:pt idx="939">
                  <c:v>-16840.622763423806</c:v>
                </c:pt>
                <c:pt idx="940">
                  <c:v>-16811.376833523147</c:v>
                </c:pt>
                <c:pt idx="941">
                  <c:v>-16782.059393566677</c:v>
                </c:pt>
                <c:pt idx="942">
                  <c:v>-16752.671600956721</c:v>
                </c:pt>
                <c:pt idx="943">
                  <c:v>-16723.214615873014</c:v>
                </c:pt>
                <c:pt idx="944">
                  <c:v>-16693.689601226888</c:v>
                </c:pt>
                <c:pt idx="945">
                  <c:v>-16664.097722615366</c:v>
                </c:pt>
                <c:pt idx="946">
                  <c:v>-16634.440148275149</c:v>
                </c:pt>
                <c:pt idx="947">
                  <c:v>-16604.718049036488</c:v>
                </c:pt>
                <c:pt idx="948">
                  <c:v>-16574.932598276966</c:v>
                </c:pt>
                <c:pt idx="949">
                  <c:v>-16545.084971875182</c:v>
                </c:pt>
                <c:pt idx="950">
                  <c:v>-16515.176348164317</c:v>
                </c:pt>
                <c:pt idx="951">
                  <c:v>-16485.207907885626</c:v>
                </c:pt>
                <c:pt idx="952">
                  <c:v>-16455.180834141811</c:v>
                </c:pt>
                <c:pt idx="953">
                  <c:v>-16425.096312350335</c:v>
                </c:pt>
                <c:pt idx="954">
                  <c:v>-16394.955530196603</c:v>
                </c:pt>
                <c:pt idx="955">
                  <c:v>-16364.759677587088</c:v>
                </c:pt>
                <c:pt idx="956">
                  <c:v>-16334.509946602342</c:v>
                </c:pt>
                <c:pt idx="957">
                  <c:v>-16304.207531449951</c:v>
                </c:pt>
                <c:pt idx="958">
                  <c:v>-16273.853628417381</c:v>
                </c:pt>
                <c:pt idx="959">
                  <c:v>-16243.449435824747</c:v>
                </c:pt>
                <c:pt idx="960">
                  <c:v>-16212.996153977512</c:v>
                </c:pt>
                <c:pt idx="961">
                  <c:v>-16182.494985119101</c:v>
                </c:pt>
                <c:pt idx="962">
                  <c:v>-16151.947133383434</c:v>
                </c:pt>
                <c:pt idx="963">
                  <c:v>-16121.353804747388</c:v>
                </c:pt>
                <c:pt idx="964">
                  <c:v>-16090.716206983197</c:v>
                </c:pt>
                <c:pt idx="965">
                  <c:v>-16060.03554961076</c:v>
                </c:pt>
                <c:pt idx="966">
                  <c:v>-16029.313043849896</c:v>
                </c:pt>
                <c:pt idx="967">
                  <c:v>-15998.549902572528</c:v>
                </c:pt>
                <c:pt idx="968">
                  <c:v>-15967.747340254797</c:v>
                </c:pt>
                <c:pt idx="969">
                  <c:v>-15936.906572929121</c:v>
                </c:pt>
                <c:pt idx="970">
                  <c:v>-15906.028818136187</c:v>
                </c:pt>
                <c:pt idx="971">
                  <c:v>-15875.115294876883</c:v>
                </c:pt>
                <c:pt idx="972">
                  <c:v>-15844.167223564174</c:v>
                </c:pt>
                <c:pt idx="973">
                  <c:v>-15813.185825974926</c:v>
                </c:pt>
                <c:pt idx="974">
                  <c:v>-15782.172325201664</c:v>
                </c:pt>
                <c:pt idx="975">
                  <c:v>-15751.127945604298</c:v>
                </c:pt>
                <c:pt idx="976">
                  <c:v>-15720.053912761776</c:v>
                </c:pt>
                <c:pt idx="977">
                  <c:v>-15688.951453423708</c:v>
                </c:pt>
                <c:pt idx="978">
                  <c:v>-15657.821795461932</c:v>
                </c:pt>
                <c:pt idx="979">
                  <c:v>-15626.666167822043</c:v>
                </c:pt>
                <c:pt idx="980">
                  <c:v>-15595.485800474873</c:v>
                </c:pt>
                <c:pt idx="981">
                  <c:v>-15564.281924367935</c:v>
                </c:pt>
                <c:pt idx="982">
                  <c:v>-15533.055771376828</c:v>
                </c:pt>
                <c:pt idx="983">
                  <c:v>-15501.808574256605</c:v>
                </c:pt>
                <c:pt idx="984">
                  <c:v>-15470.541566593105</c:v>
                </c:pt>
                <c:pt idx="985">
                  <c:v>-15439.255982754252</c:v>
                </c:pt>
                <c:pt idx="986">
                  <c:v>-15407.953057841325</c:v>
                </c:pt>
                <c:pt idx="987">
                  <c:v>-15376.634027640204</c:v>
                </c:pt>
                <c:pt idx="988">
                  <c:v>-15345.300128572571</c:v>
                </c:pt>
                <c:pt idx="989">
                  <c:v>-15313.952597647112</c:v>
                </c:pt>
                <c:pt idx="990">
                  <c:v>-15282.592672410668</c:v>
                </c:pt>
                <c:pt idx="991">
                  <c:v>-15251.221590899397</c:v>
                </c:pt>
                <c:pt idx="992">
                  <c:v>-15219.840591589875</c:v>
                </c:pt>
                <c:pt idx="993">
                  <c:v>-15188.450913350225</c:v>
                </c:pt>
                <c:pt idx="994">
                  <c:v>-15157.053795391197</c:v>
                </c:pt>
                <c:pt idx="995">
                  <c:v>-15125.650477217245</c:v>
                </c:pt>
                <c:pt idx="996">
                  <c:v>-15094.2421985776</c:v>
                </c:pt>
                <c:pt idx="997">
                  <c:v>-15062.830199417323</c:v>
                </c:pt>
                <c:pt idx="998">
                  <c:v>-15031.415719828357</c:v>
                </c:pt>
                <c:pt idx="999">
                  <c:v>-15000.000000000566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A2-4307-AD6A-F1F5CF687DAD}"/>
            </c:ext>
          </c:extLst>
        </c:ser>
        <c:ser>
          <c:idx val="4"/>
          <c:order val="4"/>
          <c:tx>
            <c:v>ok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Simulation!$F$2:$F$11</c:f>
              <c:numCache>
                <c:formatCode>General</c:formatCode>
                <c:ptCount val="10"/>
                <c:pt idx="0">
                  <c:v>-53705.209683984292</c:v>
                </c:pt>
                <c:pt idx="1">
                  <c:v>-53000.941746303091</c:v>
                </c:pt>
                <c:pt idx="2">
                  <c:v>-52191.923969737007</c:v>
                </c:pt>
                <c:pt idx="3">
                  <c:v>-51274.199432570014</c:v>
                </c:pt>
                <c:pt idx="4">
                  <c:v>-50243.177200357313</c:v>
                </c:pt>
                <c:pt idx="5">
                  <c:v>-49093.53171171336</c:v>
                </c:pt>
                <c:pt idx="6">
                  <c:v>-47819.08025896937</c:v>
                </c:pt>
                <c:pt idx="7">
                  <c:v>-46412.6348977159</c:v>
                </c:pt>
                <c:pt idx="8">
                  <c:v>-44865.826030512697</c:v>
                </c:pt>
                <c:pt idx="9">
                  <c:v>-43168.898096941615</c:v>
                </c:pt>
              </c:numCache>
            </c:numRef>
          </c:xVal>
          <c:yVal>
            <c:numRef>
              <c:f>Simulation!$G$2:$G$11</c:f>
              <c:numCache>
                <c:formatCode>General</c:formatCode>
                <c:ptCount val="10"/>
                <c:pt idx="0">
                  <c:v>7027.1669593521019</c:v>
                </c:pt>
                <c:pt idx="1">
                  <c:v>6291.1901634826836</c:v>
                </c:pt>
                <c:pt idx="2">
                  <c:v>5542.1443421241638</c:v>
                </c:pt>
                <c:pt idx="3">
                  <c:v>4781.1389877705396</c:v>
                </c:pt>
                <c:pt idx="4">
                  <c:v>4009.4365409540646</c:v>
                </c:pt>
                <c:pt idx="5">
                  <c:v>3228.5061810661691</c:v>
                </c:pt>
                <c:pt idx="6">
                  <c:v>2440.0952127692885</c:v>
                </c:pt>
                <c:pt idx="7">
                  <c:v>1646.3248328116763</c:v>
                </c:pt>
                <c:pt idx="8">
                  <c:v>849.81942886798959</c:v>
                </c:pt>
                <c:pt idx="9">
                  <c:v>53.881036693447868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A2-4307-AD6A-F1F5CF687DAD}"/>
            </c:ext>
          </c:extLst>
        </c:ser>
        <c:ser>
          <c:idx val="5"/>
          <c:order val="5"/>
          <c:tx>
            <c:v>Vaisseau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Simulation!$B$41:$B$45</c:f>
              <c:numCache>
                <c:formatCode>General</c:formatCode>
                <c:ptCount val="5"/>
                <c:pt idx="0">
                  <c:v>-54308.133001649447</c:v>
                </c:pt>
                <c:pt idx="1">
                  <c:v>-53308.133001649447</c:v>
                </c:pt>
                <c:pt idx="2">
                  <c:v>-54308.133001649447</c:v>
                </c:pt>
                <c:pt idx="3">
                  <c:v>-55308.133001649447</c:v>
                </c:pt>
                <c:pt idx="4">
                  <c:v>-54308.133001649447</c:v>
                </c:pt>
              </c:numCache>
            </c:numRef>
          </c:xVal>
          <c:yVal>
            <c:numRef>
              <c:f>Simulation!$C$41:$C$45</c:f>
              <c:numCache>
                <c:formatCode>General</c:formatCode>
                <c:ptCount val="5"/>
                <c:pt idx="0">
                  <c:v>10749.077079409541</c:v>
                </c:pt>
                <c:pt idx="1">
                  <c:v>4749.0770794095397</c:v>
                </c:pt>
                <c:pt idx="2">
                  <c:v>7749.0770794095397</c:v>
                </c:pt>
                <c:pt idx="3">
                  <c:v>4749.0770794095397</c:v>
                </c:pt>
                <c:pt idx="4">
                  <c:v>10749.077079409541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EA2-4307-AD6A-F1F5CF68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09784"/>
        <c:axId val="722210112"/>
        <c:extLst>
          <c:ext xmlns:c15="http://schemas.microsoft.com/office/drawing/2012/chart" uri="{02D57815-91ED-43cb-92C2-25804820EDAC}">
            <c15:filteredScatterSeries>
              <c15:ser>
                <c:idx val="3"/>
                <c:order val="3"/>
                <c:tx>
                  <c:v>Vaisseau</c:v>
                </c:tx>
                <c:spPr>
                  <a:ln w="22225" cap="rnd">
                    <a:solidFill>
                      <a:schemeClr val="accent4"/>
                    </a:solidFill>
                  </a:ln>
                  <a:effectLst>
                    <a:glow rad="139700">
                      <a:schemeClr val="accent4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'Conditions initiale'!$Y$4:$Y$1004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14.896066662928284</c:v>
                      </c:pt>
                      <c:pt idx="2">
                        <c:v>58.763346006098608</c:v>
                      </c:pt>
                      <c:pt idx="3">
                        <c:v>128.2240586578348</c:v>
                      </c:pt>
                      <c:pt idx="4">
                        <c:v>216.13974170265206</c:v>
                      </c:pt>
                      <c:pt idx="5">
                        <c:v>310.82750076894791</c:v>
                      </c:pt>
                      <c:pt idx="6">
                        <c:v>394.85512702817806</c:v>
                      </c:pt>
                      <c:pt idx="7">
                        <c:v>443.40662540911143</c:v>
                      </c:pt>
                      <c:pt idx="8">
                        <c:v>422.2580799762992</c:v>
                      </c:pt>
                      <c:pt idx="9">
                        <c:v>285.58924200038052</c:v>
                      </c:pt>
                      <c:pt idx="10">
                        <c:v>-25.477447829588542</c:v>
                      </c:pt>
                      <c:pt idx="11">
                        <c:v>-580.59478059598393</c:v>
                      </c:pt>
                      <c:pt idx="12">
                        <c:v>-1446.1464434888014</c:v>
                      </c:pt>
                      <c:pt idx="13">
                        <c:v>-2648.2099956923234</c:v>
                      </c:pt>
                      <c:pt idx="14">
                        <c:v>-4125.8644659824431</c:v>
                      </c:pt>
                      <c:pt idx="15">
                        <c:v>-5735.1009192843476</c:v>
                      </c:pt>
                      <c:pt idx="16">
                        <c:v>-7317.9869908901283</c:v>
                      </c:pt>
                      <c:pt idx="17">
                        <c:v>-8758.1165401914823</c:v>
                      </c:pt>
                      <c:pt idx="18">
                        <c:v>-9982.2828998172135</c:v>
                      </c:pt>
                      <c:pt idx="19">
                        <c:v>-10941.137467635344</c:v>
                      </c:pt>
                      <c:pt idx="20">
                        <c:v>-11593.405098906624</c:v>
                      </c:pt>
                      <c:pt idx="21">
                        <c:v>-11896.399138700093</c:v>
                      </c:pt>
                      <c:pt idx="22">
                        <c:v>-11800.869060891881</c:v>
                      </c:pt>
                      <c:pt idx="23">
                        <c:v>-11250.644764132247</c:v>
                      </c:pt>
                      <c:pt idx="24">
                        <c:v>-10192.927132982944</c:v>
                      </c:pt>
                      <c:pt idx="25">
                        <c:v>-8610.6561923647569</c:v>
                      </c:pt>
                      <c:pt idx="26">
                        <c:v>-6573.0130698725106</c:v>
                      </c:pt>
                      <c:pt idx="27">
                        <c:v>-4245.5807942716738</c:v>
                      </c:pt>
                      <c:pt idx="28">
                        <c:v>-1814.6060313898649</c:v>
                      </c:pt>
                      <c:pt idx="29">
                        <c:v>597.78138509711937</c:v>
                      </c:pt>
                      <c:pt idx="30">
                        <c:v>2948.2328775483902</c:v>
                      </c:pt>
                      <c:pt idx="31">
                        <c:v>5245.4913349528479</c:v>
                      </c:pt>
                      <c:pt idx="32">
                        <c:v>7525.9718963109817</c:v>
                      </c:pt>
                      <c:pt idx="33">
                        <c:v>9840.1718597083327</c:v>
                      </c:pt>
                      <c:pt idx="34">
                        <c:v>12244.943311125386</c:v>
                      </c:pt>
                      <c:pt idx="35">
                        <c:v>14794.875574956401</c:v>
                      </c:pt>
                      <c:pt idx="36">
                        <c:v>17522.598329195564</c:v>
                      </c:pt>
                      <c:pt idx="37">
                        <c:v>20391.642185488956</c:v>
                      </c:pt>
                      <c:pt idx="38">
                        <c:v>23230.194083354585</c:v>
                      </c:pt>
                      <c:pt idx="39">
                        <c:v>25761.36134486708</c:v>
                      </c:pt>
                      <c:pt idx="40">
                        <c:v>27780.405187877077</c:v>
                      </c:pt>
                      <c:pt idx="41">
                        <c:v>29248.402756937106</c:v>
                      </c:pt>
                      <c:pt idx="42">
                        <c:v>30215.81270433875</c:v>
                      </c:pt>
                      <c:pt idx="43">
                        <c:v>30745.101259605617</c:v>
                      </c:pt>
                      <c:pt idx="44">
                        <c:v>30886.790392534094</c:v>
                      </c:pt>
                      <c:pt idx="45">
                        <c:v>30677.461320887389</c:v>
                      </c:pt>
                      <c:pt idx="46">
                        <c:v>30142.303506834975</c:v>
                      </c:pt>
                      <c:pt idx="47">
                        <c:v>29297.777533785298</c:v>
                      </c:pt>
                      <c:pt idx="48">
                        <c:v>28153.785104550865</c:v>
                      </c:pt>
                      <c:pt idx="49">
                        <c:v>26715.716663000017</c:v>
                      </c:pt>
                      <c:pt idx="50">
                        <c:v>24987.318013590739</c:v>
                      </c:pt>
                      <c:pt idx="51">
                        <c:v>22976.472539850369</c:v>
                      </c:pt>
                      <c:pt idx="52">
                        <c:v>20708.650299308556</c:v>
                      </c:pt>
                      <c:pt idx="53">
                        <c:v>18256.048790721747</c:v>
                      </c:pt>
                      <c:pt idx="54">
                        <c:v>15777.152184099688</c:v>
                      </c:pt>
                      <c:pt idx="55">
                        <c:v>13493.520434419981</c:v>
                      </c:pt>
                      <c:pt idx="56">
                        <c:v>11547.047691312633</c:v>
                      </c:pt>
                      <c:pt idx="57">
                        <c:v>9910.9609676595592</c:v>
                      </c:pt>
                      <c:pt idx="58">
                        <c:v>8462.8099801477911</c:v>
                      </c:pt>
                      <c:pt idx="59">
                        <c:v>7068.3084532837529</c:v>
                      </c:pt>
                      <c:pt idx="60">
                        <c:v>5601.6989169080825</c:v>
                      </c:pt>
                      <c:pt idx="61">
                        <c:v>3940.3522252461503</c:v>
                      </c:pt>
                      <c:pt idx="62">
                        <c:v>1962.7825789155049</c:v>
                      </c:pt>
                      <c:pt idx="63">
                        <c:v>-425.67914039397073</c:v>
                      </c:pt>
                      <c:pt idx="64">
                        <c:v>-3217.9260129039176</c:v>
                      </c:pt>
                      <c:pt idx="65">
                        <c:v>-6247.2286321005122</c:v>
                      </c:pt>
                      <c:pt idx="66">
                        <c:v>-9274.1001941297163</c:v>
                      </c:pt>
                      <c:pt idx="67">
                        <c:v>-12128.453483572199</c:v>
                      </c:pt>
                      <c:pt idx="68">
                        <c:v>-14737.842895389453</c:v>
                      </c:pt>
                      <c:pt idx="69">
                        <c:v>-17083.8301350978</c:v>
                      </c:pt>
                      <c:pt idx="70">
                        <c:v>-19168.468262468439</c:v>
                      </c:pt>
                      <c:pt idx="71">
                        <c:v>-20999.620327114204</c:v>
                      </c:pt>
                      <c:pt idx="72">
                        <c:v>-22585.524596539028</c:v>
                      </c:pt>
                      <c:pt idx="73">
                        <c:v>-23932.944997394818</c:v>
                      </c:pt>
                      <c:pt idx="74">
                        <c:v>-25046.625394282768</c:v>
                      </c:pt>
                      <c:pt idx="75">
                        <c:v>-25929.19509765644</c:v>
                      </c:pt>
                      <c:pt idx="76">
                        <c:v>-26581.209700666644</c:v>
                      </c:pt>
                      <c:pt idx="77">
                        <c:v>-27001.212118284413</c:v>
                      </c:pt>
                      <c:pt idx="78">
                        <c:v>-27185.77685578552</c:v>
                      </c:pt>
                      <c:pt idx="79">
                        <c:v>-27129.535015349193</c:v>
                      </c:pt>
                      <c:pt idx="80">
                        <c:v>-26825.199751947639</c:v>
                      </c:pt>
                      <c:pt idx="81">
                        <c:v>-26263.637906131622</c:v>
                      </c:pt>
                      <c:pt idx="82">
                        <c:v>-25434.077422908209</c:v>
                      </c:pt>
                      <c:pt idx="83">
                        <c:v>-24324.621588823975</c:v>
                      </c:pt>
                      <c:pt idx="84">
                        <c:v>-22923.391257416231</c:v>
                      </c:pt>
                      <c:pt idx="85">
                        <c:v>-21220.874935733467</c:v>
                      </c:pt>
                      <c:pt idx="86">
                        <c:v>-19214.425290645442</c:v>
                      </c:pt>
                      <c:pt idx="87">
                        <c:v>-16915.943114739261</c:v>
                      </c:pt>
                      <c:pt idx="88">
                        <c:v>-14361.983954495359</c:v>
                      </c:pt>
                      <c:pt idx="89">
                        <c:v>-11618.596008085142</c:v>
                      </c:pt>
                      <c:pt idx="90">
                        <c:v>-8766.2728338619654</c:v>
                      </c:pt>
                      <c:pt idx="91">
                        <c:v>-5866.9099992255115</c:v>
                      </c:pt>
                      <c:pt idx="92">
                        <c:v>-2942.0499743314431</c:v>
                      </c:pt>
                      <c:pt idx="93">
                        <c:v>23.217842275216505</c:v>
                      </c:pt>
                      <c:pt idx="94">
                        <c:v>3067.3982624692644</c:v>
                      </c:pt>
                      <c:pt idx="95">
                        <c:v>6244.5152794712922</c:v>
                      </c:pt>
                      <c:pt idx="96">
                        <c:v>9619.9472014950497</c:v>
                      </c:pt>
                      <c:pt idx="97">
                        <c:v>13261.688861180904</c:v>
                      </c:pt>
                      <c:pt idx="98">
                        <c:v>17207.795860301412</c:v>
                      </c:pt>
                      <c:pt idx="99">
                        <c:v>21382.897160049939</c:v>
                      </c:pt>
                      <c:pt idx="100">
                        <c:v>25527.780776295236</c:v>
                      </c:pt>
                      <c:pt idx="101">
                        <c:v>29332.539046253863</c:v>
                      </c:pt>
                      <c:pt idx="102">
                        <c:v>32647.263301223611</c:v>
                      </c:pt>
                      <c:pt idx="103">
                        <c:v>35481.327162436552</c:v>
                      </c:pt>
                      <c:pt idx="104">
                        <c:v>37895.804187629277</c:v>
                      </c:pt>
                      <c:pt idx="105">
                        <c:v>39951.16129128763</c:v>
                      </c:pt>
                      <c:pt idx="106">
                        <c:v>41696.165858058484</c:v>
                      </c:pt>
                      <c:pt idx="107">
                        <c:v>43168.476126795089</c:v>
                      </c:pt>
                      <c:pt idx="108">
                        <c:v>44397.134301028476</c:v>
                      </c:pt>
                      <c:pt idx="109">
                        <c:v>45404.779111356998</c:v>
                      </c:pt>
                      <c:pt idx="110">
                        <c:v>46209.290956353638</c:v>
                      </c:pt>
                      <c:pt idx="111">
                        <c:v>46824.965117994805</c:v>
                      </c:pt>
                      <c:pt idx="112">
                        <c:v>47263.34521703756</c:v>
                      </c:pt>
                      <c:pt idx="113">
                        <c:v>47533.82069221235</c:v>
                      </c:pt>
                      <c:pt idx="114">
                        <c:v>47644.060809450049</c:v>
                      </c:pt>
                      <c:pt idx="115">
                        <c:v>47600.334290622995</c:v>
                      </c:pt>
                      <c:pt idx="116">
                        <c:v>47407.747696505285</c:v>
                      </c:pt>
                      <c:pt idx="117">
                        <c:v>47070.425113676894</c:v>
                      </c:pt>
                      <c:pt idx="118">
                        <c:v>46591.644691714835</c:v>
                      </c:pt>
                      <c:pt idx="119">
                        <c:v>45973.942911833874</c:v>
                      </c:pt>
                      <c:pt idx="120">
                        <c:v>45219.194329256672</c:v>
                      </c:pt>
                      <c:pt idx="121">
                        <c:v>44328.67239900594</c:v>
                      </c:pt>
                      <c:pt idx="122">
                        <c:v>43303.095535655433</c:v>
                      </c:pt>
                      <c:pt idx="123">
                        <c:v>42142.661555692532</c:v>
                      </c:pt>
                      <c:pt idx="124">
                        <c:v>40847.072959610443</c:v>
                      </c:pt>
                      <c:pt idx="125">
                        <c:v>39415.555016027334</c:v>
                      </c:pt>
                      <c:pt idx="126">
                        <c:v>37846.868195776638</c:v>
                      </c:pt>
                      <c:pt idx="127">
                        <c:v>36139.316000435167</c:v>
                      </c:pt>
                      <c:pt idx="128">
                        <c:v>34290.748323710919</c:v>
                      </c:pt>
                      <c:pt idx="129">
                        <c:v>32298.558541161769</c:v>
                      </c:pt>
                      <c:pt idx="130">
                        <c:v>30159.668235805028</c:v>
                      </c:pt>
                      <c:pt idx="131">
                        <c:v>27870.484161496799</c:v>
                      </c:pt>
                      <c:pt idx="132">
                        <c:v>25426.792396761459</c:v>
                      </c:pt>
                      <c:pt idx="133">
                        <c:v>22823.51451860696</c:v>
                      </c:pt>
                      <c:pt idx="134">
                        <c:v>20054.172441460516</c:v>
                      </c:pt>
                      <c:pt idx="135">
                        <c:v>17109.76790552364</c:v>
                      </c:pt>
                      <c:pt idx="136">
                        <c:v>13976.569983367724</c:v>
                      </c:pt>
                      <c:pt idx="137">
                        <c:v>10632.139535994247</c:v>
                      </c:pt>
                      <c:pt idx="138">
                        <c:v>7039.5393114410945</c:v>
                      </c:pt>
                      <c:pt idx="139">
                        <c:v>3144.2746556408611</c:v>
                      </c:pt>
                      <c:pt idx="140">
                        <c:v>-1103.2054927395388</c:v>
                      </c:pt>
                      <c:pt idx="141">
                        <c:v>-5651.6796163023773</c:v>
                      </c:pt>
                      <c:pt idx="142">
                        <c:v>-10261.000359270049</c:v>
                      </c:pt>
                      <c:pt idx="143">
                        <c:v>-14656.030853968152</c:v>
                      </c:pt>
                      <c:pt idx="144">
                        <c:v>-18722.60105691737</c:v>
                      </c:pt>
                      <c:pt idx="145">
                        <c:v>-22464.523100088049</c:v>
                      </c:pt>
                      <c:pt idx="146">
                        <c:v>-25906.865482920122</c:v>
                      </c:pt>
                      <c:pt idx="147">
                        <c:v>-29069.387473119885</c:v>
                      </c:pt>
                      <c:pt idx="148">
                        <c:v>-31969.25997903218</c:v>
                      </c:pt>
                      <c:pt idx="149">
                        <c:v>-34624.614037956148</c:v>
                      </c:pt>
                      <c:pt idx="150">
                        <c:v>-37054.470478275362</c:v>
                      </c:pt>
                      <c:pt idx="151">
                        <c:v>-39277.398102827909</c:v>
                      </c:pt>
                      <c:pt idx="152">
                        <c:v>-41310.485900573884</c:v>
                      </c:pt>
                      <c:pt idx="153">
                        <c:v>-43168.898096941615</c:v>
                      </c:pt>
                      <c:pt idx="154">
                        <c:v>-44865.826030512697</c:v>
                      </c:pt>
                      <c:pt idx="155">
                        <c:v>-46412.6348977159</c:v>
                      </c:pt>
                      <c:pt idx="156">
                        <c:v>-47819.08025896937</c:v>
                      </c:pt>
                      <c:pt idx="157">
                        <c:v>-49093.53171171336</c:v>
                      </c:pt>
                      <c:pt idx="158">
                        <c:v>-50243.177200357313</c:v>
                      </c:pt>
                      <c:pt idx="159">
                        <c:v>-51274.199432570014</c:v>
                      </c:pt>
                      <c:pt idx="160">
                        <c:v>-52191.923969737007</c:v>
                      </c:pt>
                      <c:pt idx="161">
                        <c:v>-53000.941746303091</c:v>
                      </c:pt>
                      <c:pt idx="162">
                        <c:v>-53705.209683984292</c:v>
                      </c:pt>
                      <c:pt idx="163">
                        <c:v>-54308.133001649447</c:v>
                      </c:pt>
                      <c:pt idx="164">
                        <c:v>-54812.632391269792</c:v>
                      </c:pt>
                      <c:pt idx="165">
                        <c:v>-55221.198708541393</c:v>
                      </c:pt>
                      <c:pt idx="166">
                        <c:v>-55535.937327036467</c:v>
                      </c:pt>
                      <c:pt idx="167">
                        <c:v>-55758.603866520338</c:v>
                      </c:pt>
                      <c:pt idx="168">
                        <c:v>-55890.632636228082</c:v>
                      </c:pt>
                      <c:pt idx="169">
                        <c:v>-55933.158825954757</c:v>
                      </c:pt>
                      <c:pt idx="170">
                        <c:v>-55887.035220722144</c:v>
                      </c:pt>
                      <c:pt idx="171">
                        <c:v>-55752.843996612719</c:v>
                      </c:pt>
                      <c:pt idx="172">
                        <c:v>-55530.903964618752</c:v>
                      </c:pt>
                      <c:pt idx="173">
                        <c:v>-55221.273455187584</c:v>
                      </c:pt>
                      <c:pt idx="174">
                        <c:v>-54823.748867978022</c:v>
                      </c:pt>
                      <c:pt idx="175">
                        <c:v>-54337.858738188224</c:v>
                      </c:pt>
                      <c:pt idx="176">
                        <c:v>-53762.852980298012</c:v>
                      </c:pt>
                      <c:pt idx="177">
                        <c:v>-53097.686747076958</c:v>
                      </c:pt>
                      <c:pt idx="178">
                        <c:v>-52340.998066484615</c:v>
                      </c:pt>
                      <c:pt idx="179">
                        <c:v>-51491.078064389621</c:v>
                      </c:pt>
                      <c:pt idx="180">
                        <c:v>-50545.832107815899</c:v>
                      </c:pt>
                      <c:pt idx="181">
                        <c:v>-49502.729554077683</c:v>
                      </c:pt>
                      <c:pt idx="182">
                        <c:v>-48358.738878744174</c:v>
                      </c:pt>
                      <c:pt idx="183">
                        <c:v>-47110.2436462685</c:v>
                      </c:pt>
                      <c:pt idx="184">
                        <c:v>-45752.932873101679</c:v>
                      </c:pt>
                      <c:pt idx="185">
                        <c:v>-44281.656486954911</c:v>
                      </c:pt>
                      <c:pt idx="186">
                        <c:v>-42690.232294232679</c:v>
                      </c:pt>
                      <c:pt idx="187">
                        <c:v>-40971.184344465219</c:v>
                      </c:pt>
                      <c:pt idx="188">
                        <c:v>-39115.38271754689</c:v>
                      </c:pt>
                      <c:pt idx="189">
                        <c:v>-37111.540408016917</c:v>
                      </c:pt>
                      <c:pt idx="190">
                        <c:v>-34945.504856972206</c:v>
                      </c:pt>
                      <c:pt idx="191">
                        <c:v>-32599.271441608129</c:v>
                      </c:pt>
                      <c:pt idx="192">
                        <c:v>-30049.707072004221</c:v>
                      </c:pt>
                      <c:pt idx="193">
                        <c:v>-27267.401590486494</c:v>
                      </c:pt>
                      <c:pt idx="194">
                        <c:v>-24218.212106046034</c:v>
                      </c:pt>
                      <c:pt idx="195">
                        <c:v>-20879.229067169224</c:v>
                      </c:pt>
                      <c:pt idx="196">
                        <c:v>-17302.009455564716</c:v>
                      </c:pt>
                      <c:pt idx="197">
                        <c:v>-13680.662973438371</c:v>
                      </c:pt>
                      <c:pt idx="198">
                        <c:v>-10198.136658306055</c:v>
                      </c:pt>
                      <c:pt idx="199">
                        <c:v>-6853.480021462693</c:v>
                      </c:pt>
                      <c:pt idx="200">
                        <c:v>-3554.319591125633</c:v>
                      </c:pt>
                      <c:pt idx="201">
                        <c:v>-230.11510165922746</c:v>
                      </c:pt>
                      <c:pt idx="202">
                        <c:v>3144.6834798928371</c:v>
                      </c:pt>
                      <c:pt idx="203">
                        <c:v>6547.3655718135542</c:v>
                      </c:pt>
                      <c:pt idx="204">
                        <c:v>9914.6877992740538</c:v>
                      </c:pt>
                      <c:pt idx="205">
                        <c:v>13170.42955534188</c:v>
                      </c:pt>
                      <c:pt idx="206">
                        <c:v>16258.192591732774</c:v>
                      </c:pt>
                      <c:pt idx="207">
                        <c:v>19154.204773715814</c:v>
                      </c:pt>
                      <c:pt idx="208">
                        <c:v>21859.322395550887</c:v>
                      </c:pt>
                      <c:pt idx="209">
                        <c:v>24386.329671334919</c:v>
                      </c:pt>
                      <c:pt idx="210">
                        <c:v>26751.573464906625</c:v>
                      </c:pt>
                      <c:pt idx="211">
                        <c:v>28971.09909463043</c:v>
                      </c:pt>
                      <c:pt idx="212">
                        <c:v>31059.281313900821</c:v>
                      </c:pt>
                      <c:pt idx="213">
                        <c:v>33028.544222235047</c:v>
                      </c:pt>
                      <c:pt idx="214">
                        <c:v>34889.487105349632</c:v>
                      </c:pt>
                      <c:pt idx="215">
                        <c:v>36651.129040375432</c:v>
                      </c:pt>
                      <c:pt idx="216">
                        <c:v>38321.162308771141</c:v>
                      </c:pt>
                      <c:pt idx="217">
                        <c:v>39906.177760244245</c:v>
                      </c:pt>
                      <c:pt idx="218">
                        <c:v>41411.853820698088</c:v>
                      </c:pt>
                      <c:pt idx="219">
                        <c:v>42843.111138430897</c:v>
                      </c:pt>
                      <c:pt idx="220">
                        <c:v>44204.237916508173</c:v>
                      </c:pt>
                      <c:pt idx="221">
                        <c:v>45498.991290987404</c:v>
                      </c:pt>
                      <c:pt idx="222">
                        <c:v>46730.679500694911</c:v>
                      </c:pt>
                      <c:pt idx="223">
                        <c:v>47902.228765194748</c:v>
                      </c:pt>
                      <c:pt idx="224">
                        <c:v>49016.238002478291</c:v>
                      </c:pt>
                      <c:pt idx="225">
                        <c:v>50075.023854487139</c:v>
                      </c:pt>
                      <c:pt idx="226">
                        <c:v>51080.657955094044</c:v>
                      </c:pt>
                      <c:pt idx="227">
                        <c:v>52034.997956108971</c:v>
                      </c:pt>
                      <c:pt idx="228">
                        <c:v>52939.713501219449</c:v>
                      </c:pt>
                      <c:pt idx="229">
                        <c:v>53796.308085671357</c:v>
                      </c:pt>
                      <c:pt idx="230">
                        <c:v>54606.137544310033</c:v>
                      </c:pt>
                      <c:pt idx="231">
                        <c:v>55370.425759105441</c:v>
                      </c:pt>
                      <c:pt idx="232">
                        <c:v>56090.278059235185</c:v>
                      </c:pt>
                      <c:pt idx="233">
                        <c:v>56766.692694366604</c:v>
                      </c:pt>
                      <c:pt idx="234">
                        <c:v>57400.570689014836</c:v>
                      </c:pt>
                      <c:pt idx="235">
                        <c:v>57992.724328245058</c:v>
                      </c:pt>
                      <c:pt idx="236">
                        <c:v>58543.884479105953</c:v>
                      </c:pt>
                      <c:pt idx="237">
                        <c:v>59054.706915418123</c:v>
                      </c:pt>
                      <c:pt idx="238">
                        <c:v>59525.777783898942</c:v>
                      </c:pt>
                      <c:pt idx="239">
                        <c:v>59957.618325551746</c:v>
                      </c:pt>
                      <c:pt idx="240">
                        <c:v>60350.688946597664</c:v>
                      </c:pt>
                      <c:pt idx="241">
                        <c:v>60705.392717063747</c:v>
                      </c:pt>
                      <c:pt idx="242">
                        <c:v>61022.078361742191</c:v>
                      </c:pt>
                      <c:pt idx="243">
                        <c:v>61301.042797037284</c:v>
                      </c:pt>
                      <c:pt idx="244">
                        <c:v>61542.533257770374</c:v>
                      </c:pt>
                      <c:pt idx="245">
                        <c:v>61746.749049961065</c:v>
                      </c:pt>
                      <c:pt idx="246">
                        <c:v>61913.84295865435</c:v>
                      </c:pt>
                      <c:pt idx="247">
                        <c:v>62043.922333782655</c:v>
                      </c:pt>
                      <c:pt idx="248">
                        <c:v>62137.049871642019</c:v>
                      </c:pt>
                      <c:pt idx="249">
                        <c:v>62193.244104656573</c:v>
                      </c:pt>
                      <c:pt idx="250">
                        <c:v>62212.479607562171</c:v>
                      </c:pt>
                      <c:pt idx="251">
                        <c:v>62194.686923829606</c:v>
                      </c:pt>
                      <c:pt idx="252">
                        <c:v>62139.752211953848</c:v>
                      </c:pt>
                      <c:pt idx="253">
                        <c:v>62047.516607044607</c:v>
                      </c:pt>
                      <c:pt idx="254">
                        <c:v>61917.775288854507</c:v>
                      </c:pt>
                      <c:pt idx="255">
                        <c:v>61750.276242857763</c:v>
                      </c:pt>
                      <c:pt idx="256">
                        <c:v>61544.71869612005</c:v>
                      </c:pt>
                      <c:pt idx="257">
                        <c:v>61300.75120434066</c:v>
                      </c:pt>
                      <c:pt idx="258">
                        <c:v>61017.96936044193</c:v>
                      </c:pt>
                      <c:pt idx="259">
                        <c:v>60695.91308824224</c:v>
                      </c:pt>
                      <c:pt idx="260">
                        <c:v>60334.06347685455</c:v>
                      </c:pt>
                      <c:pt idx="261">
                        <c:v>59931.839102232865</c:v>
                      </c:pt>
                      <c:pt idx="262">
                        <c:v>59488.591771412488</c:v>
                      </c:pt>
                      <c:pt idx="263">
                        <c:v>59003.601612045757</c:v>
                      </c:pt>
                      <c:pt idx="264">
                        <c:v>58476.071414309641</c:v>
                      </c:pt>
                      <c:pt idx="265">
                        <c:v>57905.120113509671</c:v>
                      </c:pt>
                      <c:pt idx="266">
                        <c:v>57289.77527890831</c:v>
                      </c:pt>
                      <c:pt idx="267">
                        <c:v>56628.964446425671</c:v>
                      </c:pt>
                      <c:pt idx="268">
                        <c:v>55921.505098566486</c:v>
                      </c:pt>
                      <c:pt idx="269">
                        <c:v>55166.093052514763</c:v>
                      </c:pt>
                      <c:pt idx="270">
                        <c:v>54361.288964611587</c:v>
                      </c:pt>
                      <c:pt idx="271">
                        <c:v>53505.502593564357</c:v>
                      </c:pt>
                      <c:pt idx="272">
                        <c:v>52596.974382082546</c:v>
                      </c:pt>
                      <c:pt idx="273">
                        <c:v>51633.753812512565</c:v>
                      </c:pt>
                      <c:pt idx="274">
                        <c:v>50613.673860476752</c:v>
                      </c:pt>
                      <c:pt idx="275">
                        <c:v>49534.320703990932</c:v>
                      </c:pt>
                      <c:pt idx="276">
                        <c:v>48392.997634832427</c:v>
                      </c:pt>
                      <c:pt idx="277">
                        <c:v>47186.681853340197</c:v>
                      </c:pt>
                      <c:pt idx="278">
                        <c:v>45911.972496187955</c:v>
                      </c:pt>
                      <c:pt idx="279">
                        <c:v>44565.027840505543</c:v>
                      </c:pt>
                      <c:pt idx="280">
                        <c:v>43141.489149162611</c:v>
                      </c:pt>
                      <c:pt idx="281">
                        <c:v>41636.388102520061</c:v>
                      </c:pt>
                      <c:pt idx="282">
                        <c:v>40044.034305439542</c:v>
                      </c:pt>
                      <c:pt idx="283">
                        <c:v>38357.879240238704</c:v>
                      </c:pt>
                      <c:pt idx="284">
                        <c:v>36570.353931708632</c:v>
                      </c:pt>
                      <c:pt idx="285">
                        <c:v>34672.68110693559</c:v>
                      </c:pt>
                      <c:pt idx="286">
                        <c:v>32654.672574934692</c:v>
                      </c:pt>
                      <c:pt idx="287">
                        <c:v>30504.547966305006</c:v>
                      </c:pt>
                      <c:pt idx="288">
                        <c:v>28208.873543972295</c:v>
                      </c:pt>
                      <c:pt idx="289">
                        <c:v>25752.871464089563</c:v>
                      </c:pt>
                      <c:pt idx="290">
                        <c:v>23121.711123848985</c:v>
                      </c:pt>
                      <c:pt idx="291">
                        <c:v>20304.209142964199</c:v>
                      </c:pt>
                      <c:pt idx="292">
                        <c:v>17301.882039118427</c:v>
                      </c:pt>
                      <c:pt idx="293">
                        <c:v>14147.232834402927</c:v>
                      </c:pt>
                      <c:pt idx="294">
                        <c:v>10926.641999821983</c:v>
                      </c:pt>
                      <c:pt idx="295">
                        <c:v>7773.0570673342718</c:v>
                      </c:pt>
                      <c:pt idx="296">
                        <c:v>4797.8578715012018</c:v>
                      </c:pt>
                      <c:pt idx="297">
                        <c:v>2029.4191830678121</c:v>
                      </c:pt>
                      <c:pt idx="298">
                        <c:v>-570.29991048901525</c:v>
                      </c:pt>
                      <c:pt idx="299">
                        <c:v>-3057.185484231542</c:v>
                      </c:pt>
                      <c:pt idx="300">
                        <c:v>-5477.2334645733899</c:v>
                      </c:pt>
                      <c:pt idx="301">
                        <c:v>-7857.9912098113919</c:v>
                      </c:pt>
                      <c:pt idx="302">
                        <c:v>-10209.456845338374</c:v>
                      </c:pt>
                      <c:pt idx="303">
                        <c:v>-12529.849266530127</c:v>
                      </c:pt>
                      <c:pt idx="304">
                        <c:v>-14812.31949818855</c:v>
                      </c:pt>
                      <c:pt idx="305">
                        <c:v>-17049.650880601039</c:v>
                      </c:pt>
                      <c:pt idx="306">
                        <c:v>-19236.356860319593</c:v>
                      </c:pt>
                      <c:pt idx="307">
                        <c:v>-21369.06640733319</c:v>
                      </c:pt>
                      <c:pt idx="308">
                        <c:v>-23446.182401839265</c:v>
                      </c:pt>
                      <c:pt idx="309">
                        <c:v>-25467.380314076156</c:v>
                      </c:pt>
                      <c:pt idx="310">
                        <c:v>-27433.169758361746</c:v>
                      </c:pt>
                      <c:pt idx="311">
                        <c:v>-29344.569860488326</c:v>
                      </c:pt>
                      <c:pt idx="312">
                        <c:v>-31202.886975430851</c:v>
                      </c:pt>
                      <c:pt idx="313">
                        <c:v>-33009.56900625753</c:v>
                      </c:pt>
                      <c:pt idx="314">
                        <c:v>-34766.11272953132</c:v>
                      </c:pt>
                      <c:pt idx="315">
                        <c:v>-36474.006402609062</c:v>
                      </c:pt>
                      <c:pt idx="316">
                        <c:v>-38134.695366687592</c:v>
                      </c:pt>
                      <c:pt idx="317">
                        <c:v>-39749.562445127507</c:v>
                      </c:pt>
                      <c:pt idx="318">
                        <c:v>-41319.917763614576</c:v>
                      </c:pt>
                      <c:pt idx="319">
                        <c:v>-42846.994502258145</c:v>
                      </c:pt>
                      <c:pt idx="320">
                        <c:v>-44331.948322632627</c:v>
                      </c:pt>
                      <c:pt idx="321">
                        <c:v>-45775.859013743386</c:v>
                      </c:pt>
                      <c:pt idx="322">
                        <c:v>-47179.733420127151</c:v>
                      </c:pt>
                      <c:pt idx="323">
                        <c:v>-48544.509052045665</c:v>
                      </c:pt>
                      <c:pt idx="324">
                        <c:v>-49871.057996461124</c:v>
                      </c:pt>
                      <c:pt idx="325">
                        <c:v>-51160.190889758953</c:v>
                      </c:pt>
                      <c:pt idx="326">
                        <c:v>-52412.660805774671</c:v>
                      </c:pt>
                      <c:pt idx="327">
                        <c:v>-53629.166972861829</c:v>
                      </c:pt>
                      <c:pt idx="328">
                        <c:v>-54810.358272696649</c:v>
                      </c:pt>
                      <c:pt idx="329">
                        <c:v>-55956.836498536519</c:v>
                      </c:pt>
                      <c:pt idx="330">
                        <c:v>-57069.159366498607</c:v>
                      </c:pt>
                      <c:pt idx="331">
                        <c:v>-58147.843283233742</c:v>
                      </c:pt>
                      <c:pt idx="332">
                        <c:v>-59193.365879208366</c:v>
                      </c:pt>
                      <c:pt idx="333">
                        <c:v>-60206.168320044213</c:v>
                      </c:pt>
                      <c:pt idx="334">
                        <c:v>-61186.657409912754</c:v>
                      </c:pt>
                      <c:pt idx="335">
                        <c:v>-62135.20750144546</c:v>
                      </c:pt>
                      <c:pt idx="336">
                        <c:v>-63052.162226405257</c:v>
                      </c:pt>
                      <c:pt idx="337">
                        <c:v>-63937.836060736481</c:v>
                      </c:pt>
                      <c:pt idx="338">
                        <c:v>-64792.515736747388</c:v>
                      </c:pt>
                      <c:pt idx="339">
                        <c:v>-65616.461514195966</c:v>
                      </c:pt>
                      <c:pt idx="340">
                        <c:v>-66409.908321021416</c:v>
                      </c:pt>
                      <c:pt idx="341">
                        <c:v>-67173.066773436411</c:v>
                      </c:pt>
                      <c:pt idx="342">
                        <c:v>-67906.124084098134</c:v>
                      </c:pt>
                      <c:pt idx="343">
                        <c:v>-68609.244866123947</c:v>
                      </c:pt>
                      <c:pt idx="344">
                        <c:v>-69282.571839819022</c:v>
                      </c:pt>
                      <c:pt idx="345">
                        <c:v>-69926.226448139772</c:v>
                      </c:pt>
                      <c:pt idx="346">
                        <c:v>-70540.309386127614</c:v>
                      </c:pt>
                      <c:pt idx="347">
                        <c:v>-71124.90104880881</c:v>
                      </c:pt>
                      <c:pt idx="348">
                        <c:v>-71680.061901362715</c:v>
                      </c:pt>
                      <c:pt idx="349">
                        <c:v>-72205.832774707567</c:v>
                      </c:pt>
                      <c:pt idx="350">
                        <c:v>-72702.235089033318</c:v>
                      </c:pt>
                      <c:pt idx="351">
                        <c:v>-73169.271007218646</c:v>
                      </c:pt>
                      <c:pt idx="352">
                        <c:v>-73606.923519497359</c:v>
                      </c:pt>
                      <c:pt idx="353">
                        <c:v>-74015.156460181795</c:v>
                      </c:pt>
                      <c:pt idx="354">
                        <c:v>-74393.914456700091</c:v>
                      </c:pt>
                      <c:pt idx="355">
                        <c:v>-74743.122810652989</c:v>
                      </c:pt>
                      <c:pt idx="356">
                        <c:v>-75062.687310038498</c:v>
                      </c:pt>
                      <c:pt idx="357">
                        <c:v>-75352.493971218981</c:v>
                      </c:pt>
                      <c:pt idx="358">
                        <c:v>-75612.408708609611</c:v>
                      </c:pt>
                      <c:pt idx="359">
                        <c:v>-75842.27692943874</c:v>
                      </c:pt>
                      <c:pt idx="360">
                        <c:v>-76041.923050260855</c:v>
                      </c:pt>
                      <c:pt idx="361">
                        <c:v>-76211.149931180727</c:v>
                      </c:pt>
                      <c:pt idx="362">
                        <c:v>-76349.738222959975</c:v>
                      </c:pt>
                      <c:pt idx="363">
                        <c:v>-76457.445621312479</c:v>
                      </c:pt>
                      <c:pt idx="364">
                        <c:v>-76534.006021734953</c:v>
                      </c:pt>
                      <c:pt idx="365">
                        <c:v>-76579.128567147025</c:v>
                      </c:pt>
                      <c:pt idx="366">
                        <c:v>-76592.496579408631</c:v>
                      </c:pt>
                      <c:pt idx="367">
                        <c:v>-76573.766364416952</c:v>
                      </c:pt>
                      <c:pt idx="368">
                        <c:v>-76522.565878930312</c:v>
                      </c:pt>
                      <c:pt idx="369">
                        <c:v>-76438.493245487567</c:v>
                      </c:pt>
                      <c:pt idx="370">
                        <c:v>-76321.11509974541</c:v>
                      </c:pt>
                      <c:pt idx="371">
                        <c:v>-76169.96475219306</c:v>
                      </c:pt>
                      <c:pt idx="372">
                        <c:v>-75984.540143462262</c:v>
                      </c:pt>
                      <c:pt idx="373">
                        <c:v>-75764.301569256713</c:v>
                      </c:pt>
                      <c:pt idx="374">
                        <c:v>-75508.669147188819</c:v>
                      </c:pt>
                      <c:pt idx="375">
                        <c:v>-75217.019993424386</c:v>
                      </c:pt>
                      <c:pt idx="376">
                        <c:v>-74888.685071861735</c:v>
                      </c:pt>
                      <c:pt idx="377">
                        <c:v>-74522.945672446614</c:v>
                      </c:pt>
                      <c:pt idx="378">
                        <c:v>-74119.029467943517</c:v>
                      </c:pt>
                      <c:pt idx="379">
                        <c:v>-73676.106089793728</c:v>
                      </c:pt>
                      <c:pt idx="380">
                        <c:v>-73193.282153275242</c:v>
                      </c:pt>
                      <c:pt idx="381">
                        <c:v>-72669.59564964399</c:v>
                      </c:pt>
                      <c:pt idx="382">
                        <c:v>-72104.009607782602</c:v>
                      </c:pt>
                      <c:pt idx="383">
                        <c:v>-71495.404909485835</c:v>
                      </c:pt>
                      <c:pt idx="384">
                        <c:v>-70842.57212007638</c:v>
                      </c:pt>
                      <c:pt idx="385">
                        <c:v>-70144.202168561489</c:v>
                      </c:pt>
                      <c:pt idx="386">
                        <c:v>-69398.875677721822</c:v>
                      </c:pt>
                      <c:pt idx="387">
                        <c:v>-68605.050702721535</c:v>
                      </c:pt>
                      <c:pt idx="388">
                        <c:v>-67761.048584928998</c:v>
                      </c:pt>
                      <c:pt idx="389">
                        <c:v>-66865.037562931699</c:v>
                      </c:pt>
                      <c:pt idx="390">
                        <c:v>-65915.013701738164</c:v>
                      </c:pt>
                      <c:pt idx="391">
                        <c:v>-64908.778599443765</c:v>
                      </c:pt>
                      <c:pt idx="392">
                        <c:v>-63843.913202558411</c:v>
                      </c:pt>
                      <c:pt idx="393">
                        <c:v>-62717.746899703139</c:v>
                      </c:pt>
                      <c:pt idx="394">
                        <c:v>-61527.320859872416</c:v>
                      </c:pt>
                      <c:pt idx="395">
                        <c:v>-60269.344325901402</c:v>
                      </c:pt>
                      <c:pt idx="396">
                        <c:v>-58940.142255514249</c:v>
                      </c:pt>
                      <c:pt idx="397">
                        <c:v>-57535.592312385408</c:v>
                      </c:pt>
                      <c:pt idx="398">
                        <c:v>-56051.048746309694</c:v>
                      </c:pt>
                      <c:pt idx="399">
                        <c:v>-54481.250182854121</c:v>
                      </c:pt>
                      <c:pt idx="400">
                        <c:v>-52820.207833101071</c:v>
                      </c:pt>
                      <c:pt idx="401">
                        <c:v>-51061.070299259278</c:v>
                      </c:pt>
                      <c:pt idx="402">
                        <c:v>-49195.961371454454</c:v>
                      </c:pt>
                      <c:pt idx="403">
                        <c:v>-47215.788796323075</c:v>
                      </c:pt>
                      <c:pt idx="404">
                        <c:v>-45110.026594116956</c:v>
                      </c:pt>
                      <c:pt idx="405">
                        <c:v>-42866.484233267853</c:v>
                      </c:pt>
                      <c:pt idx="406">
                        <c:v>-40471.098139568901</c:v>
                      </c:pt>
                      <c:pt idx="407">
                        <c:v>-37907.821403363298</c:v>
                      </c:pt>
                      <c:pt idx="408">
                        <c:v>-35158.746670247594</c:v>
                      </c:pt>
                      <c:pt idx="409">
                        <c:v>-32204.638554770761</c:v>
                      </c:pt>
                      <c:pt idx="410">
                        <c:v>-29025.924301673844</c:v>
                      </c:pt>
                      <c:pt idx="411">
                        <c:v>-25603.551531509838</c:v>
                      </c:pt>
                      <c:pt idx="412">
                        <c:v>-21917.732294411591</c:v>
                      </c:pt>
                      <c:pt idx="413">
                        <c:v>-17941.579979329868</c:v>
                      </c:pt>
                      <c:pt idx="414">
                        <c:v>-13629.665781579599</c:v>
                      </c:pt>
                      <c:pt idx="415">
                        <c:v>-8915.9371343537805</c:v>
                      </c:pt>
                      <c:pt idx="416">
                        <c:v>-3787.6818650226719</c:v>
                      </c:pt>
                      <c:pt idx="417">
                        <c:v>1494.3199314254055</c:v>
                      </c:pt>
                      <c:pt idx="418">
                        <c:v>6517.3386449958189</c:v>
                      </c:pt>
                      <c:pt idx="419">
                        <c:v>11137.282827633835</c:v>
                      </c:pt>
                      <c:pt idx="420">
                        <c:v>15437.343842396458</c:v>
                      </c:pt>
                      <c:pt idx="421">
                        <c:v>19498.771696221396</c:v>
                      </c:pt>
                      <c:pt idx="422">
                        <c:v>23368.08985787155</c:v>
                      </c:pt>
                      <c:pt idx="423">
                        <c:v>27070.929473583899</c:v>
                      </c:pt>
                      <c:pt idx="424">
                        <c:v>30622.938837405065</c:v>
                      </c:pt>
                      <c:pt idx="425">
                        <c:v>34035.341562664617</c:v>
                      </c:pt>
                      <c:pt idx="426">
                        <c:v>37317.395086717319</c:v>
                      </c:pt>
                      <c:pt idx="427">
                        <c:v>40477.368539952447</c:v>
                      </c:pt>
                      <c:pt idx="428">
                        <c:v>43522.887570361621</c:v>
                      </c:pt>
                      <c:pt idx="429">
                        <c:v>46461.037663473166</c:v>
                      </c:pt>
                      <c:pt idx="430">
                        <c:v>49298.390514583669</c:v>
                      </c:pt>
                      <c:pt idx="431">
                        <c:v>52041.015515036415</c:v>
                      </c:pt>
                      <c:pt idx="432">
                        <c:v>54694.495761769176</c:v>
                      </c:pt>
                      <c:pt idx="433">
                        <c:v>57263.951897373772</c:v>
                      </c:pt>
                      <c:pt idx="434">
                        <c:v>59754.071967997632</c:v>
                      </c:pt>
                      <c:pt idx="435">
                        <c:v>62169.144537129192</c:v>
                      </c:pt>
                      <c:pt idx="436">
                        <c:v>64513.092707214848</c:v>
                      </c:pt>
                      <c:pt idx="437">
                        <c:v>66789.507403597614</c:v>
                      </c:pt>
                      <c:pt idx="438">
                        <c:v>69001.67890490088</c:v>
                      </c:pt>
                      <c:pt idx="439">
                        <c:v>71152.626074383836</c:v>
                      </c:pt>
                      <c:pt idx="440">
                        <c:v>73245.123066789354</c:v>
                      </c:pt>
                      <c:pt idx="441">
                        <c:v>75281.723488649353</c:v>
                      </c:pt>
                      <c:pt idx="442">
                        <c:v>77264.782110966946</c:v>
                      </c:pt>
                      <c:pt idx="443">
                        <c:v>79196.474298870206</c:v>
                      </c:pt>
                      <c:pt idx="444">
                        <c:v>81078.813352956859</c:v>
                      </c:pt>
                      <c:pt idx="445">
                        <c:v>82913.665965190608</c:v>
                      </c:pt>
                      <c:pt idx="446">
                        <c:v>84702.765987382241</c:v>
                      </c:pt>
                      <c:pt idx="447">
                        <c:v>86447.726698322294</c:v>
                      </c:pt>
                      <c:pt idx="448">
                        <c:v>88150.051740203809</c:v>
                      </c:pt>
                      <c:pt idx="449">
                        <c:v>89811.144878341001</c:v>
                      </c:pt>
                      <c:pt idx="450">
                        <c:v>91432.318721683783</c:v>
                      </c:pt>
                      <c:pt idx="451">
                        <c:v>93014.802525993247</c:v>
                      </c:pt>
                      <c:pt idx="452">
                        <c:v>94559.749187153415</c:v>
                      </c:pt>
                      <c:pt idx="453">
                        <c:v>96068.241519098287</c:v>
                      </c:pt>
                      <c:pt idx="454">
                        <c:v>97541.297899242549</c:v>
                      </c:pt>
                      <c:pt idx="455">
                        <c:v>98979.877354058845</c:v>
                      </c:pt>
                      <c:pt idx="456">
                        <c:v>100384.88414844016</c:v>
                      </c:pt>
                      <c:pt idx="457">
                        <c:v>101757.17193460633</c:v>
                      </c:pt>
                      <c:pt idx="458">
                        <c:v>103097.54750943556</c:v>
                      </c:pt>
                      <c:pt idx="459">
                        <c:v>104406.77422310803</c:v>
                      </c:pt>
                      <c:pt idx="460">
                        <c:v>105685.57507673001</c:v>
                      </c:pt>
                      <c:pt idx="461">
                        <c:v>106934.635542064</c:v>
                      </c:pt>
                      <c:pt idx="462">
                        <c:v>108154.60613253601</c:v>
                      </c:pt>
                      <c:pt idx="463">
                        <c:v>109346.10475124489</c:v>
                      </c:pt>
                      <c:pt idx="464">
                        <c:v>110509.71883869644</c:v>
                      </c:pt>
                      <c:pt idx="465">
                        <c:v>111646.00734036276</c:v>
                      </c:pt>
                      <c:pt idx="466">
                        <c:v>112755.50251187805</c:v>
                      </c:pt>
                      <c:pt idx="467">
                        <c:v>113838.71157767814</c:v>
                      </c:pt>
                      <c:pt idx="468">
                        <c:v>114896.11825713651</c:v>
                      </c:pt>
                      <c:pt idx="469">
                        <c:v>115928.18417070899</c:v>
                      </c:pt>
                      <c:pt idx="470">
                        <c:v>116935.35013724738</c:v>
                      </c:pt>
                      <c:pt idx="471">
                        <c:v>117918.03737245071</c:v>
                      </c:pt>
                      <c:pt idx="472">
                        <c:v>118876.64859737424</c:v>
                      </c:pt>
                      <c:pt idx="473">
                        <c:v>119811.5690649896</c:v>
                      </c:pt>
                      <c:pt idx="474">
                        <c:v>120723.16751197071</c:v>
                      </c:pt>
                      <c:pt idx="475">
                        <c:v>121611.79704215443</c:v>
                      </c:pt>
                      <c:pt idx="476">
                        <c:v>122477.79594748233</c:v>
                      </c:pt>
                      <c:pt idx="477">
                        <c:v>123321.48847165762</c:v>
                      </c:pt>
                      <c:pt idx="478">
                        <c:v>124143.18552124375</c:v>
                      </c:pt>
                      <c:pt idx="479">
                        <c:v>124943.18532847756</c:v>
                      </c:pt>
                      <c:pt idx="480">
                        <c:v>125721.77406966567</c:v>
                      </c:pt>
                      <c:pt idx="481">
                        <c:v>126479.2264426719</c:v>
                      </c:pt>
                      <c:pt idx="482">
                        <c:v>127215.80620667941</c:v>
                      </c:pt>
                      <c:pt idx="483">
                        <c:v>127931.76668712198</c:v>
                      </c:pt>
                      <c:pt idx="484">
                        <c:v>128627.35124841843</c:v>
                      </c:pt>
                      <c:pt idx="485">
                        <c:v>129302.79373690995</c:v>
                      </c:pt>
                      <c:pt idx="486">
                        <c:v>129958.31889619028</c:v>
                      </c:pt>
                      <c:pt idx="487">
                        <c:v>130594.14275682818</c:v>
                      </c:pt>
                      <c:pt idx="488">
                        <c:v>131210.47300231096</c:v>
                      </c:pt>
                      <c:pt idx="489">
                        <c:v>131807.50931288264</c:v>
                      </c:pt>
                      <c:pt idx="490">
                        <c:v>132385.44368881031</c:v>
                      </c:pt>
                      <c:pt idx="491">
                        <c:v>132944.46075448583</c:v>
                      </c:pt>
                      <c:pt idx="492">
                        <c:v>133484.73804465387</c:v>
                      </c:pt>
                      <c:pt idx="493">
                        <c:v>134006.44627395403</c:v>
                      </c:pt>
                      <c:pt idx="494">
                        <c:v>134509.74959086833</c:v>
                      </c:pt>
                      <c:pt idx="495">
                        <c:v>134994.80581707988</c:v>
                      </c:pt>
                      <c:pt idx="496">
                        <c:v>135461.76667316892</c:v>
                      </c:pt>
                      <c:pt idx="497">
                        <c:v>135910.77799150054</c:v>
                      </c:pt>
                      <c:pt idx="498">
                        <c:v>136341.9799170928</c:v>
                      </c:pt>
                      <c:pt idx="499">
                        <c:v>136755.50709719324</c:v>
                      </c:pt>
                      <c:pt idx="500">
                        <c:v>137151.48886023712</c:v>
                      </c:pt>
                      <c:pt idx="501">
                        <c:v>137530.0493848098</c:v>
                      </c:pt>
                      <c:pt idx="502">
                        <c:v>137891.3078591894</c:v>
                      </c:pt>
                      <c:pt idx="503">
                        <c:v>138235.37863200309</c:v>
                      </c:pt>
                      <c:pt idx="504">
                        <c:v>138562.37135449116</c:v>
                      </c:pt>
                      <c:pt idx="505">
                        <c:v>138872.39111483676</c:v>
                      </c:pt>
                      <c:pt idx="506">
                        <c:v>139165.53856498617</c:v>
                      </c:pt>
                      <c:pt idx="507">
                        <c:v>139441.91004035273</c:v>
                      </c:pt>
                      <c:pt idx="508">
                        <c:v>139701.59767277035</c:v>
                      </c:pt>
                      <c:pt idx="509">
                        <c:v>139944.68949703517</c:v>
                      </c:pt>
                      <c:pt idx="510">
                        <c:v>140171.2695513496</c:v>
                      </c:pt>
                      <c:pt idx="511">
                        <c:v>140381.41797196082</c:v>
                      </c:pt>
                      <c:pt idx="512">
                        <c:v>140575.21108226414</c:v>
                      </c:pt>
                      <c:pt idx="513">
                        <c:v>140752.72147662219</c:v>
                      </c:pt>
                      <c:pt idx="514">
                        <c:v>140914.01809913255</c:v>
                      </c:pt>
                      <c:pt idx="515">
                        <c:v>141059.16631755966</c:v>
                      </c:pt>
                      <c:pt idx="516">
                        <c:v>141188.22799263007</c:v>
                      </c:pt>
                      <c:pt idx="517">
                        <c:v>141301.26154287611</c:v>
                      </c:pt>
                      <c:pt idx="518">
                        <c:v>141398.32200519813</c:v>
                      </c:pt>
                      <c:pt idx="519">
                        <c:v>141479.46109130286</c:v>
                      </c:pt>
                      <c:pt idx="520">
                        <c:v>141544.72724016232</c:v>
                      </c:pt>
                      <c:pt idx="521">
                        <c:v>141594.16566662688</c:v>
                      </c:pt>
                      <c:pt idx="522">
                        <c:v>141627.81840631383</c:v>
                      </c:pt>
                      <c:pt idx="523">
                        <c:v>141645.72435688306</c:v>
                      </c:pt>
                      <c:pt idx="524">
                        <c:v>141647.919315801</c:v>
                      </c:pt>
                      <c:pt idx="525">
                        <c:v>141634.43601468467</c:v>
                      </c:pt>
                      <c:pt idx="526">
                        <c:v>141605.30415030778</c:v>
                      </c:pt>
                      <c:pt idx="527">
                        <c:v>141560.55041234306</c:v>
                      </c:pt>
                      <c:pt idx="528">
                        <c:v>141500.19850790562</c:v>
                      </c:pt>
                      <c:pt idx="529">
                        <c:v>141424.26918295433</c:v>
                      </c:pt>
                      <c:pt idx="530">
                        <c:v>141332.78024060011</c:v>
                      </c:pt>
                      <c:pt idx="531">
                        <c:v>141225.74655636225</c:v>
                      </c:pt>
                      <c:pt idx="532">
                        <c:v>141103.18009040647</c:v>
                      </c:pt>
                      <c:pt idx="533">
                        <c:v>140965.0898967906</c:v>
                      </c:pt>
                      <c:pt idx="534">
                        <c:v>140811.4821297368</c:v>
                      </c:pt>
                      <c:pt idx="535">
                        <c:v>140642.36004694187</c:v>
                      </c:pt>
                      <c:pt idx="536">
                        <c:v>140457.72400992954</c:v>
                      </c:pt>
                      <c:pt idx="537">
                        <c:v>140257.57148144225</c:v>
                      </c:pt>
                      <c:pt idx="538">
                        <c:v>140041.89701986164</c:v>
                      </c:pt>
                      <c:pt idx="539">
                        <c:v>139810.69227064072</c:v>
                      </c:pt>
                      <c:pt idx="540">
                        <c:v>139563.94595472238</c:v>
                      </c:pt>
                      <c:pt idx="541">
                        <c:v>139301.64385391204</c:v>
                      </c:pt>
                      <c:pt idx="542">
                        <c:v>139023.76879316391</c:v>
                      </c:pt>
                      <c:pt idx="543">
                        <c:v>138730.3006197334</c:v>
                      </c:pt>
                      <c:pt idx="544">
                        <c:v>138421.21617913916</c:v>
                      </c:pt>
                      <c:pt idx="545">
                        <c:v>138096.4892878703</c:v>
                      </c:pt>
                      <c:pt idx="546">
                        <c:v>137756.0907027658</c:v>
                      </c:pt>
                      <c:pt idx="547">
                        <c:v>137399.988086984</c:v>
                      </c:pt>
                      <c:pt idx="548">
                        <c:v>137028.14597247014</c:v>
                      </c:pt>
                      <c:pt idx="549">
                        <c:v>136640.52571882121</c:v>
                      </c:pt>
                      <c:pt idx="550">
                        <c:v>136237.08546843557</c:v>
                      </c:pt>
                      <c:pt idx="551">
                        <c:v>135817.78009782522</c:v>
                      </c:pt>
                      <c:pt idx="552">
                        <c:v>135382.56116495625</c:v>
                      </c:pt>
                      <c:pt idx="553">
                        <c:v>134931.37685247083</c:v>
                      </c:pt>
                      <c:pt idx="554">
                        <c:v>134464.17190663196</c:v>
                      </c:pt>
                      <c:pt idx="555">
                        <c:v>133980.88757181738</c:v>
                      </c:pt>
                      <c:pt idx="556">
                        <c:v>133481.46152037487</c:v>
                      </c:pt>
                      <c:pt idx="557">
                        <c:v>132965.82777763598</c:v>
                      </c:pt>
                      <c:pt idx="558">
                        <c:v>132433.91664186746</c:v>
                      </c:pt>
                      <c:pt idx="559">
                        <c:v>131885.6545989227</c:v>
                      </c:pt>
                      <c:pt idx="560">
                        <c:v>131320.96423133559</c:v>
                      </c:pt>
                      <c:pt idx="561">
                        <c:v>130739.76412157869</c:v>
                      </c:pt>
                      <c:pt idx="562">
                        <c:v>130141.96874918554</c:v>
                      </c:pt>
                      <c:pt idx="563">
                        <c:v>129527.48838141255</c:v>
                      </c:pt>
                      <c:pt idx="564">
                        <c:v>128896.22895709006</c:v>
                      </c:pt>
                      <c:pt idx="565">
                        <c:v>128248.09196328424</c:v>
                      </c:pt>
                      <c:pt idx="566">
                        <c:v>127582.97430436091</c:v>
                      </c:pt>
                      <c:pt idx="567">
                        <c:v>126900.76816300952</c:v>
                      </c:pt>
                      <c:pt idx="568">
                        <c:v>126201.36085274977</c:v>
                      </c:pt>
                      <c:pt idx="569">
                        <c:v>125484.63466140439</c:v>
                      </c:pt>
                      <c:pt idx="570">
                        <c:v>124750.46668497946</c:v>
                      </c:pt>
                      <c:pt idx="571">
                        <c:v>123998.7286513475</c:v>
                      </c:pt>
                      <c:pt idx="572">
                        <c:v>123229.28673307816</c:v>
                      </c:pt>
                      <c:pt idx="573">
                        <c:v>122442.00134870701</c:v>
                      </c:pt>
                      <c:pt idx="574">
                        <c:v>121636.72695167222</c:v>
                      </c:pt>
                      <c:pt idx="575">
                        <c:v>120813.31180608388</c:v>
                      </c:pt>
                      <c:pt idx="576">
                        <c:v>119971.59774841867</c:v>
                      </c:pt>
                      <c:pt idx="577">
                        <c:v>119111.41993415347</c:v>
                      </c:pt>
                      <c:pt idx="578">
                        <c:v>118232.60656826526</c:v>
                      </c:pt>
                      <c:pt idx="579">
                        <c:v>117334.97861842917</c:v>
                      </c:pt>
                      <c:pt idx="580">
                        <c:v>116418.34950964204</c:v>
                      </c:pt>
                      <c:pt idx="581">
                        <c:v>115482.52479888289</c:v>
                      </c:pt>
                      <c:pt idx="582">
                        <c:v>114527.30182829518</c:v>
                      </c:pt>
                      <c:pt idx="583">
                        <c:v>113552.46935523412</c:v>
                      </c:pt>
                      <c:pt idx="584">
                        <c:v>112557.80715736758</c:v>
                      </c:pt>
                      <c:pt idx="585">
                        <c:v>111543.08561084686</c:v>
                      </c:pt>
                      <c:pt idx="586">
                        <c:v>110508.06523937271</c:v>
                      </c:pt>
                      <c:pt idx="587">
                        <c:v>109452.49623177089</c:v>
                      </c:pt>
                      <c:pt idx="588">
                        <c:v>108376.11792545678</c:v>
                      </c:pt>
                      <c:pt idx="589">
                        <c:v>107278.65825290733</c:v>
                      </c:pt>
                      <c:pt idx="590">
                        <c:v>106159.83314796898</c:v>
                      </c:pt>
                      <c:pt idx="591">
                        <c:v>105019.34590850644</c:v>
                      </c:pt>
                      <c:pt idx="592">
                        <c:v>103856.88651153767</c:v>
                      </c:pt>
                      <c:pt idx="593">
                        <c:v>102672.13087659824</c:v>
                      </c:pt>
                      <c:pt idx="594">
                        <c:v>101464.74007263048</c:v>
                      </c:pt>
                      <c:pt idx="595">
                        <c:v>100234.35946319181</c:v>
                      </c:pt>
                      <c:pt idx="596">
                        <c:v>98980.617784218062</c:v>
                      </c:pt>
                      <c:pt idx="597">
                        <c:v>97703.126147952498</c:v>
                      </c:pt>
                      <c:pt idx="598">
                        <c:v>96401.476965953538</c:v>
                      </c:pt>
                      <c:pt idx="599">
                        <c:v>95075.242783314825</c:v>
                      </c:pt>
                      <c:pt idx="600">
                        <c:v>93723.975015361386</c:v>
                      </c:pt>
                      <c:pt idx="601">
                        <c:v>92347.20257711655</c:v>
                      </c:pt>
                      <c:pt idx="602">
                        <c:v>90944.430394756317</c:v>
                      </c:pt>
                      <c:pt idx="603">
                        <c:v>89515.137787071682</c:v>
                      </c:pt>
                      <c:pt idx="604">
                        <c:v>88058.776703639363</c:v>
                      </c:pt>
                      <c:pt idx="605">
                        <c:v>86574.769804949581</c:v>
                      </c:pt>
                      <c:pt idx="606">
                        <c:v>85062.508368158451</c:v>
                      </c:pt>
                      <c:pt idx="607">
                        <c:v>83521.350000426901</c:v>
                      </c:pt>
                      <c:pt idx="608">
                        <c:v>81950.616139997714</c:v>
                      </c:pt>
                      <c:pt idx="609">
                        <c:v>80349.589323284512</c:v>
                      </c:pt>
                      <c:pt idx="610">
                        <c:v>78717.510194366128</c:v>
                      </c:pt>
                      <c:pt idx="611">
                        <c:v>77053.57423150618</c:v>
                      </c:pt>
                      <c:pt idx="612">
                        <c:v>75356.928163824239</c:v>
                      </c:pt>
                      <c:pt idx="613">
                        <c:v>73626.666050303218</c:v>
                      </c:pt>
                      <c:pt idx="614">
                        <c:v>71861.824993347502</c:v>
                      </c:pt>
                      <c:pt idx="615">
                        <c:v>70061.380460751359</c:v>
                      </c:pt>
                      <c:pt idx="616">
                        <c:v>68224.241194176837</c:v>
                      </c:pt>
                      <c:pt idx="617">
                        <c:v>66349.243690569798</c:v>
                      </c:pt>
                      <c:pt idx="618">
                        <c:v>64435.146257637789</c:v>
                      </c:pt>
                      <c:pt idx="619">
                        <c:v>62480.622669053002</c:v>
                      </c:pt>
                      <c:pt idx="620">
                        <c:v>60484.255484763809</c:v>
                      </c:pt>
                      <c:pt idx="621">
                        <c:v>58444.529164923515</c:v>
                      </c:pt>
                      <c:pt idx="622">
                        <c:v>56359.823205231536</c:v>
                      </c:pt>
                      <c:pt idx="623">
                        <c:v>54228.405676845323</c:v>
                      </c:pt>
                      <c:pt idx="624">
                        <c:v>52048.427796783959</c:v>
                      </c:pt>
                      <c:pt idx="625">
                        <c:v>49817.920534542769</c:v>
                      </c:pt>
                      <c:pt idx="626">
                        <c:v>47534.794856718821</c:v>
                      </c:pt>
                      <c:pt idx="627">
                        <c:v>45196.848151188671</c:v>
                      </c:pt>
                      <c:pt idx="628">
                        <c:v>42801.780861602572</c:v>
                      </c:pt>
                      <c:pt idx="629">
                        <c:v>40347.229734998953</c:v>
                      </c:pt>
                      <c:pt idx="630">
                        <c:v>37830.827878411685</c:v>
                      </c:pt>
                      <c:pt idx="631">
                        <c:v>35250.307892373807</c:v>
                      </c:pt>
                      <c:pt idx="632">
                        <c:v>32603.674025078402</c:v>
                      </c:pt>
                      <c:pt idx="633">
                        <c:v>29889.484472969714</c:v>
                      </c:pt>
                      <c:pt idx="634">
                        <c:v>27107.307908023391</c:v>
                      </c:pt>
                      <c:pt idx="635">
                        <c:v>24258.45019004506</c:v>
                      </c:pt>
                      <c:pt idx="636">
                        <c:v>21347.082638314751</c:v>
                      </c:pt>
                      <c:pt idx="637">
                        <c:v>18381.914476731454</c:v>
                      </c:pt>
                      <c:pt idx="638">
                        <c:v>15378.452197181989</c:v>
                      </c:pt>
                      <c:pt idx="639">
                        <c:v>12361.47623328028</c:v>
                      </c:pt>
                      <c:pt idx="640">
                        <c:v>9366.3579971285544</c:v>
                      </c:pt>
                      <c:pt idx="641">
                        <c:v>6436.3789257426306</c:v>
                      </c:pt>
                      <c:pt idx="642">
                        <c:v>3613.0832049205628</c:v>
                      </c:pt>
                      <c:pt idx="643">
                        <c:v>921.01376709525596</c:v>
                      </c:pt>
                      <c:pt idx="644">
                        <c:v>-1644.3033883987757</c:v>
                      </c:pt>
                      <c:pt idx="645">
                        <c:v>-4113.9242888203007</c:v>
                      </c:pt>
                      <c:pt idx="646">
                        <c:v>-6523.5751044691697</c:v>
                      </c:pt>
                      <c:pt idx="647">
                        <c:v>-8876.6994237424242</c:v>
                      </c:pt>
                      <c:pt idx="648">
                        <c:v>-11104.739445447749</c:v>
                      </c:pt>
                      <c:pt idx="649">
                        <c:v>-13046.74102935128</c:v>
                      </c:pt>
                      <c:pt idx="650">
                        <c:v>-14524.941645850202</c:v>
                      </c:pt>
                      <c:pt idx="651">
                        <c:v>-15500.489633323341</c:v>
                      </c:pt>
                      <c:pt idx="652">
                        <c:v>-16080.667806319121</c:v>
                      </c:pt>
                      <c:pt idx="653">
                        <c:v>-16392.111709441502</c:v>
                      </c:pt>
                      <c:pt idx="654">
                        <c:v>-16522.871799258999</c:v>
                      </c:pt>
                      <c:pt idx="655">
                        <c:v>-16527.664660970877</c:v>
                      </c:pt>
                      <c:pt idx="656">
                        <c:v>-16440.834258197778</c:v>
                      </c:pt>
                      <c:pt idx="657">
                        <c:v>-16284.826073730022</c:v>
                      </c:pt>
                      <c:pt idx="658">
                        <c:v>-16074.960805531075</c:v>
                      </c:pt>
                      <c:pt idx="659">
                        <c:v>-15822.114208753561</c:v>
                      </c:pt>
                      <c:pt idx="660">
                        <c:v>-15534.270959061456</c:v>
                      </c:pt>
                      <c:pt idx="661">
                        <c:v>-15217.462499324422</c:v>
                      </c:pt>
                      <c:pt idx="662">
                        <c:v>-14876.355801542724</c:v>
                      </c:pt>
                      <c:pt idx="663">
                        <c:v>-14514.636547402284</c:v>
                      </c:pt>
                      <c:pt idx="664">
                        <c:v>-14135.266675071824</c:v>
                      </c:pt>
                      <c:pt idx="665">
                        <c:v>-13740.662493104042</c:v>
                      </c:pt>
                      <c:pt idx="666">
                        <c:v>-13332.82100569728</c:v>
                      </c:pt>
                      <c:pt idx="667">
                        <c:v>-12913.411529388235</c:v>
                      </c:pt>
                      <c:pt idx="668">
                        <c:v>-12483.843466803242</c:v>
                      </c:pt>
                      <c:pt idx="669">
                        <c:v>-12045.317334994781</c:v>
                      </c:pt>
                      <c:pt idx="670">
                        <c:v>-11598.86379683664</c:v>
                      </c:pt>
                      <c:pt idx="671">
                        <c:v>-11145.373941976299</c:v>
                      </c:pt>
                      <c:pt idx="672">
                        <c:v>-10685.623081041149</c:v>
                      </c:pt>
                      <c:pt idx="673">
                        <c:v>-10220.289660001685</c:v>
                      </c:pt>
                      <c:pt idx="674">
                        <c:v>-9749.9704541217707</c:v>
                      </c:pt>
                      <c:pt idx="675">
                        <c:v>-9275.1928906286175</c:v>
                      </c:pt>
                      <c:pt idx="676">
                        <c:v>-8796.4251305416892</c:v>
                      </c:pt>
                      <c:pt idx="677">
                        <c:v>-8314.0843836488657</c:v>
                      </c:pt>
                      <c:pt idx="678">
                        <c:v>-7828.5438171424785</c:v>
                      </c:pt>
                      <c:pt idx="679">
                        <c:v>-7340.1383350675069</c:v>
                      </c:pt>
                      <c:pt idx="680">
                        <c:v>-6849.169443770018</c:v>
                      </c:pt>
                      <c:pt idx="681">
                        <c:v>-6355.9093719663551</c:v>
                      </c:pt>
                      <c:pt idx="682">
                        <c:v>-5860.604578698164</c:v>
                      </c:pt>
                      <c:pt idx="683">
                        <c:v>-5363.4787553390397</c:v>
                      </c:pt>
                      <c:pt idx="684">
                        <c:v>-4864.7354068619507</c:v>
                      </c:pt>
                      <c:pt idx="685">
                        <c:v>-4364.5600812349567</c:v>
                      </c:pt>
                      <c:pt idx="686">
                        <c:v>-3863.1223029700045</c:v>
                      </c:pt>
                      <c:pt idx="687">
                        <c:v>-3360.5772566823948</c:v>
                      </c:pt>
                      <c:pt idx="688">
                        <c:v>-2857.0672584137965</c:v>
                      </c:pt>
                      <c:pt idx="689">
                        <c:v>-2352.7230459689663</c:v>
                      </c:pt>
                      <c:pt idx="690">
                        <c:v>-1847.664914266893</c:v>
                      </c:pt>
                      <c:pt idx="691">
                        <c:v>-1342.0037174447295</c:v>
                      </c:pt>
                      <c:pt idx="692">
                        <c:v>-835.84175597301657</c:v>
                      </c:pt>
                      <c:pt idx="693">
                        <c:v>-329.27356418484487</c:v>
                      </c:pt>
                      <c:pt idx="694">
                        <c:v>177.61338873369158</c:v>
                      </c:pt>
                      <c:pt idx="695">
                        <c:v>684.73807319601588</c:v>
                      </c:pt>
                      <c:pt idx="696">
                        <c:v>1192.0253396391497</c:v>
                      </c:pt>
                      <c:pt idx="697">
                        <c:v>1699.4054168056239</c:v>
                      </c:pt>
                      <c:pt idx="698">
                        <c:v>2206.813460908882</c:v>
                      </c:pt>
                      <c:pt idx="699">
                        <c:v>2714.1891496677536</c:v>
                      </c:pt>
                      <c:pt idx="700">
                        <c:v>3221.4763160072571</c:v>
                      </c:pt>
                      <c:pt idx="701">
                        <c:v>3728.6226169117667</c:v>
                      </c:pt>
                      <c:pt idx="702">
                        <c:v>4235.5792335030146</c:v>
                      </c:pt>
                      <c:pt idx="703">
                        <c:v>4742.3005989163485</c:v>
                      </c:pt>
                      <c:pt idx="704">
                        <c:v>5248.7441509778855</c:v>
                      </c:pt>
                      <c:pt idx="705">
                        <c:v>5754.8701070540801</c:v>
                      </c:pt>
                      <c:pt idx="706">
                        <c:v>6260.6412587631457</c:v>
                      </c:pt>
                      <c:pt idx="707">
                        <c:v>6766.0227845125246</c:v>
                      </c:pt>
                      <c:pt idx="708">
                        <c:v>7270.9820780646733</c:v>
                      </c:pt>
                      <c:pt idx="709">
                        <c:v>7775.4885915402665</c:v>
                      </c:pt>
                      <c:pt idx="710">
                        <c:v>8279.5136914480227</c:v>
                      </c:pt>
                      <c:pt idx="711">
                        <c:v>8783.0305264875733</c:v>
                      </c:pt>
                      <c:pt idx="712">
                        <c:v>9286.0139060093734</c:v>
                      </c:pt>
                      <c:pt idx="713">
                        <c:v>9788.4401881362337</c:v>
                      </c:pt>
                      <c:pt idx="714">
                        <c:v>10290.287176657041</c:v>
                      </c:pt>
                      <c:pt idx="715">
                        <c:v>10791.534025896557</c:v>
                      </c:pt>
                      <c:pt idx="716">
                        <c:v>11292.161152847511</c:v>
                      </c:pt>
                      <c:pt idx="717">
                        <c:v>11792.150155923939</c:v>
                      </c:pt>
                      <c:pt idx="718">
                        <c:v>12291.483739759216</c:v>
                      </c:pt>
                      <c:pt idx="719">
                        <c:v>12790.145645529377</c:v>
                      </c:pt>
                      <c:pt idx="720">
                        <c:v>13288.120586333096</c:v>
                      </c:pt>
                      <c:pt idx="721">
                        <c:v>13785.394187205022</c:v>
                      </c:pt>
                      <c:pt idx="722">
                        <c:v>14281.952929379393</c:v>
                      </c:pt>
                      <c:pt idx="723">
                        <c:v>14777.784098456956</c:v>
                      </c:pt>
                      <c:pt idx="724">
                        <c:v>15272.875736160404</c:v>
                      </c:pt>
                      <c:pt idx="725">
                        <c:v>15767.216595392409</c:v>
                      </c:pt>
                      <c:pt idx="726">
                        <c:v>16260.796098336255</c:v>
                      </c:pt>
                      <c:pt idx="727">
                        <c:v>16753.604297362297</c:v>
                      </c:pt>
                      <c:pt idx="728">
                        <c:v>17245.631838524438</c:v>
                      </c:pt>
                      <c:pt idx="729">
                        <c:v>17736.869927449658</c:v>
                      </c:pt>
                      <c:pt idx="730">
                        <c:v>18227.310297440672</c:v>
                      </c:pt>
                      <c:pt idx="731">
                        <c:v>18716.945179627055</c:v>
                      </c:pt>
                      <c:pt idx="732">
                        <c:v>19205.76727501423</c:v>
                      </c:pt>
                      <c:pt idx="733">
                        <c:v>19693.769728292118</c:v>
                      </c:pt>
                      <c:pt idx="734">
                        <c:v>20180.946103276794</c:v>
                      </c:pt>
                      <c:pt idx="735">
                        <c:v>20667.290359868741</c:v>
                      </c:pt>
                      <c:pt idx="736">
                        <c:v>21152.79683242074</c:v>
                      </c:pt>
                      <c:pt idx="737">
                        <c:v>21637.460209416993</c:v>
                      </c:pt>
                      <c:pt idx="738">
                        <c:v>22121.275514372843</c:v>
                      </c:pt>
                      <c:pt idx="739">
                        <c:v>22604.238087871508</c:v>
                      </c:pt>
                      <c:pt idx="740">
                        <c:v>23086.343570660847</c:v>
                      </c:pt>
                      <c:pt idx="741">
                        <c:v>23567.587887738904</c:v>
                      </c:pt>
                      <c:pt idx="742">
                        <c:v>24047.967233362549</c:v>
                      </c:pt>
                      <c:pt idx="743">
                        <c:v>24527.478056918397</c:v>
                      </c:pt>
                      <c:pt idx="744">
                        <c:v>25006.117049599699</c:v>
                      </c:pt>
                      <c:pt idx="745">
                        <c:v>25483.881131837112</c:v>
                      </c:pt>
                      <c:pt idx="746">
                        <c:v>25960.767441435004</c:v>
                      </c:pt>
                      <c:pt idx="747">
                        <c:v>26436.773322368499</c:v>
                      </c:pt>
                      <c:pt idx="748">
                        <c:v>26911.896314199614</c:v>
                      </c:pt>
                      <c:pt idx="749">
                        <c:v>27386.134142073883</c:v>
                      </c:pt>
                      <c:pt idx="750">
                        <c:v>27859.484707261527</c:v>
                      </c:pt>
                      <c:pt idx="751">
                        <c:v>28331.94607820973</c:v>
                      </c:pt>
                      <c:pt idx="752">
                        <c:v>28803.51648207492</c:v>
                      </c:pt>
                      <c:pt idx="753">
                        <c:v>29274.194296706108</c:v>
                      </c:pt>
                      <c:pt idx="754">
                        <c:v>29743.978043052222</c:v>
                      </c:pt>
                      <c:pt idx="755">
                        <c:v>30212.866377968312</c:v>
                      </c:pt>
                      <c:pt idx="756">
                        <c:v>30680.858087397079</c:v>
                      </c:pt>
                      <c:pt idx="757">
                        <c:v>31147.952079903796</c:v>
                      </c:pt>
                      <c:pt idx="758">
                        <c:v>31614.147380544142</c:v>
                      </c:pt>
                      <c:pt idx="759">
                        <c:v>32079.443125045731</c:v>
                      </c:pt>
                      <c:pt idx="760">
                        <c:v>32543.838554285467</c:v>
                      </c:pt>
                      <c:pt idx="761">
                        <c:v>33007.333009045913</c:v>
                      </c:pt>
                      <c:pt idx="762">
                        <c:v>33469.925925034964</c:v>
                      </c:pt>
                      <c:pt idx="763">
                        <c:v>33931.616828154125</c:v>
                      </c:pt>
                      <c:pt idx="764">
                        <c:v>34392.405330001609</c:v>
                      </c:pt>
                      <c:pt idx="765">
                        <c:v>34852.291123597264</c:v>
                      </c:pt>
                      <c:pt idx="766">
                        <c:v>35311.273979317251</c:v>
                      </c:pt>
                      <c:pt idx="767">
                        <c:v>35769.353741027066</c:v>
                      </c:pt>
                      <c:pt idx="768">
                        <c:v>36226.530322402126</c:v>
                      </c:pt>
                      <c:pt idx="769">
                        <c:v>36682.80370342602</c:v>
                      </c:pt>
                      <c:pt idx="770">
                        <c:v>37138.1739270568</c:v>
                      </c:pt>
                      <c:pt idx="771">
                        <c:v>37592.641096052517</c:v>
                      </c:pt>
                      <c:pt idx="772">
                        <c:v>38046.205369947653</c:v>
                      </c:pt>
                      <c:pt idx="773">
                        <c:v>38498.866962172469</c:v>
                      </c:pt>
                      <c:pt idx="774">
                        <c:v>38950.626137307954</c:v>
                      </c:pt>
                      <c:pt idx="775">
                        <c:v>39401.483208469355</c:v>
                      </c:pt>
                      <c:pt idx="776">
                        <c:v>39851.438534811641</c:v>
                      </c:pt>
                      <c:pt idx="777">
                        <c:v>40300.492519150815</c:v>
                      </c:pt>
                      <c:pt idx="778">
                        <c:v>40748.645605695077</c:v>
                      </c:pt>
                      <c:pt idx="779">
                        <c:v>41195.898277880391</c:v>
                      </c:pt>
                      <c:pt idx="780">
                        <c:v>41642.251056305227</c:v>
                      </c:pt>
                      <c:pt idx="781">
                        <c:v>42087.704496759492</c:v>
                      </c:pt>
                      <c:pt idx="782">
                        <c:v>42532.25918834308</c:v>
                      </c:pt>
                      <c:pt idx="783">
                        <c:v>42975.915751669563</c:v>
                      </c:pt>
                      <c:pt idx="784">
                        <c:v>43418.674837150866</c:v>
                      </c:pt>
                      <c:pt idx="785">
                        <c:v>43860.537123359056</c:v>
                      </c:pt>
                      <c:pt idx="786">
                        <c:v>44301.503315461421</c:v>
                      </c:pt>
                      <c:pt idx="787">
                        <c:v>44741.574143725375</c:v>
                      </c:pt>
                      <c:pt idx="788">
                        <c:v>45180.75036208985</c:v>
                      </c:pt>
                      <c:pt idx="789">
                        <c:v>45619.032746799967</c:v>
                      </c:pt>
                      <c:pt idx="790">
                        <c:v>46056.422095102032</c:v>
                      </c:pt>
                      <c:pt idx="791">
                        <c:v>46492.919223996003</c:v>
                      </c:pt>
                      <c:pt idx="792">
                        <c:v>46928.524969042715</c:v>
                      </c:pt>
                      <c:pt idx="793">
                        <c:v>47363.240183223352</c:v>
                      </c:pt>
                      <c:pt idx="794">
                        <c:v>47797.065735848693</c:v>
                      </c:pt>
                      <c:pt idx="795">
                        <c:v>48230.002511515864</c:v>
                      </c:pt>
                      <c:pt idx="796">
                        <c:v>48662.051409110405</c:v>
                      </c:pt>
                      <c:pt idx="797">
                        <c:v>49093.213340851558</c:v>
                      </c:pt>
                      <c:pt idx="798">
                        <c:v>49523.489231378873</c:v>
                      </c:pt>
                      <c:pt idx="799">
                        <c:v>49952.880016878175</c:v>
                      </c:pt>
                      <c:pt idx="800">
                        <c:v>50381.386644245147</c:v>
                      </c:pt>
                      <c:pt idx="801">
                        <c:v>50809.010070284872</c:v>
                      </c:pt>
                      <c:pt idx="802">
                        <c:v>51235.751260945697</c:v>
                      </c:pt>
                      <c:pt idx="803">
                        <c:v>51661.611190585878</c:v>
                      </c:pt>
                      <c:pt idx="804">
                        <c:v>52086.590841271565</c:v>
                      </c:pt>
                      <c:pt idx="805">
                        <c:v>52510.691202104746</c:v>
                      </c:pt>
                      <c:pt idx="806">
                        <c:v>52933.913268579854</c:v>
                      </c:pt>
                      <c:pt idx="807">
                        <c:v>53356.258041967703</c:v>
                      </c:pt>
                      <c:pt idx="808">
                        <c:v>53777.726528725667</c:v>
                      </c:pt>
                      <c:pt idx="809">
                        <c:v>54198.319739932878</c:v>
                      </c:pt>
                      <c:pt idx="810">
                        <c:v>54618.038690749388</c:v>
                      </c:pt>
                      <c:pt idx="811">
                        <c:v>55036.884399898285</c:v>
                      </c:pt>
                      <c:pt idx="812">
                        <c:v>55454.857889169711</c:v>
                      </c:pt>
                      <c:pt idx="813">
                        <c:v>55871.960182945928</c:v>
                      </c:pt>
                      <c:pt idx="814">
                        <c:v>56288.192307746474</c:v>
                      </c:pt>
                      <c:pt idx="815">
                        <c:v>56703.555291792552</c:v>
                      </c:pt>
                      <c:pt idx="816">
                        <c:v>57118.050164589877</c:v>
                      </c:pt>
                      <c:pt idx="817">
                        <c:v>57531.67795652918</c:v>
                      </c:pt>
                      <c:pt idx="818">
                        <c:v>57944.439698503615</c:v>
                      </c:pt>
                      <c:pt idx="819">
                        <c:v>58356.336421542364</c:v>
                      </c:pt>
                      <c:pt idx="820">
                        <c:v>58767.369156459783</c:v>
                      </c:pt>
                      <c:pt idx="821">
                        <c:v>59177.53893351939</c:v>
                      </c:pt>
                      <c:pt idx="822">
                        <c:v>59586.846782112181</c:v>
                      </c:pt>
                      <c:pt idx="823">
                        <c:v>59995.293730448502</c:v>
                      </c:pt>
                      <c:pt idx="824">
                        <c:v>60402.880805263143</c:v>
                      </c:pt>
                      <c:pt idx="825">
                        <c:v>60809.609031532877</c:v>
                      </c:pt>
                      <c:pt idx="826">
                        <c:v>61215.479432206135</c:v>
                      </c:pt>
                      <c:pt idx="827">
                        <c:v>61620.493027944183</c:v>
                      </c:pt>
                      <c:pt idx="828">
                        <c:v>62024.650836873348</c:v>
                      </c:pt>
                      <c:pt idx="829">
                        <c:v>62427.953874347942</c:v>
                      </c:pt>
                      <c:pt idx="830">
                        <c:v>62830.403152723309</c:v>
                      </c:pt>
                      <c:pt idx="831">
                        <c:v>63231.999681138659</c:v>
                      </c:pt>
                      <c:pt idx="832">
                        <c:v>63632.744465309326</c:v>
                      </c:pt>
                      <c:pt idx="833">
                        <c:v>64032.63850732796</c:v>
                      </c:pt>
                      <c:pt idx="834">
                        <c:v>64431.682805474396</c:v>
                      </c:pt>
                      <c:pt idx="835">
                        <c:v>64829.878354033783</c:v>
                      </c:pt>
                      <c:pt idx="836">
                        <c:v>65227.226143122716</c:v>
                      </c:pt>
                      <c:pt idx="837">
                        <c:v>65623.727158522932</c:v>
                      </c:pt>
                      <c:pt idx="838">
                        <c:v>66019.382381522344</c:v>
                      </c:pt>
                      <c:pt idx="839">
                        <c:v>66414.192788763234</c:v>
                      </c:pt>
                      <c:pt idx="840">
                        <c:v>66808.159352096962</c:v>
                      </c:pt>
                      <c:pt idx="841">
                        <c:v>67201.283038445385</c:v>
                      </c:pt>
                      <c:pt idx="842">
                        <c:v>67593.564809668358</c:v>
                      </c:pt>
                      <c:pt idx="843">
                        <c:v>67985.005622437267</c:v>
                      </c:pt>
                      <c:pt idx="844">
                        <c:v>68375.606428114319</c:v>
                      </c:pt>
                      <c:pt idx="845">
                        <c:v>68765.368172637231</c:v>
                      </c:pt>
                      <c:pt idx="846">
                        <c:v>69154.291796409394</c:v>
                      </c:pt>
                      <c:pt idx="847">
                        <c:v>69542.378234194926</c:v>
                      </c:pt>
                      <c:pt idx="848">
                        <c:v>69929.628415018742</c:v>
                      </c:pt>
                      <c:pt idx="849">
                        <c:v>70316.043262071224</c:v>
                      </c:pt>
                      <c:pt idx="850">
                        <c:v>70701.623692617432</c:v>
                      </c:pt>
                      <c:pt idx="851">
                        <c:v>71086.370617910638</c:v>
                      </c:pt>
                      <c:pt idx="852">
                        <c:v>71470.284943109975</c:v>
                      </c:pt>
                      <c:pt idx="853">
                        <c:v>71853.367567202135</c:v>
                      </c:pt>
                      <c:pt idx="854">
                        <c:v>72235.619382926801</c:v>
                      </c:pt>
                      <c:pt idx="855">
                        <c:v>72617.041276705815</c:v>
                      </c:pt>
                      <c:pt idx="856">
                        <c:v>72997.634128575926</c:v>
                      </c:pt>
                      <c:pt idx="857">
                        <c:v>73377.398812124768</c:v>
                      </c:pt>
                      <c:pt idx="858">
                        <c:v>73756.336194430289</c:v>
                      </c:pt>
                      <c:pt idx="859">
                        <c:v>74134.447136003131</c:v>
                      </c:pt>
                      <c:pt idx="860">
                        <c:v>74511.73249073216</c:v>
                      </c:pt>
                      <c:pt idx="861">
                        <c:v>74888.193105832746</c:v>
                      </c:pt>
                      <c:pt idx="862">
                        <c:v>75263.829821797888</c:v>
                      </c:pt>
                      <c:pt idx="863">
                        <c:v>75638.643472352036</c:v>
                      </c:pt>
                      <c:pt idx="864">
                        <c:v>76012.634884407307</c:v>
                      </c:pt>
                      <c:pt idx="865">
                        <c:v>76385.804878022333</c:v>
                      </c:pt>
                      <c:pt idx="866">
                        <c:v>76758.154266363301</c:v>
                      </c:pt>
                      <c:pt idx="867">
                        <c:v>77129.683855667419</c:v>
                      </c:pt>
                      <c:pt idx="868">
                        <c:v>77500.394445208338</c:v>
                      </c:pt>
                      <c:pt idx="869">
                        <c:v>77870.286827263844</c:v>
                      </c:pt>
                      <c:pt idx="870">
                        <c:v>78239.36178708545</c:v>
                      </c:pt>
                      <c:pt idx="871">
                        <c:v>78607.620102869856</c:v>
                      </c:pt>
                      <c:pt idx="872">
                        <c:v>78975.062545732348</c:v>
                      </c:pt>
                      <c:pt idx="873">
                        <c:v>79341.689879681915</c:v>
                      </c:pt>
                      <c:pt idx="874">
                        <c:v>79707.502861598026</c:v>
                      </c:pt>
                      <c:pt idx="875">
                        <c:v>80072.502241209047</c:v>
                      </c:pt>
                      <c:pt idx="876">
                        <c:v>80436.688761072204</c:v>
                      </c:pt>
                      <c:pt idx="877">
                        <c:v>80800.063156555028</c:v>
                      </c:pt>
                      <c:pt idx="878">
                        <c:v>81162.626155818245</c:v>
                      </c:pt>
                      <c:pt idx="879">
                        <c:v>81524.378479800012</c:v>
                      </c:pt>
                      <c:pt idx="880">
                        <c:v>81885.320842201472</c:v>
                      </c:pt>
                      <c:pt idx="881">
                        <c:v>82245.453949473522</c:v>
                      </c:pt>
                      <c:pt idx="882">
                        <c:v>82604.778500804852</c:v>
                      </c:pt>
                      <c:pt idx="883">
                        <c:v>82963.295188111093</c:v>
                      </c:pt>
                      <c:pt idx="884">
                        <c:v>83321.004696024989</c:v>
                      </c:pt>
                      <c:pt idx="885">
                        <c:v>83677.907701887802</c:v>
                      </c:pt>
                      <c:pt idx="886">
                        <c:v>84034.004875741506</c:v>
                      </c:pt>
                      <c:pt idx="887">
                        <c:v>84389.296880322116</c:v>
                      </c:pt>
                      <c:pt idx="888">
                        <c:v>84743.784371053815</c:v>
                      </c:pt>
                      <c:pt idx="889">
                        <c:v>85097.467996044041</c:v>
                      </c:pt>
                      <c:pt idx="890">
                        <c:v>85450.348396079324</c:v>
                      </c:pt>
                      <c:pt idx="891">
                        <c:v>85802.426204622054</c:v>
                      </c:pt>
                      <c:pt idx="892">
                        <c:v>86153.702047807834</c:v>
                      </c:pt>
                      <c:pt idx="893">
                        <c:v>86504.176544443748</c:v>
                      </c:pt>
                      <c:pt idx="894">
                        <c:v>86853.850306007138</c:v>
                      </c:pt>
                      <c:pt idx="895">
                        <c:v>87202.723936645183</c:v>
                      </c:pt>
                      <c:pt idx="896">
                        <c:v>87550.798033175059</c:v>
                      </c:pt>
                      <c:pt idx="897">
                        <c:v>87898.07318508462</c:v>
                      </c:pt>
                      <c:pt idx="898">
                        <c:v>88244.549974533773</c:v>
                      </c:pt>
                      <c:pt idx="899">
                        <c:v>88590.228976356346</c:v>
                      </c:pt>
                      <c:pt idx="900">
                        <c:v>88935.110758062394</c:v>
                      </c:pt>
                      <c:pt idx="901">
                        <c:v>89279.195879841078</c:v>
                      </c:pt>
                      <c:pt idx="902">
                        <c:v>89622.484894563982</c:v>
                      </c:pt>
                      <c:pt idx="903">
                        <c:v>89964.978347788856</c:v>
                      </c:pt>
                      <c:pt idx="904">
                        <c:v>90306.676777763743</c:v>
                      </c:pt>
                      <c:pt idx="905">
                        <c:v>90647.580715431555</c:v>
                      </c:pt>
                      <c:pt idx="906">
                        <c:v>90987.690684434943</c:v>
                      </c:pt>
                      <c:pt idx="907">
                        <c:v>91327.007201121582</c:v>
                      </c:pt>
                      <c:pt idx="908">
                        <c:v>91665.530774549741</c:v>
                      </c:pt>
                      <c:pt idx="909">
                        <c:v>92003.261906494139</c:v>
                      </c:pt>
                      <c:pt idx="910">
                        <c:v>92340.201091452109</c:v>
                      </c:pt>
                      <c:pt idx="911">
                        <c:v>92676.348816650047</c:v>
                      </c:pt>
                      <c:pt idx="912">
                        <c:v>93011.705562050091</c:v>
                      </c:pt>
                      <c:pt idx="913">
                        <c:v>93346.271800357019</c:v>
                      </c:pt>
                      <c:pt idx="914">
                        <c:v>93680.047997025365</c:v>
                      </c:pt>
                      <c:pt idx="915">
                        <c:v>94013.034610266754</c:v>
                      </c:pt>
                      <c:pt idx="916">
                        <c:v>94345.232091057376</c:v>
                      </c:pt>
                      <c:pt idx="917">
                        <c:v>94676.640883145723</c:v>
                      </c:pt>
                      <c:pt idx="918">
                        <c:v>95007.261423060321</c:v>
                      </c:pt>
                      <c:pt idx="919">
                        <c:v>95337.09414011777</c:v>
                      </c:pt>
                      <c:pt idx="920">
                        <c:v>95666.139456430828</c:v>
                      </c:pt>
                      <c:pt idx="921">
                        <c:v>95994.397786916568</c:v>
                      </c:pt>
                      <c:pt idx="922">
                        <c:v>96321.869539304709</c:v>
                      </c:pt>
                      <c:pt idx="923">
                        <c:v>96648.555114146046</c:v>
                      </c:pt>
                      <c:pt idx="924">
                        <c:v>96974.454904820857</c:v>
                      </c:pt>
                      <c:pt idx="925">
                        <c:v>97299.569297547481</c:v>
                      </c:pt>
                      <c:pt idx="926">
                        <c:v>97623.898671390882</c:v>
                      </c:pt>
                      <c:pt idx="927">
                        <c:v>97947.443398271309</c:v>
                      </c:pt>
                      <c:pt idx="928">
                        <c:v>98270.203842972944</c:v>
                      </c:pt>
                      <c:pt idx="929">
                        <c:v>98592.180363152598</c:v>
                      </c:pt>
                      <c:pt idx="930">
                        <c:v>98913.373309348419</c:v>
                      </c:pt>
                      <c:pt idx="931">
                        <c:v>99233.783024988588</c:v>
                      </c:pt>
                      <c:pt idx="932">
                        <c:v>99553.409846400085</c:v>
                      </c:pt>
                      <c:pt idx="933">
                        <c:v>99872.254102817329</c:v>
                      </c:pt>
                      <c:pt idx="934">
                        <c:v>100190.31611639085</c:v>
                      </c:pt>
                      <c:pt idx="935">
                        <c:v>100507.59620219596</c:v>
                      </c:pt>
                      <c:pt idx="936">
                        <c:v>100824.09466824138</c:v>
                      </c:pt>
                      <c:pt idx="937">
                        <c:v>101139.81181547779</c:v>
                      </c:pt>
                      <c:pt idx="938">
                        <c:v>101454.74793780634</c:v>
                      </c:pt>
                      <c:pt idx="939">
                        <c:v>101768.90332208714</c:v>
                      </c:pt>
                      <c:pt idx="940">
                        <c:v>102082.27824814757</c:v>
                      </c:pt>
                      <c:pt idx="941">
                        <c:v>102394.87298879077</c:v>
                      </c:pt>
                      <c:pt idx="942">
                        <c:v>102706.68780980371</c:v>
                      </c:pt>
                      <c:pt idx="943">
                        <c:v>103017.72296996546</c:v>
                      </c:pt>
                      <c:pt idx="944">
                        <c:v>103327.97872105525</c:v>
                      </c:pt>
                      <c:pt idx="945">
                        <c:v>103637.45530786042</c:v>
                      </c:pt>
                      <c:pt idx="946">
                        <c:v>103946.15296818437</c:v>
                      </c:pt>
                      <c:pt idx="947">
                        <c:v>104254.0719328542</c:v>
                      </c:pt>
                      <c:pt idx="948">
                        <c:v>104561.21242572855</c:v>
                      </c:pt>
                      <c:pt idx="949">
                        <c:v>104867.574663705</c:v>
                      </c:pt>
                      <c:pt idx="950">
                        <c:v>105173.15885672758</c:v>
                      </c:pt>
                      <c:pt idx="951">
                        <c:v>105477.96520779403</c:v>
                      </c:pt>
                      <c:pt idx="952">
                        <c:v>105781.99391296301</c:v>
                      </c:pt>
                      <c:pt idx="953">
                        <c:v>106085.2451613611</c:v>
                      </c:pt>
                      <c:pt idx="954">
                        <c:v>106387.71913518976</c:v>
                      </c:pt>
                      <c:pt idx="955">
                        <c:v>106689.416009732</c:v>
                      </c:pt>
                      <c:pt idx="956">
                        <c:v>106990.33595335906</c:v>
                      </c:pt>
                      <c:pt idx="957">
                        <c:v>107290.4791275368</c:v>
                      </c:pt>
                      <c:pt idx="958">
                        <c:v>107589.84568683209</c:v>
                      </c:pt>
                      <c:pt idx="959">
                        <c:v>107888.43577891892</c:v>
                      </c:pt>
                      <c:pt idx="960">
                        <c:v>108186.24954458434</c:v>
                      </c:pt>
                      <c:pt idx="961">
                        <c:v>108483.28711773436</c:v>
                      </c:pt>
                      <c:pt idx="962">
                        <c:v>108779.54862539955</c:v>
                      </c:pt>
                      <c:pt idx="963">
                        <c:v>109075.03418774053</c:v>
                      </c:pt>
                      <c:pt idx="964">
                        <c:v>109369.74391805327</c:v>
                      </c:pt>
                      <c:pt idx="965">
                        <c:v>109663.67792277427</c:v>
                      </c:pt>
                      <c:pt idx="966">
                        <c:v>109956.83630148541</c:v>
                      </c:pt>
                      <c:pt idx="967">
                        <c:v>110249.21914691884</c:v>
                      </c:pt>
                      <c:pt idx="968">
                        <c:v>110540.82654496141</c:v>
                      </c:pt>
                      <c:pt idx="969">
                        <c:v>110831.6585746592</c:v>
                      </c:pt>
                      <c:pt idx="970">
                        <c:v>111121.71530822164</c:v>
                      </c:pt>
                      <c:pt idx="971">
                        <c:v>111410.99681102551</c:v>
                      </c:pt>
                      <c:pt idx="972">
                        <c:v>111699.50314161878</c:v>
                      </c:pt>
                      <c:pt idx="973">
                        <c:v>111987.23435172421</c:v>
                      </c:pt>
                      <c:pt idx="974">
                        <c:v>112274.19048624273</c:v>
                      </c:pt>
                      <c:pt idx="975">
                        <c:v>112560.37158325665</c:v>
                      </c:pt>
                      <c:pt idx="976">
                        <c:v>112845.77767403271</c:v>
                      </c:pt>
                      <c:pt idx="977">
                        <c:v>113130.40878302477</c:v>
                      </c:pt>
                      <c:pt idx="978">
                        <c:v>113414.26492787649</c:v>
                      </c:pt>
                      <c:pt idx="979">
                        <c:v>113697.34611942359</c:v>
                      </c:pt>
                      <c:pt idx="980">
                        <c:v>113979.65236169606</c:v>
                      </c:pt>
                      <c:pt idx="981">
                        <c:v>114261.18365192012</c:v>
                      </c:pt>
                      <c:pt idx="982">
                        <c:v>114541.93998051983</c:v>
                      </c:pt>
                      <c:pt idx="983">
                        <c:v>114821.92133111872</c:v>
                      </c:pt>
                      <c:pt idx="984">
                        <c:v>115101.12768054094</c:v>
                      </c:pt>
                      <c:pt idx="985">
                        <c:v>115379.55899881237</c:v>
                      </c:pt>
                      <c:pt idx="986">
                        <c:v>115657.2152491614</c:v>
                      </c:pt>
                      <c:pt idx="987">
                        <c:v>115934.09638801955</c:v>
                      </c:pt>
                      <c:pt idx="988">
                        <c:v>116210.20236502185</c:v>
                      </c:pt>
                      <c:pt idx="989">
                        <c:v>116485.5331230069</c:v>
                      </c:pt>
                      <c:pt idx="990">
                        <c:v>116760.08859801682</c:v>
                      </c:pt>
                      <c:pt idx="991">
                        <c:v>117033.86871929694</c:v>
                      </c:pt>
                      <c:pt idx="992">
                        <c:v>117306.87340929511</c:v>
                      </c:pt>
                      <c:pt idx="993">
                        <c:v>117579.10258366098</c:v>
                      </c:pt>
                      <c:pt idx="994">
                        <c:v>117850.55615124495</c:v>
                      </c:pt>
                      <c:pt idx="995">
                        <c:v>118121.23401409683</c:v>
                      </c:pt>
                      <c:pt idx="996">
                        <c:v>118391.13606746432</c:v>
                      </c:pt>
                      <c:pt idx="997">
                        <c:v>118660.26219979122</c:v>
                      </c:pt>
                      <c:pt idx="998">
                        <c:v>118928.61229271538</c:v>
                      </c:pt>
                      <c:pt idx="999">
                        <c:v>119196.18622106648</c:v>
                      </c:pt>
                      <c:pt idx="1000">
                        <c:v>119462.98385286344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'Conditions initiale'!$Z$4:$Z$1004</c15:sqref>
                        </c15:formulaRef>
                      </c:ext>
                    </c:extLst>
                    <c:numCache>
                      <c:formatCode>General</c:formatCode>
                      <c:ptCount val="1001"/>
                      <c:pt idx="0">
                        <c:v>0</c:v>
                      </c:pt>
                      <c:pt idx="1">
                        <c:v>-95.064598248307064</c:v>
                      </c:pt>
                      <c:pt idx="2">
                        <c:v>-380.61019739794943</c:v>
                      </c:pt>
                      <c:pt idx="3">
                        <c:v>-858.08206187528879</c:v>
                      </c:pt>
                      <c:pt idx="4">
                        <c:v>-1530.5260078326946</c:v>
                      </c:pt>
                      <c:pt idx="5">
                        <c:v>-2402.8919039074885</c:v>
                      </c:pt>
                      <c:pt idx="6">
                        <c:v>-3482.4241933422177</c:v>
                      </c:pt>
                      <c:pt idx="7">
                        <c:v>-4778.9530228093909</c:v>
                      </c:pt>
                      <c:pt idx="8">
                        <c:v>-6304.6130457349136</c:v>
                      </c:pt>
                      <c:pt idx="9">
                        <c:v>-8071.8575201374579</c:v>
                      </c:pt>
                      <c:pt idx="10">
                        <c:v>-10087.228798265898</c:v>
                      </c:pt>
                      <c:pt idx="11">
                        <c:v>-12335.933792409638</c:v>
                      </c:pt>
                      <c:pt idx="12">
                        <c:v>-14751.379595688099</c:v>
                      </c:pt>
                      <c:pt idx="13">
                        <c:v>-17178.304721569533</c:v>
                      </c:pt>
                      <c:pt idx="14">
                        <c:v>-19381.008160849116</c:v>
                      </c:pt>
                      <c:pt idx="15">
                        <c:v>-21137.533585479981</c:v>
                      </c:pt>
                      <c:pt idx="16">
                        <c:v>-22332.4257750904</c:v>
                      </c:pt>
                      <c:pt idx="17">
                        <c:v>-22951.587584638793</c:v>
                      </c:pt>
                      <c:pt idx="18">
                        <c:v>-23026.559508993098</c:v>
                      </c:pt>
                      <c:pt idx="19">
                        <c:v>-22597.394794901582</c:v>
                      </c:pt>
                      <c:pt idx="20">
                        <c:v>-21700.09864682001</c:v>
                      </c:pt>
                      <c:pt idx="21">
                        <c:v>-20366.305536938551</c:v>
                      </c:pt>
                      <c:pt idx="22">
                        <c:v>-18629.320466774254</c:v>
                      </c:pt>
                      <c:pt idx="23">
                        <c:v>-16536.860131991823</c:v>
                      </c:pt>
                      <c:pt idx="24">
                        <c:v>-14173.332774985527</c:v>
                      </c:pt>
                      <c:pt idx="25">
                        <c:v>-11686.793527809148</c:v>
                      </c:pt>
                      <c:pt idx="26">
                        <c:v>-9285.7153541049265</c:v>
                      </c:pt>
                      <c:pt idx="27">
                        <c:v>-7163.1148305357328</c:v>
                      </c:pt>
                      <c:pt idx="28">
                        <c:v>-5405.276643825574</c:v>
                      </c:pt>
                      <c:pt idx="29">
                        <c:v>-3988.1713399098535</c:v>
                      </c:pt>
                      <c:pt idx="30">
                        <c:v>-2836.422957448488</c:v>
                      </c:pt>
                      <c:pt idx="31">
                        <c:v>-1865.7641451009449</c:v>
                      </c:pt>
                      <c:pt idx="32">
                        <c:v>-995.84077041903572</c:v>
                      </c:pt>
                      <c:pt idx="33">
                        <c:v>-149.45993862990741</c:v>
                      </c:pt>
                      <c:pt idx="34">
                        <c:v>752.01156069470392</c:v>
                      </c:pt>
                      <c:pt idx="35">
                        <c:v>1793.222248023244</c:v>
                      </c:pt>
                      <c:pt idx="36">
                        <c:v>3064.3548369665714</c:v>
                      </c:pt>
                      <c:pt idx="37">
                        <c:v>4640.3231022983082</c:v>
                      </c:pt>
                      <c:pt idx="38">
                        <c:v>6517.110869631384</c:v>
                      </c:pt>
                      <c:pt idx="39">
                        <c:v>8555.3303777479105</c:v>
                      </c:pt>
                      <c:pt idx="40">
                        <c:v>10552.989439230751</c:v>
                      </c:pt>
                      <c:pt idx="41">
                        <c:v>12370.753548935412</c:v>
                      </c:pt>
                      <c:pt idx="42">
                        <c:v>13951.290731552541</c:v>
                      </c:pt>
                      <c:pt idx="43">
                        <c:v>15277.624296741053</c:v>
                      </c:pt>
                      <c:pt idx="44">
                        <c:v>16345.25275982528</c:v>
                      </c:pt>
                      <c:pt idx="45">
                        <c:v>17150.88766705693</c:v>
                      </c:pt>
                      <c:pt idx="46">
                        <c:v>17688.14489196573</c:v>
                      </c:pt>
                      <c:pt idx="47">
                        <c:v>17945.461661525394</c:v>
                      </c:pt>
                      <c:pt idx="48">
                        <c:v>17904.443116994149</c:v>
                      </c:pt>
                      <c:pt idx="49">
                        <c:v>17537.921990304272</c:v>
                      </c:pt>
                      <c:pt idx="50">
                        <c:v>16807.512750085363</c:v>
                      </c:pt>
                      <c:pt idx="51">
                        <c:v>15661.293878573861</c:v>
                      </c:pt>
                      <c:pt idx="52">
                        <c:v>14035.274457262505</c:v>
                      </c:pt>
                      <c:pt idx="53">
                        <c:v>11871.726623805887</c:v>
                      </c:pt>
                      <c:pt idx="54">
                        <c:v>9180.1518731434244</c:v>
                      </c:pt>
                      <c:pt idx="55">
                        <c:v>6115.9544614119377</c:v>
                      </c:pt>
                      <c:pt idx="56">
                        <c:v>2928.9194495982706</c:v>
                      </c:pt>
                      <c:pt idx="57">
                        <c:v>-203.40622836475819</c:v>
                      </c:pt>
                      <c:pt idx="58">
                        <c:v>-3233.8735887972898</c:v>
                      </c:pt>
                      <c:pt idx="59">
                        <c:v>-6187.576713603743</c:v>
                      </c:pt>
                      <c:pt idx="60">
                        <c:v>-9109.8575666724646</c:v>
                      </c:pt>
                      <c:pt idx="61">
                        <c:v>-12037.950819069474</c:v>
                      </c:pt>
                      <c:pt idx="62">
                        <c:v>-14973.64761488088</c:v>
                      </c:pt>
                      <c:pt idx="63">
                        <c:v>-17841.986679037003</c:v>
                      </c:pt>
                      <c:pt idx="64">
                        <c:v>-20461.303674818082</c:v>
                      </c:pt>
                      <c:pt idx="65">
                        <c:v>-22614.23788568702</c:v>
                      </c:pt>
                      <c:pt idx="66">
                        <c:v>-24193.519811073293</c:v>
                      </c:pt>
                      <c:pt idx="67">
                        <c:v>-25233.655823418056</c:v>
                      </c:pt>
                      <c:pt idx="68">
                        <c:v>-25825.203634257068</c:v>
                      </c:pt>
                      <c:pt idx="69">
                        <c:v>-26053.234388595109</c:v>
                      </c:pt>
                      <c:pt idx="70">
                        <c:v>-25983.187953881639</c:v>
                      </c:pt>
                      <c:pt idx="71">
                        <c:v>-25663.36078951809</c:v>
                      </c:pt>
                      <c:pt idx="72">
                        <c:v>-25129.631419452551</c:v>
                      </c:pt>
                      <c:pt idx="73">
                        <c:v>-24409.228859563933</c:v>
                      </c:pt>
                      <c:pt idx="74">
                        <c:v>-23523.352137807797</c:v>
                      </c:pt>
                      <c:pt idx="75">
                        <c:v>-22488.951393801799</c:v>
                      </c:pt>
                      <c:pt idx="76">
                        <c:v>-21319.958242700104</c:v>
                      </c:pt>
                      <c:pt idx="77">
                        <c:v>-20028.165312849429</c:v>
                      </c:pt>
                      <c:pt idx="78">
                        <c:v>-18623.885856717981</c:v>
                      </c:pt>
                      <c:pt idx="79">
                        <c:v>-17116.479184939035</c:v>
                      </c:pt>
                      <c:pt idx="80">
                        <c:v>-15514.798796082037</c:v>
                      </c:pt>
                      <c:pt idx="81">
                        <c:v>-13827.599542398479</c:v>
                      </c:pt>
                      <c:pt idx="82">
                        <c:v>-12063.920408815686</c:v>
                      </c:pt>
                      <c:pt idx="83">
                        <c:v>-10233.431953868547</c:v>
                      </c:pt>
                      <c:pt idx="84">
                        <c:v>-8346.6940818099647</c:v>
                      </c:pt>
                      <c:pt idx="85">
                        <c:v>-6415.2201001058247</c:v>
                      </c:pt>
                      <c:pt idx="86">
                        <c:v>-4451.2873606249577</c:v>
                      </c:pt>
                      <c:pt idx="87">
                        <c:v>-2467.9440497759401</c:v>
                      </c:pt>
                      <c:pt idx="88">
                        <c:v>-481.17231754291208</c:v>
                      </c:pt>
                      <c:pt idx="89">
                        <c:v>1483.2081229243392</c:v>
                      </c:pt>
                      <c:pt idx="90">
                        <c:v>3382.992426666046</c:v>
                      </c:pt>
                      <c:pt idx="91">
                        <c:v>5167.6443952447071</c:v>
                      </c:pt>
                      <c:pt idx="92">
                        <c:v>6798.0595336042225</c:v>
                      </c:pt>
                      <c:pt idx="93">
                        <c:v>8255.8633784172089</c:v>
                      </c:pt>
                      <c:pt idx="94">
                        <c:v>9536.3502339157421</c:v>
                      </c:pt>
                      <c:pt idx="95">
                        <c:v>10635.835458909156</c:v>
                      </c:pt>
                      <c:pt idx="96">
                        <c:v>11538.955607885611</c:v>
                      </c:pt>
                      <c:pt idx="97">
                        <c:v>12204.286018096145</c:v>
                      </c:pt>
                      <c:pt idx="98">
                        <c:v>12548.57757066705</c:v>
                      </c:pt>
                      <c:pt idx="99">
                        <c:v>12453.293705291053</c:v>
                      </c:pt>
                      <c:pt idx="100">
                        <c:v>11847.765648575838</c:v>
                      </c:pt>
                      <c:pt idx="101">
                        <c:v>10803.937300069356</c:v>
                      </c:pt>
                      <c:pt idx="102">
                        <c:v>9482.5547395786634</c:v>
                      </c:pt>
                      <c:pt idx="103">
                        <c:v>8017.0772215879506</c:v>
                      </c:pt>
                      <c:pt idx="104">
                        <c:v>6485.8648801435893</c:v>
                      </c:pt>
                      <c:pt idx="105">
                        <c:v>4931.6882811092846</c:v>
                      </c:pt>
                      <c:pt idx="106">
                        <c:v>3378.6501475908226</c:v>
                      </c:pt>
                      <c:pt idx="107">
                        <c:v>1841.191182408071</c:v>
                      </c:pt>
                      <c:pt idx="108">
                        <c:v>328.56661446246915</c:v>
                      </c:pt>
                      <c:pt idx="109">
                        <c:v>-1152.8722885641876</c:v>
                      </c:pt>
                      <c:pt idx="110">
                        <c:v>-2598.4582754780549</c:v>
                      </c:pt>
                      <c:pt idx="111">
                        <c:v>-4004.5211441125762</c:v>
                      </c:pt>
                      <c:pt idx="112">
                        <c:v>-5367.9806791397623</c:v>
                      </c:pt>
                      <c:pt idx="113">
                        <c:v>-6686.0929623099219</c:v>
                      </c:pt>
                      <c:pt idx="114">
                        <c:v>-7956.2837947796943</c:v>
                      </c:pt>
                      <c:pt idx="115">
                        <c:v>-9176.0329303308972</c:v>
                      </c:pt>
                      <c:pt idx="116">
                        <c:v>-10342.788340019661</c:v>
                      </c:pt>
                      <c:pt idx="117">
                        <c:v>-11453.898076526117</c:v>
                      </c:pt>
                      <c:pt idx="118">
                        <c:v>-12506.55194021177</c:v>
                      </c:pt>
                      <c:pt idx="119">
                        <c:v>-13497.727784781178</c:v>
                      </c:pt>
                      <c:pt idx="120">
                        <c:v>-14424.138824167341</c:v>
                      </c:pt>
                      <c:pt idx="121">
                        <c:v>-15282.179190789995</c:v>
                      </c:pt>
                      <c:pt idx="122">
                        <c:v>-16067.865520869744</c:v>
                      </c:pt>
                      <c:pt idx="123">
                        <c:v>-16776.772677570603</c:v>
                      </c:pt>
                      <c:pt idx="124">
                        <c:v>-17403.962001277519</c:v>
                      </c:pt>
                      <c:pt idx="125">
                        <c:v>-17943.900838059963</c:v>
                      </c:pt>
                      <c:pt idx="126">
                        <c:v>-18390.372733379631</c:v>
                      </c:pt>
                      <c:pt idx="127">
                        <c:v>-18736.378892231536</c:v>
                      </c:pt>
                      <c:pt idx="128">
                        <c:v>-18974.033812004098</c:v>
                      </c:pt>
                      <c:pt idx="129">
                        <c:v>-19094.462269071042</c:v>
                      </c:pt>
                      <c:pt idx="130">
                        <c:v>-19087.712582788532</c:v>
                      </c:pt>
                      <c:pt idx="131">
                        <c:v>-18942.714804661675</c:v>
                      </c:pt>
                      <c:pt idx="132">
                        <c:v>-18647.336294856854</c:v>
                      </c:pt>
                      <c:pt idx="133">
                        <c:v>-18188.627561812576</c:v>
                      </c:pt>
                      <c:pt idx="134">
                        <c:v>-17553.418402052168</c:v>
                      </c:pt>
                      <c:pt idx="135">
                        <c:v>-16729.535329882034</c:v>
                      </c:pt>
                      <c:pt idx="136">
                        <c:v>-15708.10361052623</c:v>
                      </c:pt>
                      <c:pt idx="137">
                        <c:v>-14487.785823812728</c:v>
                      </c:pt>
                      <c:pt idx="138">
                        <c:v>-13082.765452977554</c:v>
                      </c:pt>
                      <c:pt idx="139">
                        <c:v>-11538.586873204866</c:v>
                      </c:pt>
                      <c:pt idx="140">
                        <c:v>-9961.283327292982</c:v>
                      </c:pt>
                      <c:pt idx="141">
                        <c:v>-8535.9358821291116</c:v>
                      </c:pt>
                      <c:pt idx="142">
                        <c:v>-7431.3231169227756</c:v>
                      </c:pt>
                      <c:pt idx="143">
                        <c:v>-6648.5105592290492</c:v>
                      </c:pt>
                      <c:pt idx="144">
                        <c:v>-6055.2013786956604</c:v>
                      </c:pt>
                      <c:pt idx="145">
                        <c:v>-5522.6868888774497</c:v>
                      </c:pt>
                      <c:pt idx="146">
                        <c:v>-4973.5648439949573</c:v>
                      </c:pt>
                      <c:pt idx="147">
                        <c:v>-4374.8380365863386</c:v>
                      </c:pt>
                      <c:pt idx="148">
                        <c:v>-3721.1325508030345</c:v>
                      </c:pt>
                      <c:pt idx="149">
                        <c:v>-3019.8520523212565</c:v>
                      </c:pt>
                      <c:pt idx="150">
                        <c:v>-2282.034045030985</c:v>
                      </c:pt>
                      <c:pt idx="151">
                        <c:v>-1518.2399421430607</c:v>
                      </c:pt>
                      <c:pt idx="152">
                        <c:v>-737.27842005781929</c:v>
                      </c:pt>
                      <c:pt idx="153">
                        <c:v>53.881036693447868</c:v>
                      </c:pt>
                      <c:pt idx="154">
                        <c:v>849.81942886798959</c:v>
                      </c:pt>
                      <c:pt idx="155">
                        <c:v>1646.3248328116763</c:v>
                      </c:pt>
                      <c:pt idx="156">
                        <c:v>2440.0952127692885</c:v>
                      </c:pt>
                      <c:pt idx="157">
                        <c:v>3228.5061810661691</c:v>
                      </c:pt>
                      <c:pt idx="158">
                        <c:v>4009.4365409540646</c:v>
                      </c:pt>
                      <c:pt idx="159">
                        <c:v>4781.1389877705396</c:v>
                      </c:pt>
                      <c:pt idx="160">
                        <c:v>5542.1443421241638</c:v>
                      </c:pt>
                      <c:pt idx="161">
                        <c:v>6291.1901634826836</c:v>
                      </c:pt>
                      <c:pt idx="162">
                        <c:v>7027.1669593521019</c:v>
                      </c:pt>
                      <c:pt idx="163">
                        <c:v>7749.0770794095397</c:v>
                      </c:pt>
                      <c:pt idx="164">
                        <c:v>8456.002765561374</c:v>
                      </c:pt>
                      <c:pt idx="165">
                        <c:v>9147.080815848698</c:v>
                      </c:pt>
                      <c:pt idx="166">
                        <c:v>9821.4820151700696</c:v>
                      </c:pt>
                      <c:pt idx="167">
                        <c:v>10478.393971940719</c:v>
                      </c:pt>
                      <c:pt idx="168">
                        <c:v>11117.006338086043</c:v>
                      </c:pt>
                      <c:pt idx="169">
                        <c:v>11736.497623102325</c:v>
                      </c:pt>
                      <c:pt idx="170">
                        <c:v>12336.022970716953</c:v>
                      </c:pt>
                      <c:pt idx="171">
                        <c:v>12914.702368602635</c:v>
                      </c:pt>
                      <c:pt idx="172">
                        <c:v>13471.60882027528</c:v>
                      </c:pt>
                      <c:pt idx="173">
                        <c:v>14005.756031137716</c:v>
                      </c:pt>
                      <c:pt idx="174">
                        <c:v>14516.085150858822</c:v>
                      </c:pt>
                      <c:pt idx="175">
                        <c:v>15001.4500714109</c:v>
                      </c:pt>
                      <c:pt idx="176">
                        <c:v>15460.600699766912</c:v>
                      </c:pt>
                      <c:pt idx="177">
                        <c:v>15892.163497452122</c:v>
                      </c:pt>
                      <c:pt idx="178">
                        <c:v>16294.618390469985</c:v>
                      </c:pt>
                      <c:pt idx="179">
                        <c:v>16666.270877833416</c:v>
                      </c:pt>
                      <c:pt idx="180">
                        <c:v>17005.217765710913</c:v>
                      </c:pt>
                      <c:pt idx="181">
                        <c:v>17309.304364154646</c:v>
                      </c:pt>
                      <c:pt idx="182">
                        <c:v>17576.070102277772</c:v>
                      </c:pt>
                      <c:pt idx="183">
                        <c:v>17802.678175679692</c:v>
                      </c:pt>
                      <c:pt idx="184">
                        <c:v>17985.822747035596</c:v>
                      </c:pt>
                      <c:pt idx="185">
                        <c:v>18121.603867871978</c:v>
                      </c:pt>
                      <c:pt idx="186">
                        <c:v>18205.354752577783</c:v>
                      </c:pt>
                      <c:pt idx="187">
                        <c:v>18231.39657758905</c:v>
                      </c:pt>
                      <c:pt idx="188">
                        <c:v>18192.67920955196</c:v>
                      </c:pt>
                      <c:pt idx="189">
                        <c:v>18080.235313880003</c:v>
                      </c:pt>
                      <c:pt idx="190">
                        <c:v>17882.31573606508</c:v>
                      </c:pt>
                      <c:pt idx="191">
                        <c:v>17582.95500246622</c:v>
                      </c:pt>
                      <c:pt idx="192">
                        <c:v>17159.473195456911</c:v>
                      </c:pt>
                      <c:pt idx="193">
                        <c:v>16577.951921846932</c:v>
                      </c:pt>
                      <c:pt idx="194">
                        <c:v>15785.152089589326</c:v>
                      </c:pt>
                      <c:pt idx="195">
                        <c:v>14697.666904232226</c:v>
                      </c:pt>
                      <c:pt idx="196">
                        <c:v>13213.427474679918</c:v>
                      </c:pt>
                      <c:pt idx="197">
                        <c:v>11311.634631926194</c:v>
                      </c:pt>
                      <c:pt idx="198">
                        <c:v>9109.2189747441862</c:v>
                      </c:pt>
                      <c:pt idx="199">
                        <c:v>6724.0356366762917</c:v>
                      </c:pt>
                      <c:pt idx="200">
                        <c:v>4183.1020181491995</c:v>
                      </c:pt>
                      <c:pt idx="201">
                        <c:v>1471.1519262481579</c:v>
                      </c:pt>
                      <c:pt idx="202">
                        <c:v>-1422.0427005525685</c:v>
                      </c:pt>
                      <c:pt idx="203">
                        <c:v>-4469.0212837756062</c:v>
                      </c:pt>
                      <c:pt idx="204">
                        <c:v>-7586.8205361057226</c:v>
                      </c:pt>
                      <c:pt idx="205">
                        <c:v>-10658.290339719502</c:v>
                      </c:pt>
                      <c:pt idx="206">
                        <c:v>-13584.183685310922</c:v>
                      </c:pt>
                      <c:pt idx="207">
                        <c:v>-16314.499180828261</c:v>
                      </c:pt>
                      <c:pt idx="208">
                        <c:v>-18840.536556469666</c:v>
                      </c:pt>
                      <c:pt idx="209">
                        <c:v>-21174.25275798604</c:v>
                      </c:pt>
                      <c:pt idx="210">
                        <c:v>-23334.20716098322</c:v>
                      </c:pt>
                      <c:pt idx="211">
                        <c:v>-25339.209403189077</c:v>
                      </c:pt>
                      <c:pt idx="212">
                        <c:v>-27206.124966968644</c:v>
                      </c:pt>
                      <c:pt idx="213">
                        <c:v>-28949.412857395619</c:v>
                      </c:pt>
                      <c:pt idx="214">
                        <c:v>-30581.27770646763</c:v>
                      </c:pt>
                      <c:pt idx="215">
                        <c:v>-32111.991658345327</c:v>
                      </c:pt>
                      <c:pt idx="216">
                        <c:v>-33550.22522185331</c:v>
                      </c:pt>
                      <c:pt idx="217">
                        <c:v>-34903.336889082326</c:v>
                      </c:pt>
                      <c:pt idx="218">
                        <c:v>-36177.612068796887</c:v>
                      </c:pt>
                      <c:pt idx="219">
                        <c:v>-37378.455562949421</c:v>
                      </c:pt>
                      <c:pt idx="220">
                        <c:v>-38510.545341539713</c:v>
                      </c:pt>
                      <c:pt idx="221">
                        <c:v>-39577.955315365747</c:v>
                      </c:pt>
                      <c:pt idx="222">
                        <c:v>-40584.253674054336</c:v>
                      </c:pt>
                      <c:pt idx="223">
                        <c:v>-41532.582066026807</c:v>
                      </c:pt>
                      <c:pt idx="224">
                        <c:v>-42425.719750167933</c:v>
                      </c:pt>
                      <c:pt idx="225">
                        <c:v>-43266.135916248772</c:v>
                      </c:pt>
                      <c:pt idx="226">
                        <c:v>-44056.032641552061</c:v>
                      </c:pt>
                      <c:pt idx="227">
                        <c:v>-44797.380390437553</c:v>
                      </c:pt>
                      <c:pt idx="228">
                        <c:v>-45491.947535714506</c:v>
                      </c:pt>
                      <c:pt idx="229">
                        <c:v>-46141.325054617213</c:v>
                      </c:pt>
                      <c:pt idx="230">
                        <c:v>-46746.947303190485</c:v>
                      </c:pt>
                      <c:pt idx="231">
                        <c:v>-47310.109582012214</c:v>
                      </c:pt>
                      <c:pt idx="232">
                        <c:v>-47831.983059100065</c:v>
                      </c:pt>
                      <c:pt idx="233">
                        <c:v>-48313.627501864205</c:v>
                      </c:pt>
                      <c:pt idx="234">
                        <c:v>-48756.002181086245</c:v>
                      </c:pt>
                      <c:pt idx="235">
                        <c:v>-49159.97524015831</c:v>
                      </c:pt>
                      <c:pt idx="236">
                        <c:v>-49526.33176773219</c:v>
                      </c:pt>
                      <c:pt idx="237">
                        <c:v>-49855.780768143231</c:v>
                      </c:pt>
                      <c:pt idx="238">
                        <c:v>-50148.961188941998</c:v>
                      </c:pt>
                      <c:pt idx="239">
                        <c:v>-50406.447136655268</c:v>
                      </c:pt>
                      <c:pt idx="240">
                        <c:v>-50628.752389026326</c:v>
                      </c:pt>
                      <c:pt idx="241">
                        <c:v>-50816.334293314714</c:v>
                      </c:pt>
                      <c:pt idx="242">
                        <c:v>-50969.597124884989</c:v>
                      </c:pt>
                      <c:pt idx="243">
                        <c:v>-51088.894967595341</c:v>
                      </c:pt>
                      <c:pt idx="244">
                        <c:v>-51174.5341668685</c:v>
                      </c:pt>
                      <c:pt idx="245">
                        <c:v>-51226.775397362326</c:v>
                      </c:pt>
                      <c:pt idx="246">
                        <c:v>-51245.83537951202</c:v>
                      </c:pt>
                      <c:pt idx="247">
                        <c:v>-51231.888272614407</c:v>
                      </c:pt>
                      <c:pt idx="248">
                        <c:v>-51185.066766339973</c:v>
                      </c:pt>
                      <c:pt idx="249">
                        <c:v>-51105.4628874017</c:v>
                      </c:pt>
                      <c:pt idx="250">
                        <c:v>-50993.128533420902</c:v>
                      </c:pt>
                      <c:pt idx="251">
                        <c:v>-50848.075741669258</c:v>
                      </c:pt>
                      <c:pt idx="252">
                        <c:v>-50670.276696207242</c:v>
                      </c:pt>
                      <c:pt idx="253">
                        <c:v>-50459.66347286458</c:v>
                      </c:pt>
                      <c:pt idx="254">
                        <c:v>-50216.127517403795</c:v>
                      </c:pt>
                      <c:pt idx="255">
                        <c:v>-49939.518847956933</c:v>
                      </c:pt>
                      <c:pt idx="256">
                        <c:v>-49629.644968305067</c:v>
                      </c:pt>
                      <c:pt idx="257">
                        <c:v>-49286.269473643537</c:v>
                      </c:pt>
                      <c:pt idx="258">
                        <c:v>-48909.110324988367</c:v>
                      </c:pt>
                      <c:pt idx="259">
                        <c:v>-48497.837762147938</c:v>
                      </c:pt>
                      <c:pt idx="260">
                        <c:v>-48052.071817989374</c:v>
                      </c:pt>
                      <c:pt idx="261">
                        <c:v>-47571.37938830303</c:v>
                      </c:pt>
                      <c:pt idx="262">
                        <c:v>-47055.270801576538</c:v>
                      </c:pt>
                      <c:pt idx="263">
                        <c:v>-46503.19582101125</c:v>
                      </c:pt>
                      <c:pt idx="264">
                        <c:v>-45914.538996613919</c:v>
                      </c:pt>
                      <c:pt idx="265">
                        <c:v>-45288.614267485602</c:v>
                      </c:pt>
                      <c:pt idx="266">
                        <c:v>-44624.658692615762</c:v>
                      </c:pt>
                      <c:pt idx="267">
                        <c:v>-43921.825161403387</c:v>
                      </c:pt>
                      <c:pt idx="268">
                        <c:v>-43179.173901225229</c:v>
                      </c:pt>
                      <c:pt idx="269">
                        <c:v>-42395.66255659968</c:v>
                      </c:pt>
                      <c:pt idx="270">
                        <c:v>-41570.134560091436</c:v>
                      </c:pt>
                      <c:pt idx="271">
                        <c:v>-40701.305445322316</c:v>
                      </c:pt>
                      <c:pt idx="272">
                        <c:v>-39787.746662169222</c:v>
                      </c:pt>
                      <c:pt idx="273">
                        <c:v>-38827.866336348212</c:v>
                      </c:pt>
                      <c:pt idx="274">
                        <c:v>-37819.886260191801</c:v>
                      </c:pt>
                      <c:pt idx="275">
                        <c:v>-36761.814194520739</c:v>
                      </c:pt>
                      <c:pt idx="276">
                        <c:v>-35651.410283085337</c:v>
                      </c:pt>
                      <c:pt idx="277">
                        <c:v>-34486.146002198046</c:v>
                      </c:pt>
                      <c:pt idx="278">
                        <c:v>-33263.153546649301</c:v>
                      </c:pt>
                      <c:pt idx="279">
                        <c:v>-31979.162826360604</c:v>
                      </c:pt>
                      <c:pt idx="280">
                        <c:v>-30630.422223292742</c:v>
                      </c:pt>
                      <c:pt idx="281">
                        <c:v>-29212.59779470136</c:v>
                      </c:pt>
                      <c:pt idx="282">
                        <c:v>-27720.643495303619</c:v>
                      </c:pt>
                      <c:pt idx="283">
                        <c:v>-26148.631909656586</c:v>
                      </c:pt>
                      <c:pt idx="284">
                        <c:v>-24489.530471938106</c:v>
                      </c:pt>
                      <c:pt idx="285">
                        <c:v>-22734.901569200498</c:v>
                      </c:pt>
                      <c:pt idx="286">
                        <c:v>-20874.495585246816</c:v>
                      </c:pt>
                      <c:pt idx="287">
                        <c:v>-18895.693769343208</c:v>
                      </c:pt>
                      <c:pt idx="288">
                        <c:v>-16782.746095758939</c:v>
                      </c:pt>
                      <c:pt idx="289">
                        <c:v>-14515.754891103627</c:v>
                      </c:pt>
                      <c:pt idx="290">
                        <c:v>-12069.44493039766</c:v>
                      </c:pt>
                      <c:pt idx="291">
                        <c:v>-9412.1758119087717</c:v>
                      </c:pt>
                      <c:pt idx="292">
                        <c:v>-6507.1581126164965</c:v>
                      </c:pt>
                      <c:pt idx="293">
                        <c:v>-3322.0735546177784</c:v>
                      </c:pt>
                      <c:pt idx="294">
                        <c:v>141.41580077241429</c:v>
                      </c:pt>
                      <c:pt idx="295">
                        <c:v>3804.836855364807</c:v>
                      </c:pt>
                      <c:pt idx="296">
                        <c:v>7518.1603127453172</c:v>
                      </c:pt>
                      <c:pt idx="297">
                        <c:v>11137.270225542918</c:v>
                      </c:pt>
                      <c:pt idx="298">
                        <c:v>14580.933656673391</c:v>
                      </c:pt>
                      <c:pt idx="299">
                        <c:v>17818.848765080282</c:v>
                      </c:pt>
                      <c:pt idx="300">
                        <c:v>20841.631153812486</c:v>
                      </c:pt>
                      <c:pt idx="301">
                        <c:v>23645.983550319863</c:v>
                      </c:pt>
                      <c:pt idx="302">
                        <c:v>26232.733850113709</c:v>
                      </c:pt>
                      <c:pt idx="303">
                        <c:v>28608.463614548378</c:v>
                      </c:pt>
                      <c:pt idx="304">
                        <c:v>30785.454132656068</c:v>
                      </c:pt>
                      <c:pt idx="305">
                        <c:v>32779.618275681045</c:v>
                      </c:pt>
                      <c:pt idx="306">
                        <c:v>34608.049221783578</c:v>
                      </c:pt>
                      <c:pt idx="307">
                        <c:v>36287.267647860019</c:v>
                      </c:pt>
                      <c:pt idx="308">
                        <c:v>37832.32017659914</c:v>
                      </c:pt>
                      <c:pt idx="309">
                        <c:v>39256.477385400598</c:v>
                      </c:pt>
                      <c:pt idx="310">
                        <c:v>40571.257469778655</c:v>
                      </c:pt>
                      <c:pt idx="311">
                        <c:v>41786.592613992412</c:v>
                      </c:pt>
                      <c:pt idx="312">
                        <c:v>42911.03879600369</c:v>
                      </c:pt>
                      <c:pt idx="313">
                        <c:v>43951.982331901243</c:v>
                      </c:pt>
                      <c:pt idx="314">
                        <c:v>44915.824574852326</c:v>
                      </c:pt>
                      <c:pt idx="315">
                        <c:v>45808.139751556191</c:v>
                      </c:pt>
                      <c:pt idx="316">
                        <c:v>46633.806844651735</c:v>
                      </c:pt>
                      <c:pt idx="317">
                        <c:v>47397.118628227327</c:v>
                      </c:pt>
                      <c:pt idx="318">
                        <c:v>48101.871461264273</c:v>
                      </c:pt>
                      <c:pt idx="319">
                        <c:v>48751.439232271994</c:v>
                      </c:pt>
                      <c:pt idx="320">
                        <c:v>49348.83439138814</c:v>
                      </c:pt>
                      <c:pt idx="321">
                        <c:v>49896.75850890002</c:v>
                      </c:pt>
                      <c:pt idx="322">
                        <c:v>50397.644343739725</c:v>
                      </c:pt>
                      <c:pt idx="323">
                        <c:v>50853.691018064732</c:v>
                      </c:pt>
                      <c:pt idx="324">
                        <c:v>51266.893576350012</c:v>
                      </c:pt>
                      <c:pt idx="325">
                        <c:v>51639.067951954363</c:v>
                      </c:pt>
                      <c:pt idx="326">
                        <c:v>51971.872160754407</c:v>
                      </c:pt>
                      <c:pt idx="327">
                        <c:v>52266.824380278893</c:v>
                      </c:pt>
                      <c:pt idx="328">
                        <c:v>52525.31844521228</c:v>
                      </c:pt>
                      <c:pt idx="329">
                        <c:v>52748.637189067187</c:v>
                      </c:pt>
                      <c:pt idx="330">
                        <c:v>52937.963981557084</c:v>
                      </c:pt>
                      <c:pt idx="331">
                        <c:v>53094.392747243641</c:v>
                      </c:pt>
                      <c:pt idx="332">
                        <c:v>53218.936699876824</c:v>
                      </c:pt>
                      <c:pt idx="333">
                        <c:v>53312.535985755836</c:v>
                      </c:pt>
                      <c:pt idx="334">
                        <c:v>53376.064396289323</c:v>
                      </c:pt>
                      <c:pt idx="335">
                        <c:v>53410.335283068496</c:v>
                      </c:pt>
                      <c:pt idx="336">
                        <c:v>53416.10678689702</c:v>
                      </c:pt>
                      <c:pt idx="337">
                        <c:v>53394.086474337513</c:v>
                      </c:pt>
                      <c:pt idx="338">
                        <c:v>53344.93546064468</c:v>
                      </c:pt>
                      <c:pt idx="339">
                        <c:v>53269.272085836506</c:v>
                      </c:pt>
                      <c:pt idx="340">
                        <c:v>53167.675200614562</c:v>
                      </c:pt>
                      <c:pt idx="341">
                        <c:v>53040.68711049165</c:v>
                      </c:pt>
                      <c:pt idx="342">
                        <c:v>52888.816219507687</c:v>
                      </c:pt>
                      <c:pt idx="343">
                        <c:v>52712.539409063676</c:v>
                      </c:pt>
                      <c:pt idx="344">
                        <c:v>52512.304182478489</c:v>
                      </c:pt>
                      <c:pt idx="345">
                        <c:v>52288.530601711762</c:v>
                      </c:pt>
                      <c:pt idx="346">
                        <c:v>52041.613039167925</c:v>
                      </c:pt>
                      <c:pt idx="347">
                        <c:v>51771.921764494335</c:v>
                      </c:pt>
                      <c:pt idx="348">
                        <c:v>51479.804383723662</c:v>
                      </c:pt>
                      <c:pt idx="349">
                        <c:v>51165.587145915764</c:v>
                      </c:pt>
                      <c:pt idx="350">
                        <c:v>50829.576130568588</c:v>
                      </c:pt>
                      <c:pt idx="351">
                        <c:v>50472.058327442704</c:v>
                      </c:pt>
                      <c:pt idx="352">
                        <c:v>50093.302619039991</c:v>
                      </c:pt>
                      <c:pt idx="353">
                        <c:v>49693.560674760076</c:v>
                      </c:pt>
                      <c:pt idx="354">
                        <c:v>49273.067764701227</c:v>
                      </c:pt>
                      <c:pt idx="355">
                        <c:v>48832.043500151776</c:v>
                      </c:pt>
                      <c:pt idx="356">
                        <c:v>48370.692507015148</c:v>
                      </c:pt>
                      <c:pt idx="357">
                        <c:v>47889.205037709551</c:v>
                      </c:pt>
                      <c:pt idx="358">
                        <c:v>47387.757526469104</c:v>
                      </c:pt>
                      <c:pt idx="359">
                        <c:v>46866.513092435423</c:v>
                      </c:pt>
                      <c:pt idx="360">
                        <c:v>46325.621994458241</c:v>
                      </c:pt>
                      <c:pt idx="361">
                        <c:v>45765.222041112676</c:v>
                      </c:pt>
                      <c:pt idx="362">
                        <c:v>45185.438959083425</c:v>
                      </c:pt>
                      <c:pt idx="363">
                        <c:v>44586.386722757685</c:v>
                      </c:pt>
                      <c:pt idx="364">
                        <c:v>43968.167847605509</c:v>
                      </c:pt>
                      <c:pt idx="365">
                        <c:v>43330.873649706395</c:v>
                      </c:pt>
                      <c:pt idx="366">
                        <c:v>42674.584473603318</c:v>
                      </c:pt>
                      <c:pt idx="367">
                        <c:v>41999.369890530776</c:v>
                      </c:pt>
                      <c:pt idx="368">
                        <c:v>41305.288868973432</c:v>
                      </c:pt>
                      <c:pt idx="369">
                        <c:v>40592.389919470879</c:v>
                      </c:pt>
                      <c:pt idx="370">
                        <c:v>39860.711215597454</c:v>
                      </c:pt>
                      <c:pt idx="371">
                        <c:v>39110.280693122346</c:v>
                      </c:pt>
                      <c:pt idx="372">
                        <c:v>38341.116129507085</c:v>
                      </c:pt>
                      <c:pt idx="373">
                        <c:v>37553.225206139679</c:v>
                      </c:pt>
                      <c:pt idx="374">
                        <c:v>36746.605556059367</c:v>
                      </c:pt>
                      <c:pt idx="375">
                        <c:v>35921.244800421366</c:v>
                      </c:pt>
                      <c:pt idx="376">
                        <c:v>35077.120577624315</c:v>
                      </c:pt>
                      <c:pt idx="377">
                        <c:v>34214.20056992444</c:v>
                      </c:pt>
                      <c:pt idx="378">
                        <c:v>33332.442533555659</c:v>
                      </c:pt>
                      <c:pt idx="379">
                        <c:v>32431.794339951735</c:v>
                      </c:pt>
                      <c:pt idx="380">
                        <c:v>31512.1940377424</c:v>
                      </c:pt>
                      <c:pt idx="381">
                        <c:v>30573.569947927968</c:v>
                      </c:pt>
                      <c:pt idx="382">
                        <c:v>29615.84080823863</c:v>
                      </c:pt>
                      <c:pt idx="383">
                        <c:v>28638.915987443928</c:v>
                      </c:pt>
                      <c:pt idx="384">
                        <c:v>27642.69579668899</c:v>
                      </c:pt>
                      <c:pt idx="385">
                        <c:v>26627.071933337891</c:v>
                      </c:pt>
                      <c:pt idx="386">
                        <c:v>25591.928104050752</c:v>
                      </c:pt>
                      <c:pt idx="387">
                        <c:v>24537.140888953334</c:v>
                      </c:pt>
                      <c:pt idx="388">
                        <c:v>23462.580929242729</c:v>
                      </c:pt>
                      <c:pt idx="389">
                        <c:v>22368.11454848442</c:v>
                      </c:pt>
                      <c:pt idx="390">
                        <c:v>21253.605956153995</c:v>
                      </c:pt>
                      <c:pt idx="391">
                        <c:v>20118.92023491548</c:v>
                      </c:pt>
                      <c:pt idx="392">
                        <c:v>18963.927386874086</c:v>
                      </c:pt>
                      <c:pt idx="393">
                        <c:v>17788.507817601268</c:v>
                      </c:pt>
                      <c:pt idx="394">
                        <c:v>16592.559783359007</c:v>
                      </c:pt>
                      <c:pt idx="395">
                        <c:v>15376.009536277967</c:v>
                      </c:pt>
                      <c:pt idx="396">
                        <c:v>14138.825203488055</c:v>
                      </c:pt>
                      <c:pt idx="397">
                        <c:v>12881.035872942368</c:v>
                      </c:pt>
                      <c:pt idx="398">
                        <c:v>11602.757995787353</c:v>
                      </c:pt>
                      <c:pt idx="399">
                        <c:v>10304.232148201691</c:v>
                      </c:pt>
                      <c:pt idx="400">
                        <c:v>8985.8745620964783</c:v>
                      </c:pt>
                      <c:pt idx="401">
                        <c:v>7648.3498211299147</c:v>
                      </c:pt>
                      <c:pt idx="402">
                        <c:v>6292.6739503331664</c:v>
                      </c:pt>
                      <c:pt idx="403">
                        <c:v>4920.360979820116</c:v>
                      </c:pt>
                      <c:pt idx="404">
                        <c:v>3533.6307590532633</c:v>
                      </c:pt>
                      <c:pt idx="405">
                        <c:v>2135.6999114681876</c:v>
                      </c:pt>
                      <c:pt idx="406">
                        <c:v>731.17627986737966</c:v>
                      </c:pt>
                      <c:pt idx="407">
                        <c:v>-673.44441474990333</c:v>
                      </c:pt>
                      <c:pt idx="408">
                        <c:v>-2069.2578340545592</c:v>
                      </c:pt>
                      <c:pt idx="409">
                        <c:v>-3444.6854006012504</c:v>
                      </c:pt>
                      <c:pt idx="410">
                        <c:v>-4786.1486952658261</c:v>
                      </c:pt>
                      <c:pt idx="411">
                        <c:v>-6080.8961638186438</c:v>
                      </c:pt>
                      <c:pt idx="412">
                        <c:v>-7323.216158413813</c:v>
                      </c:pt>
                      <c:pt idx="413">
                        <c:v>-8523.8380232603467</c:v>
                      </c:pt>
                      <c:pt idx="414">
                        <c:v>-9720.4160254198869</c:v>
                      </c:pt>
                      <c:pt idx="415">
                        <c:v>-10987.270226980725</c:v>
                      </c:pt>
                      <c:pt idx="416">
                        <c:v>-12429.707348747206</c:v>
                      </c:pt>
                      <c:pt idx="417">
                        <c:v>-14079.300794576589</c:v>
                      </c:pt>
                      <c:pt idx="418">
                        <c:v>-15787.958180456046</c:v>
                      </c:pt>
                      <c:pt idx="419">
                        <c:v>-17375.479725222158</c:v>
                      </c:pt>
                      <c:pt idx="420">
                        <c:v>-18770.46913257198</c:v>
                      </c:pt>
                      <c:pt idx="421">
                        <c:v>-19961.55082673701</c:v>
                      </c:pt>
                      <c:pt idx="422">
                        <c:v>-20957.534215981203</c:v>
                      </c:pt>
                      <c:pt idx="423">
                        <c:v>-21774.927278946572</c:v>
                      </c:pt>
                      <c:pt idx="424">
                        <c:v>-22432.918017626285</c:v>
                      </c:pt>
                      <c:pt idx="425">
                        <c:v>-22950.732675556814</c:v>
                      </c:pt>
                      <c:pt idx="426">
                        <c:v>-23346.250875082937</c:v>
                      </c:pt>
                      <c:pt idx="427">
                        <c:v>-23635.409126116869</c:v>
                      </c:pt>
                      <c:pt idx="428">
                        <c:v>-23832.068688092491</c:v>
                      </c:pt>
                      <c:pt idx="429">
                        <c:v>-23948.124430915566</c:v>
                      </c:pt>
                      <c:pt idx="430">
                        <c:v>-23993.717303907233</c:v>
                      </c:pt>
                      <c:pt idx="431">
                        <c:v>-23977.47471918516</c:v>
                      </c:pt>
                      <c:pt idx="432">
                        <c:v>-23906.74158549268</c:v>
                      </c:pt>
                      <c:pt idx="433">
                        <c:v>-23787.786381370908</c:v>
                      </c:pt>
                      <c:pt idx="434">
                        <c:v>-23625.977888727564</c:v>
                      </c:pt>
                      <c:pt idx="435">
                        <c:v>-23425.933527113455</c:v>
                      </c:pt>
                      <c:pt idx="436">
                        <c:v>-23191.642406421739</c:v>
                      </c:pt>
                      <c:pt idx="437">
                        <c:v>-22926.566823206831</c:v>
                      </c:pt>
                      <c:pt idx="438">
                        <c:v>-22633.725808297382</c:v>
                      </c:pt>
                      <c:pt idx="439">
                        <c:v>-22315.76392493851</c:v>
                      </c:pt>
                      <c:pt idx="440">
                        <c:v>-21975.008029463374</c:v>
                      </c:pt>
                      <c:pt idx="441">
                        <c:v>-21613.514236754898</c:v>
                      </c:pt>
                      <c:pt idx="442">
                        <c:v>-21233.10691842133</c:v>
                      </c:pt>
                      <c:pt idx="443">
                        <c:v>-20835.411212441813</c:v>
                      </c:pt>
                      <c:pt idx="444">
                        <c:v>-20421.880236202218</c:v>
                      </c:pt>
                      <c:pt idx="445">
                        <c:v>-19993.817962636906</c:v>
                      </c:pt>
                      <c:pt idx="446">
                        <c:v>-19552.398532752868</c:v>
                      </c:pt>
                      <c:pt idx="447">
                        <c:v>-19098.682628744129</c:v>
                      </c:pt>
                      <c:pt idx="448">
                        <c:v>-18633.631412900573</c:v>
                      </c:pt>
                      <c:pt idx="449">
                        <c:v>-18158.118442491774</c:v>
                      </c:pt>
                      <c:pt idx="450">
                        <c:v>-17672.939894823045</c:v>
                      </c:pt>
                      <c:pt idx="451">
                        <c:v>-17178.823375765616</c:v>
                      </c:pt>
                      <c:pt idx="452">
                        <c:v>-16676.435536122026</c:v>
                      </c:pt>
                      <c:pt idx="453">
                        <c:v>-16166.38868072874</c:v>
                      </c:pt>
                      <c:pt idx="454">
                        <c:v>-15649.246523273612</c:v>
                      </c:pt>
                      <c:pt idx="455">
                        <c:v>-15125.52921388422</c:v>
                      </c:pt>
                      <c:pt idx="456">
                        <c:v>-14595.7177454175</c:v>
                      </c:pt>
                      <c:pt idx="457">
                        <c:v>-14060.257827099897</c:v>
                      </c:pt>
                      <c:pt idx="458">
                        <c:v>-13519.563299977888</c:v>
                      </c:pt>
                      <c:pt idx="459">
                        <c:v>-12974.019156944882</c:v>
                      </c:pt>
                      <c:pt idx="460">
                        <c:v>-12423.984220437775</c:v>
                      </c:pt>
                      <c:pt idx="461">
                        <c:v>-11869.793522866916</c:v>
                      </c:pt>
                      <c:pt idx="462">
                        <c:v>-11311.760428153942</c:v>
                      </c:pt>
                      <c:pt idx="463">
                        <c:v>-10750.178527160206</c:v>
                      </c:pt>
                      <c:pt idx="464">
                        <c:v>-10185.323335098235</c:v>
                      </c:pt>
                      <c:pt idx="465">
                        <c:v>-9617.453815071829</c:v>
                      </c:pt>
                      <c:pt idx="466">
                        <c:v>-9046.8137485583175</c:v>
                      </c:pt>
                      <c:pt idx="467">
                        <c:v>-8473.632970824905</c:v>
                      </c:pt>
                      <c:pt idx="468">
                        <c:v>-7898.1284868743041</c:v>
                      </c:pt>
                      <c:pt idx="469">
                        <c:v>-7320.5054814731466</c:v>
                      </c:pt>
                      <c:pt idx="470">
                        <c:v>-6740.9582350724231</c:v>
                      </c:pt>
                      <c:pt idx="471">
                        <c:v>-6159.6709559349138</c:v>
                      </c:pt>
                      <c:pt idx="472">
                        <c:v>-5576.818537501068</c:v>
                      </c:pt>
                      <c:pt idx="473">
                        <c:v>-4992.5672489193676</c:v>
                      </c:pt>
                      <c:pt idx="474">
                        <c:v>-4407.075365712838</c:v>
                      </c:pt>
                      <c:pt idx="475">
                        <c:v>-3820.4937467273398</c:v>
                      </c:pt>
                      <c:pt idx="476">
                        <c:v>-3232.966362790622</c:v>
                      </c:pt>
                      <c:pt idx="477">
                        <c:v>-2644.6307818879827</c:v>
                      </c:pt>
                      <c:pt idx="478">
                        <c:v>-2055.6186151172465</c:v>
                      </c:pt>
                      <c:pt idx="479">
                        <c:v>-1466.0559272114431</c:v>
                      </c:pt>
                      <c:pt idx="480">
                        <c:v>-876.06361500236812</c:v>
                      </c:pt>
                      <c:pt idx="481">
                        <c:v>-285.75775683408784</c:v>
                      </c:pt>
                      <c:pt idx="482">
                        <c:v>304.75006438456592</c:v>
                      </c:pt>
                      <c:pt idx="483">
                        <c:v>895.35246208121532</c:v>
                      </c:pt>
                      <c:pt idx="484">
                        <c:v>1485.9459687161302</c:v>
                      </c:pt>
                      <c:pt idx="485">
                        <c:v>2076.4307783343111</c:v>
                      </c:pt>
                      <c:pt idx="486">
                        <c:v>2666.7105072288336</c:v>
                      </c:pt>
                      <c:pt idx="487">
                        <c:v>3256.6919711432906</c:v>
                      </c:pt>
                      <c:pt idx="488">
                        <c:v>3846.2849775943337</c:v>
                      </c:pt>
                      <c:pt idx="489">
                        <c:v>4435.4021320316306</c:v>
                      </c:pt>
                      <c:pt idx="490">
                        <c:v>5023.9586566739845</c:v>
                      </c:pt>
                      <c:pt idx="491">
                        <c:v>5611.8722209687594</c:v>
                      </c:pt>
                      <c:pt idx="492">
                        <c:v>6199.0627827186117</c:v>
                      </c:pt>
                      <c:pt idx="493">
                        <c:v>6785.4524390062434</c:v>
                      </c:pt>
                      <c:pt idx="494">
                        <c:v>7370.9652861255618</c:v>
                      </c:pt>
                      <c:pt idx="495">
                        <c:v>7955.5272877973748</c:v>
                      </c:pt>
                      <c:pt idx="496">
                        <c:v>8539.0661510103928</c:v>
                      </c:pt>
                      <c:pt idx="497">
                        <c:v>9121.511208884649</c:v>
                      </c:pt>
                      <c:pt idx="498">
                        <c:v>9702.793310005216</c:v>
                      </c:pt>
                      <c:pt idx="499">
                        <c:v>10282.844713719851</c:v>
                      </c:pt>
                      <c:pt idx="500">
                        <c:v>10861.59899093547</c:v>
                      </c:pt>
                      <c:pt idx="501">
                        <c:v>11438.990929985703</c:v>
                      </c:pt>
                      <c:pt idx="502">
                        <c:v>12014.956447175444</c:v>
                      </c:pt>
                      <c:pt idx="503">
                        <c:v>12589.432501638905</c:v>
                      </c:pt>
                      <c:pt idx="504">
                        <c:v>13162.357014175224</c:v>
                      </c:pt>
                      <c:pt idx="505">
                        <c:v>13733.668789750818</c:v>
                      </c:pt>
                      <c:pt idx="506">
                        <c:v>14303.307443380265</c:v>
                      </c:pt>
                      <c:pt idx="507">
                        <c:v>14871.213329118204</c:v>
                      </c:pt>
                      <c:pt idx="508">
                        <c:v>15437.327471913301</c:v>
                      </c:pt>
                      <c:pt idx="509">
                        <c:v>16001.591502092368</c:v>
                      </c:pt>
                      <c:pt idx="510">
                        <c:v>16563.947592258046</c:v>
                      </c:pt>
                      <c:pt idx="511">
                        <c:v>17124.338396397441</c:v>
                      </c:pt>
                      <c:pt idx="512">
                        <c:v>17682.706991011728</c:v>
                      </c:pt>
                      <c:pt idx="513">
                        <c:v>18238.996818088195</c:v>
                      </c:pt>
                      <c:pt idx="514">
                        <c:v>18793.151629746622</c:v>
                      </c:pt>
                      <c:pt idx="515">
                        <c:v>19345.115434401214</c:v>
                      </c:pt>
                      <c:pt idx="516">
                        <c:v>19894.832444287771</c:v>
                      </c:pt>
                      <c:pt idx="517">
                        <c:v>20442.247024213448</c:v>
                      </c:pt>
                      <c:pt idx="518">
                        <c:v>20987.303641393264</c:v>
                      </c:pt>
                      <c:pt idx="519">
                        <c:v>21529.946816243617</c:v>
                      </c:pt>
                      <c:pt idx="520">
                        <c:v>22070.121074008559</c:v>
                      </c:pt>
                      <c:pt idx="521">
                        <c:v>22607.77089709937</c:v>
                      </c:pt>
                      <c:pt idx="522">
                        <c:v>23142.840678032182</c:v>
                      </c:pt>
                      <c:pt idx="523">
                        <c:v>23675.274672852123</c:v>
                      </c:pt>
                      <c:pt idx="524">
                        <c:v>24205.016954935578</c:v>
                      </c:pt>
                      <c:pt idx="525">
                        <c:v>24732.0113690648</c:v>
                      </c:pt>
                      <c:pt idx="526">
                        <c:v>25256.201485671307</c:v>
                      </c:pt>
                      <c:pt idx="527">
                        <c:v>25777.530555146212</c:v>
                      </c:pt>
                      <c:pt idx="528">
                        <c:v>26295.94146211688</c:v>
                      </c:pt>
                      <c:pt idx="529">
                        <c:v>26811.376679590216</c:v>
                      </c:pt>
                      <c:pt idx="530">
                        <c:v>27323.778222863217</c:v>
                      </c:pt>
                      <c:pt idx="531">
                        <c:v>27833.087603101518</c:v>
                      </c:pt>
                      <c:pt idx="532">
                        <c:v>28339.245780486188</c:v>
                      </c:pt>
                      <c:pt idx="533">
                        <c:v>28842.193116828286</c:v>
                      </c:pt>
                      <c:pt idx="534">
                        <c:v>29341.869327549332</c:v>
                      </c:pt>
                      <c:pt idx="535">
                        <c:v>29838.213432924356</c:v>
                      </c:pt>
                      <c:pt idx="536">
                        <c:v>30331.163708481985</c:v>
                      </c:pt>
                      <c:pt idx="537">
                        <c:v>30820.657634453528</c:v>
                      </c:pt>
                      <c:pt idx="538">
                        <c:v>31306.631844160096</c:v>
                      </c:pt>
                      <c:pt idx="539">
                        <c:v>31789.022071223306</c:v>
                      </c:pt>
                      <c:pt idx="540">
                        <c:v>32267.763095481208</c:v>
                      </c:pt>
                      <c:pt idx="541">
                        <c:v>32742.788687486591</c:v>
                      </c:pt>
                      <c:pt idx="542">
                        <c:v>33214.031551459884</c:v>
                      </c:pt>
                      <c:pt idx="543">
                        <c:v>33681.423266563266</c:v>
                      </c:pt>
                      <c:pt idx="544">
                        <c:v>34144.89422635649</c:v>
                      </c:pt>
                      <c:pt idx="545">
                        <c:v>34604.373576287973</c:v>
                      </c:pt>
                      <c:pt idx="546">
                        <c:v>35059.789149067401</c:v>
                      </c:pt>
                      <c:pt idx="547">
                        <c:v>35511.06739775763</c:v>
                      </c:pt>
                      <c:pt idx="548">
                        <c:v>35958.133326414718</c:v>
                      </c:pt>
                      <c:pt idx="549">
                        <c:v>36400.910418095045</c:v>
                      </c:pt>
                      <c:pt idx="550">
                        <c:v>36839.320560037486</c:v>
                      </c:pt>
                      <c:pt idx="551">
                        <c:v>37273.28396581683</c:v>
                      </c:pt>
                      <c:pt idx="552">
                        <c:v>37702.71909425169</c:v>
                      </c:pt>
                      <c:pt idx="553">
                        <c:v>38127.542564835901</c:v>
                      </c:pt>
                      <c:pt idx="554">
                        <c:v>38547.669069446936</c:v>
                      </c:pt>
                      <c:pt idx="555">
                        <c:v>38963.011280068073</c:v>
                      </c:pt>
                      <c:pt idx="556">
                        <c:v>39373.4797522425</c:v>
                      </c:pt>
                      <c:pt idx="557">
                        <c:v>39778.98282395734</c:v>
                      </c:pt>
                      <c:pt idx="558">
                        <c:v>40179.426509633631</c:v>
                      </c:pt>
                      <c:pt idx="559">
                        <c:v>40574.714388874119</c:v>
                      </c:pt>
                      <c:pt idx="560">
                        <c:v>40964.747489594316</c:v>
                      </c:pt>
                      <c:pt idx="561">
                        <c:v>41349.424165133467</c:v>
                      </c:pt>
                      <c:pt idx="562">
                        <c:v>41728.639964910362</c:v>
                      </c:pt>
                      <c:pt idx="563">
                        <c:v>42102.287498154117</c:v>
                      </c:pt>
                      <c:pt idx="564">
                        <c:v>42470.256290202226</c:v>
                      </c:pt>
                      <c:pt idx="565">
                        <c:v>42832.432630815958</c:v>
                      </c:pt>
                      <c:pt idx="566">
                        <c:v>43188.699413917464</c:v>
                      </c:pt>
                      <c:pt idx="567">
                        <c:v>43538.935968102145</c:v>
                      </c:pt>
                      <c:pt idx="568">
                        <c:v>43883.017877224054</c:v>
                      </c:pt>
                      <c:pt idx="569">
                        <c:v>44220.816790290482</c:v>
                      </c:pt>
                      <c:pt idx="570">
                        <c:v>44552.200219833991</c:v>
                      </c:pt>
                      <c:pt idx="571">
                        <c:v>44877.031327854835</c:v>
                      </c:pt>
                      <c:pt idx="572">
                        <c:v>45195.168698343579</c:v>
                      </c:pt>
                      <c:pt idx="573">
                        <c:v>45506.466095301374</c:v>
                      </c:pt>
                      <c:pt idx="574">
                        <c:v>45810.772205073001</c:v>
                      </c:pt>
                      <c:pt idx="575">
                        <c:v>46107.930361693892</c:v>
                      </c:pt>
                      <c:pt idx="576">
                        <c:v>46397.778253825643</c:v>
                      </c:pt>
                      <c:pt idx="577">
                        <c:v>46680.147611713321</c:v>
                      </c:pt>
                      <c:pt idx="578">
                        <c:v>46954.863872440081</c:v>
                      </c:pt>
                      <c:pt idx="579">
                        <c:v>47221.745821578275</c:v>
                      </c:pt>
                      <c:pt idx="580">
                        <c:v>47480.605209138841</c:v>
                      </c:pt>
                      <c:pt idx="581">
                        <c:v>47731.246337498975</c:v>
                      </c:pt>
                      <c:pt idx="582">
                        <c:v>47973.46561873937</c:v>
                      </c:pt>
                      <c:pt idx="583">
                        <c:v>48207.051098541633</c:v>
                      </c:pt>
                      <c:pt idx="584">
                        <c:v>48431.781943480681</c:v>
                      </c:pt>
                      <c:pt idx="585">
                        <c:v>48647.427888189341</c:v>
                      </c:pt>
                      <c:pt idx="586">
                        <c:v>48853.748638468234</c:v>
                      </c:pt>
                      <c:pt idx="587">
                        <c:v>49050.493225954851</c:v>
                      </c:pt>
                      <c:pt idx="588">
                        <c:v>49237.399309444401</c:v>
                      </c:pt>
                      <c:pt idx="589">
                        <c:v>49414.192417360631</c:v>
                      </c:pt>
                      <c:pt idx="590">
                        <c:v>49580.585125196412</c:v>
                      </c:pt>
                      <c:pt idx="591">
                        <c:v>49736.276160967587</c:v>
                      </c:pt>
                      <c:pt idx="592">
                        <c:v>49880.949430833018</c:v>
                      </c:pt>
                      <c:pt idx="593">
                        <c:v>50014.272956009918</c:v>
                      </c:pt>
                      <c:pt idx="594">
                        <c:v>50135.897710933205</c:v>
                      </c:pt>
                      <c:pt idx="595">
                        <c:v>50245.456351243673</c:v>
                      </c:pt>
                      <c:pt idx="596">
                        <c:v>50342.561818608985</c:v>
                      </c:pt>
                      <c:pt idx="597">
                        <c:v>50426.805807544719</c:v>
                      </c:pt>
                      <c:pt idx="598">
                        <c:v>50497.757077261987</c:v>
                      </c:pt>
                      <c:pt idx="599">
                        <c:v>50554.959589065904</c:v>
                      </c:pt>
                      <c:pt idx="600">
                        <c:v>50597.930446895407</c:v>
                      </c:pt>
                      <c:pt idx="601">
                        <c:v>50626.15761514382</c:v>
                      </c:pt>
                      <c:pt idx="602">
                        <c:v>50639.097383826782</c:v>
                      </c:pt>
                      <c:pt idx="603">
                        <c:v>50636.171546340971</c:v>
                      </c:pt>
                      <c:pt idx="604">
                        <c:v>50616.764249324704</c:v>
                      </c:pt>
                      <c:pt idx="605">
                        <c:v>50580.218467293678</c:v>
                      </c:pt>
                      <c:pt idx="606">
                        <c:v>50525.832046536882</c:v>
                      </c:pt>
                      <c:pt idx="607">
                        <c:v>50452.853252913977</c:v>
                      </c:pt>
                      <c:pt idx="608">
                        <c:v>50360.4757463118</c:v>
                      </c:pt>
                      <c:pt idx="609">
                        <c:v>50247.832890111153</c:v>
                      </c:pt>
                      <c:pt idx="610">
                        <c:v>50113.991286472068</c:v>
                      </c:pt>
                      <c:pt idx="611">
                        <c:v>49957.94340678634</c:v>
                      </c:pt>
                      <c:pt idx="612">
                        <c:v>49778.599160272141</c:v>
                      </c:pt>
                      <c:pt idx="613">
                        <c:v>49574.776211113975</c:v>
                      </c:pt>
                      <c:pt idx="614">
                        <c:v>49345.188814125417</c:v>
                      </c:pt>
                      <c:pt idx="615">
                        <c:v>49088.434888482348</c:v>
                      </c:pt>
                      <c:pt idx="616">
                        <c:v>48802.980985838512</c:v>
                      </c:pt>
                      <c:pt idx="617">
                        <c:v>48487.144729426887</c:v>
                      </c:pt>
                      <c:pt idx="618">
                        <c:v>48139.074199752613</c:v>
                      </c:pt>
                      <c:pt idx="619">
                        <c:v>47756.723613853203</c:v>
                      </c:pt>
                      <c:pt idx="620">
                        <c:v>47337.824480471478</c:v>
                      </c:pt>
                      <c:pt idx="621">
                        <c:v>46879.85120182352</c:v>
                      </c:pt>
                      <c:pt idx="622">
                        <c:v>46379.979819449029</c:v>
                      </c:pt>
                      <c:pt idx="623">
                        <c:v>45835.038248005359</c:v>
                      </c:pt>
                      <c:pt idx="624">
                        <c:v>45241.445882561238</c:v>
                      </c:pt>
                      <c:pt idx="625">
                        <c:v>44595.13987176941</c:v>
                      </c:pt>
                      <c:pt idx="626">
                        <c:v>43891.48458577499</c:v>
                      </c:pt>
                      <c:pt idx="627">
                        <c:v>43125.159837122294</c:v>
                      </c:pt>
                      <c:pt idx="628">
                        <c:v>42290.022209444098</c:v>
                      </c:pt>
                      <c:pt idx="629">
                        <c:v>41378.932428224245</c:v>
                      </c:pt>
                      <c:pt idx="630">
                        <c:v>40383.540200175688</c:v>
                      </c:pt>
                      <c:pt idx="631">
                        <c:v>39294.016758961414</c:v>
                      </c:pt>
                      <c:pt idx="632">
                        <c:v>38098.725523409179</c:v>
                      </c:pt>
                      <c:pt idx="633">
                        <c:v>36783.825226893103</c:v>
                      </c:pt>
                      <c:pt idx="634">
                        <c:v>35332.812971448075</c:v>
                      </c:pt>
                      <c:pt idx="635">
                        <c:v>33726.048094298647</c:v>
                      </c:pt>
                      <c:pt idx="636">
                        <c:v>31940.373095941348</c:v>
                      </c:pt>
                      <c:pt idx="637">
                        <c:v>29949.100622685521</c:v>
                      </c:pt>
                      <c:pt idx="638">
                        <c:v>27722.901867046858</c:v>
                      </c:pt>
                      <c:pt idx="639">
                        <c:v>25232.468432329377</c:v>
                      </c:pt>
                      <c:pt idx="640">
                        <c:v>22453.868954097285</c:v>
                      </c:pt>
                      <c:pt idx="641">
                        <c:v>19376.338080039561</c:v>
                      </c:pt>
                      <c:pt idx="642">
                        <c:v>16009.034210110489</c:v>
                      </c:pt>
                      <c:pt idx="643">
                        <c:v>12380.473674417928</c:v>
                      </c:pt>
                      <c:pt idx="644">
                        <c:v>8527.8266408687341</c:v>
                      </c:pt>
                      <c:pt idx="645">
                        <c:v>4482.0863649657713</c:v>
                      </c:pt>
                      <c:pt idx="646">
                        <c:v>256.14217716440464</c:v>
                      </c:pt>
                      <c:pt idx="647">
                        <c:v>-4166.1736342722597</c:v>
                      </c:pt>
                      <c:pt idx="648">
                        <c:v>-8829.3669557485173</c:v>
                      </c:pt>
                      <c:pt idx="649">
                        <c:v>-13738.95686603212</c:v>
                      </c:pt>
                      <c:pt idx="650">
                        <c:v>-18746.928212942712</c:v>
                      </c:pt>
                      <c:pt idx="651">
                        <c:v>-23614.264001911812</c:v>
                      </c:pt>
                      <c:pt idx="652">
                        <c:v>-28200.919702384883</c:v>
                      </c:pt>
                      <c:pt idx="653">
                        <c:v>-32493.263343781578</c:v>
                      </c:pt>
                      <c:pt idx="654">
                        <c:v>-36525.226880212504</c:v>
                      </c:pt>
                      <c:pt idx="655">
                        <c:v>-40335.943664344442</c:v>
                      </c:pt>
                      <c:pt idx="656">
                        <c:v>-43958.867772804137</c:v>
                      </c:pt>
                      <c:pt idx="657">
                        <c:v>-47420.764648469863</c:v>
                      </c:pt>
                      <c:pt idx="658">
                        <c:v>-50742.839925609172</c:v>
                      </c:pt>
                      <c:pt idx="659">
                        <c:v>-53942.023579190369</c:v>
                      </c:pt>
                      <c:pt idx="660">
                        <c:v>-57032.00888155985</c:v>
                      </c:pt>
                      <c:pt idx="661">
                        <c:v>-60024.027926904746</c:v>
                      </c:pt>
                      <c:pt idx="662">
                        <c:v>-62927.41949040108</c:v>
                      </c:pt>
                      <c:pt idx="663">
                        <c:v>-65750.045580815873</c:v>
                      </c:pt>
                      <c:pt idx="664">
                        <c:v>-68498.600039590034</c:v>
                      </c:pt>
                      <c:pt idx="665">
                        <c:v>-71178.840132597412</c:v>
                      </c:pt>
                      <c:pt idx="666">
                        <c:v>-73795.762751764865</c:v>
                      </c:pt>
                      <c:pt idx="667">
                        <c:v>-76353.740302433333</c:v>
                      </c:pt>
                      <c:pt idx="668">
                        <c:v>-78856.62686367135</c:v>
                      </c:pt>
                      <c:pt idx="669">
                        <c:v>-81307.842136723411</c:v>
                      </c:pt>
                      <c:pt idx="670">
                        <c:v>-83710.438582020957</c:v>
                      </c:pt>
                      <c:pt idx="671">
                        <c:v>-86067.155675150017</c:v>
                      </c:pt>
                      <c:pt idx="672">
                        <c:v>-88380.464178486945</c:v>
                      </c:pt>
                      <c:pt idx="673">
                        <c:v>-90652.602589485687</c:v>
                      </c:pt>
                      <c:pt idx="674">
                        <c:v>-92885.607396528168</c:v>
                      </c:pt>
                      <c:pt idx="675">
                        <c:v>-95081.338386774616</c:v>
                      </c:pt>
                      <c:pt idx="676">
                        <c:v>-97241.499965422525</c:v>
                      </c:pt>
                      <c:pt idx="677">
                        <c:v>-99367.65923326186</c:v>
                      </c:pt>
                      <c:pt idx="678">
                        <c:v>-101461.26140929786</c:v>
                      </c:pt>
                      <c:pt idx="679">
                        <c:v>-103523.64306338879</c:v>
                      </c:pt>
                      <c:pt idx="680">
                        <c:v>-105556.04353028977</c:v>
                      </c:pt>
                      <c:pt idx="681">
                        <c:v>-107559.61480401333</c:v>
                      </c:pt>
                      <c:pt idx="682">
                        <c:v>-109535.4301547978</c:v>
                      </c:pt>
                      <c:pt idx="683">
                        <c:v>-111484.49166639746</c:v>
                      </c:pt>
                      <c:pt idx="684">
                        <c:v>-113407.73685605293</c:v>
                      </c:pt>
                      <c:pt idx="685">
                        <c:v>-115306.04451126112</c:v>
                      </c:pt>
                      <c:pt idx="686">
                        <c:v>-117180.23985476077</c:v>
                      </c:pt>
                      <c:pt idx="687">
                        <c:v>-119031.09913078119</c:v>
                      </c:pt>
                      <c:pt idx="688">
                        <c:v>-120859.35369065352</c:v>
                      </c:pt>
                      <c:pt idx="689">
                        <c:v>-122665.69364364883</c:v>
                      </c:pt>
                      <c:pt idx="690">
                        <c:v>-124450.7711288415</c:v>
                      </c:pt>
                      <c:pt idx="691">
                        <c:v>-126215.20325547059</c:v>
                      </c:pt>
                      <c:pt idx="692">
                        <c:v>-127959.57475235481</c:v>
                      </c:pt>
                      <c:pt idx="693">
                        <c:v>-129684.44036114072</c:v>
                      </c:pt>
                      <c:pt idx="694">
                        <c:v>-131390.32700332234</c:v>
                      </c:pt>
                      <c:pt idx="695">
                        <c:v>-133077.73574689237</c:v>
                      </c:pt>
                      <c:pt idx="696">
                        <c:v>-134747.14359503938</c:v>
                      </c:pt>
                      <c:pt idx="697">
                        <c:v>-136399.00511637994</c:v>
                      </c:pt>
                      <c:pt idx="698">
                        <c:v>-138033.75393372448</c:v>
                      </c:pt>
                      <c:pt idx="699">
                        <c:v>-139651.80408624667</c:v>
                      </c:pt>
                      <c:pt idx="700">
                        <c:v>-141253.55127809994</c:v>
                      </c:pt>
                      <c:pt idx="701">
                        <c:v>-142839.37402495588</c:v>
                      </c:pt>
                      <c:pt idx="702">
                        <c:v>-144409.63470858254</c:v>
                      </c:pt>
                      <c:pt idx="703">
                        <c:v>-145964.68054840923</c:v>
                      </c:pt>
                      <c:pt idx="704">
                        <c:v>-147504.84449800552</c:v>
                      </c:pt>
                      <c:pt idx="705">
                        <c:v>-149030.44607351694</c:v>
                      </c:pt>
                      <c:pt idx="706">
                        <c:v>-150541.79212032672</c:v>
                      </c:pt>
                      <c:pt idx="707">
                        <c:v>-152039.17752353669</c:v>
                      </c:pt>
                      <c:pt idx="708">
                        <c:v>-153522.88586726726</c:v>
                      </c:pt>
                      <c:pt idx="709">
                        <c:v>-154993.19004725566</c:v>
                      </c:pt>
                      <c:pt idx="710">
                        <c:v>-156450.35284077196</c:v>
                      </c:pt>
                      <c:pt idx="711">
                        <c:v>-157894.62743746751</c:v>
                      </c:pt>
                      <c:pt idx="712">
                        <c:v>-159326.25793441074</c:v>
                      </c:pt>
                      <c:pt idx="713">
                        <c:v>-160745.47979824847</c:v>
                      </c:pt>
                      <c:pt idx="714">
                        <c:v>-162152.52029714745</c:v>
                      </c:pt>
                      <c:pt idx="715">
                        <c:v>-163547.59890491943</c:v>
                      </c:pt>
                      <c:pt idx="716">
                        <c:v>-164930.92767950951</c:v>
                      </c:pt>
                      <c:pt idx="717">
                        <c:v>-166302.71161782625</c:v>
                      </c:pt>
                      <c:pt idx="718">
                        <c:v>-167663.14898871351</c:v>
                      </c:pt>
                      <c:pt idx="719">
                        <c:v>-169012.43164570292</c:v>
                      </c:pt>
                      <c:pt idx="720">
                        <c:v>-170350.74532104167</c:v>
                      </c:pt>
                      <c:pt idx="721">
                        <c:v>-171678.26990236077</c:v>
                      </c:pt>
                      <c:pt idx="722">
                        <c:v>-172995.17969323165</c:v>
                      </c:pt>
                      <c:pt idx="723">
                        <c:v>-174301.64365875412</c:v>
                      </c:pt>
                      <c:pt idx="724">
                        <c:v>-175597.82565722326</c:v>
                      </c:pt>
                      <c:pt idx="725">
                        <c:v>-176883.88465883621</c:v>
                      </c:pt>
                      <c:pt idx="726">
                        <c:v>-178159.97495232281</c:v>
                      </c:pt>
                      <c:pt idx="727">
                        <c:v>-179426.24634031241</c:v>
                      </c:pt>
                      <c:pt idx="728">
                        <c:v>-180682.84432418534</c:v>
                      </c:pt>
                      <c:pt idx="729">
                        <c:v>-181929.91027909869</c:v>
                      </c:pt>
                      <c:pt idx="730">
                        <c:v>-183167.58161982373</c:v>
                      </c:pt>
                      <c:pt idx="731">
                        <c:v>-184395.9919579823</c:v>
                      </c:pt>
                      <c:pt idx="732">
                        <c:v>-185615.27125122689</c:v>
                      </c:pt>
                      <c:pt idx="733">
                        <c:v>-186825.54594486725</c:v>
                      </c:pt>
                      <c:pt idx="734">
                        <c:v>-188026.93910641051</c:v>
                      </c:pt>
                      <c:pt idx="735">
                        <c:v>-189219.57055344697</c:v>
                      </c:pt>
                      <c:pt idx="736">
                        <c:v>-190403.55697528322</c:v>
                      </c:pt>
                      <c:pt idx="737">
                        <c:v>-191579.0120486957</c:v>
                      </c:pt>
                      <c:pt idx="738">
                        <c:v>-192746.04654815144</c:v>
                      </c:pt>
                      <c:pt idx="739">
                        <c:v>-193904.76845081852</c:v>
                      </c:pt>
                      <c:pt idx="740">
                        <c:v>-195055.28303666718</c:v>
                      </c:pt>
                      <c:pt idx="741">
                        <c:v>-196197.6929839417</c:v>
                      </c:pt>
                      <c:pt idx="742">
                        <c:v>-197332.09846026395</c:v>
                      </c:pt>
                      <c:pt idx="743">
                        <c:v>-198458.5972096133</c:v>
                      </c:pt>
                      <c:pt idx="744">
                        <c:v>-199577.28463541032</c:v>
                      </c:pt>
                      <c:pt idx="745">
                        <c:v>-200688.25387991747</c:v>
                      </c:pt>
                      <c:pt idx="746">
                        <c:v>-201791.59590015622</c:v>
                      </c:pt>
                      <c:pt idx="747">
                        <c:v>-202887.3995405274</c:v>
                      </c:pt>
                      <c:pt idx="748">
                        <c:v>-203975.75160230926</c:v>
                      </c:pt>
                      <c:pt idx="749">
                        <c:v>-205056.73691019759</c:v>
                      </c:pt>
                      <c:pt idx="750">
                        <c:v>-206130.43837604162</c:v>
                      </c:pt>
                      <c:pt idx="751">
                        <c:v>-207196.93705991979</c:v>
                      </c:pt>
                      <c:pt idx="752">
                        <c:v>-208256.31222869156</c:v>
                      </c:pt>
                      <c:pt idx="753">
                        <c:v>-209308.64141215224</c:v>
                      </c:pt>
                      <c:pt idx="754">
                        <c:v>-210354.00045691102</c:v>
                      </c:pt>
                      <c:pt idx="755">
                        <c:v>-211392.46357810489</c:v>
                      </c:pt>
                      <c:pt idx="756">
                        <c:v>-212424.10340905481</c:v>
                      </c:pt>
                      <c:pt idx="757">
                        <c:v>-213448.99104896412</c:v>
                      </c:pt>
                      <c:pt idx="758">
                        <c:v>-214467.1961087535</c:v>
                      </c:pt>
                      <c:pt idx="759">
                        <c:v>-215478.78675512163</c:v>
                      </c:pt>
                      <c:pt idx="760">
                        <c:v>-216483.82975291539</c:v>
                      </c:pt>
                      <c:pt idx="761">
                        <c:v>-217482.39050588896</c:v>
                      </c:pt>
                      <c:pt idx="762">
                        <c:v>-218474.53309592669</c:v>
                      </c:pt>
                      <c:pt idx="763">
                        <c:v>-219460.32032080059</c:v>
                      </c:pt>
                      <c:pt idx="764">
                        <c:v>-220439.81373052931</c:v>
                      </c:pt>
                      <c:pt idx="765">
                        <c:v>-221413.07366240205</c:v>
                      </c:pt>
                      <c:pt idx="766">
                        <c:v>-222380.15927472731</c:v>
                      </c:pt>
                      <c:pt idx="767">
                        <c:v>-223341.12857936329</c:v>
                      </c:pt>
                      <c:pt idx="768">
                        <c:v>-224296.03847308355</c:v>
                      </c:pt>
                      <c:pt idx="769">
                        <c:v>-225244.94476782941</c:v>
                      </c:pt>
                      <c:pt idx="770">
                        <c:v>-226187.9022198969</c:v>
                      </c:pt>
                      <c:pt idx="771">
                        <c:v>-227124.96455810452</c:v>
                      </c:pt>
                      <c:pt idx="772">
                        <c:v>-228056.1845109851</c:v>
                      </c:pt>
                      <c:pt idx="773">
                        <c:v>-228981.61383304338</c:v>
                      </c:pt>
                      <c:pt idx="774">
                        <c:v>-229901.30333011842</c:v>
                      </c:pt>
                      <c:pt idx="775">
                        <c:v>-230815.30288388819</c:v>
                      </c:pt>
                      <c:pt idx="776">
                        <c:v>-231723.66147555195</c:v>
                      </c:pt>
                      <c:pt idx="777">
                        <c:v>-232626.42720872414</c:v>
                      </c:pt>
                      <c:pt idx="778">
                        <c:v>-233523.64733157176</c:v>
                      </c:pt>
                      <c:pt idx="779">
                        <c:v>-234415.36825822602</c:v>
                      </c:pt>
                      <c:pt idx="780">
                        <c:v>-235301.63558949737</c:v>
                      </c:pt>
                      <c:pt idx="781">
                        <c:v>-236182.49413292148</c:v>
                      </c:pt>
                      <c:pt idx="782">
                        <c:v>-237057.98792216292</c:v>
                      </c:pt>
                      <c:pt idx="783">
                        <c:v>-237928.1602358013</c:v>
                      </c:pt>
                      <c:pt idx="784">
                        <c:v>-238793.05361552449</c:v>
                      </c:pt>
                      <c:pt idx="785">
                        <c:v>-239652.7098837512</c:v>
                      </c:pt>
                      <c:pt idx="786">
                        <c:v>-240507.17016070537</c:v>
                      </c:pt>
                      <c:pt idx="787">
                        <c:v>-241356.47488096287</c:v>
                      </c:pt>
                      <c:pt idx="788">
                        <c:v>-242200.66380949083</c:v>
                      </c:pt>
                      <c:pt idx="789">
                        <c:v>-243039.77605719827</c:v>
                      </c:pt>
                      <c:pt idx="790">
                        <c:v>-243873.85009601648</c:v>
                      </c:pt>
                      <c:pt idx="791">
                        <c:v>-244702.92377352668</c:v>
                      </c:pt>
                      <c:pt idx="792">
                        <c:v>-245527.03432715117</c:v>
                      </c:pt>
                      <c:pt idx="793">
                        <c:v>-246346.21839792444</c:v>
                      </c:pt>
                      <c:pt idx="794">
                        <c:v>-247160.51204385914</c:v>
                      </c:pt>
                      <c:pt idx="795">
                        <c:v>-247969.95075292143</c:v>
                      </c:pt>
                      <c:pt idx="796">
                        <c:v>-248774.56945563018</c:v>
                      </c:pt>
                      <c:pt idx="797">
                        <c:v>-249574.40253729271</c:v>
                      </c:pt>
                      <c:pt idx="798">
                        <c:v>-250369.48384989047</c:v>
                      </c:pt>
                      <c:pt idx="799">
                        <c:v>-251159.84672362657</c:v>
                      </c:pt>
                      <c:pt idx="800">
                        <c:v>-251945.52397814707</c:v>
                      </c:pt>
                      <c:pt idx="801">
                        <c:v>-252726.54793344735</c:v>
                      </c:pt>
                      <c:pt idx="802">
                        <c:v>-253502.95042047443</c:v>
                      </c:pt>
                      <c:pt idx="803">
                        <c:v>-254274.76279143538</c:v>
                      </c:pt>
                      <c:pt idx="804">
                        <c:v>-255042.01592982202</c:v>
                      </c:pt>
                      <c:pt idx="805">
                        <c:v>-255804.74026016149</c:v>
                      </c:pt>
                      <c:pt idx="806">
                        <c:v>-256562.96575750166</c:v>
                      </c:pt>
                      <c:pt idx="807">
                        <c:v>-257316.72195664054</c:v>
                      </c:pt>
                      <c:pt idx="808">
                        <c:v>-258066.03796110774</c:v>
                      </c:pt>
                      <c:pt idx="809">
                        <c:v>-258810.94245190639</c:v>
                      </c:pt>
                      <c:pt idx="810">
                        <c:v>-259551.46369602354</c:v>
                      </c:pt>
                      <c:pt idx="811">
                        <c:v>-260287.62955471603</c:v>
                      </c:pt>
                      <c:pt idx="812">
                        <c:v>-261019.46749157956</c:v>
                      </c:pt>
                      <c:pt idx="813">
                        <c:v>-261747.00458040761</c:v>
                      </c:pt>
                      <c:pt idx="814">
                        <c:v>-262470.2675128472</c:v>
                      </c:pt>
                      <c:pt idx="815">
                        <c:v>-263189.28260585741</c:v>
                      </c:pt>
                      <c:pt idx="816">
                        <c:v>-263904.07580897777</c:v>
                      </c:pt>
                      <c:pt idx="817">
                        <c:v>-264614.6727114112</c:v>
                      </c:pt>
                      <c:pt idx="818">
                        <c:v>-265321.09854892874</c:v>
                      </c:pt>
                      <c:pt idx="819">
                        <c:v>-266023.37821060017</c:v>
                      </c:pt>
                      <c:pt idx="820">
                        <c:v>-266721.53624535719</c:v>
                      </c:pt>
                      <c:pt idx="821">
                        <c:v>-267415.59686839295</c:v>
                      </c:pt>
                      <c:pt idx="822">
                        <c:v>-268105.58396740415</c:v>
                      </c:pt>
                      <c:pt idx="823">
                        <c:v>-268791.52110867959</c:v>
                      </c:pt>
                      <c:pt idx="824">
                        <c:v>-269473.43154304038</c:v>
                      </c:pt>
                      <c:pt idx="825">
                        <c:v>-270151.33821163548</c:v>
                      </c:pt>
                      <c:pt idx="826">
                        <c:v>-270825.26375159802</c:v>
                      </c:pt>
                      <c:pt idx="827">
                        <c:v>-271495.23050156521</c:v>
                      </c:pt>
                      <c:pt idx="828">
                        <c:v>-272161.26050706703</c:v>
                      </c:pt>
                      <c:pt idx="829">
                        <c:v>-272823.3755257866</c:v>
                      </c:pt>
                      <c:pt idx="830">
                        <c:v>-273481.59703269659</c:v>
                      </c:pt>
                      <c:pt idx="831">
                        <c:v>-274135.94622507499</c:v>
                      </c:pt>
                      <c:pt idx="832">
                        <c:v>-274786.44402740343</c:v>
                      </c:pt>
                      <c:pt idx="833">
                        <c:v>-275433.11109615228</c:v>
                      </c:pt>
                      <c:pt idx="834">
                        <c:v>-276075.96782445483</c:v>
                      </c:pt>
                      <c:pt idx="835">
                        <c:v>-276715.03434667381</c:v>
                      </c:pt>
                      <c:pt idx="836">
                        <c:v>-277350.3305428641</c:v>
                      </c:pt>
                      <c:pt idx="837">
                        <c:v>-277981.8760431335</c:v>
                      </c:pt>
                      <c:pt idx="838">
                        <c:v>-278609.69023190497</c:v>
                      </c:pt>
                      <c:pt idx="839">
                        <c:v>-279233.79225208302</c:v>
                      </c:pt>
                      <c:pt idx="840">
                        <c:v>-279854.20100912655</c:v>
                      </c:pt>
                      <c:pt idx="841">
                        <c:v>-280470.93517503142</c:v>
                      </c:pt>
                      <c:pt idx="842">
                        <c:v>-281084.01319222414</c:v>
                      </c:pt>
                      <c:pt idx="843">
                        <c:v>-281693.45327737025</c:v>
                      </c:pt>
                      <c:pt idx="844">
                        <c:v>-282299.27342509892</c:v>
                      </c:pt>
                      <c:pt idx="845">
                        <c:v>-282901.49141164625</c:v>
                      </c:pt>
                      <c:pt idx="846">
                        <c:v>-283500.12479841925</c:v>
                      </c:pt>
                      <c:pt idx="847">
                        <c:v>-284095.1909354832</c:v>
                      </c:pt>
                      <c:pt idx="848">
                        <c:v>-284686.70696497353</c:v>
                      </c:pt>
                      <c:pt idx="849">
                        <c:v>-285274.68982443528</c:v>
                      </c:pt>
                      <c:pt idx="850">
                        <c:v>-285859.15625009069</c:v>
                      </c:pt>
                      <c:pt idx="851">
                        <c:v>-286440.12278003799</c:v>
                      </c:pt>
                      <c:pt idx="852">
                        <c:v>-287017.60575738287</c:v>
                      </c:pt>
                      <c:pt idx="853">
                        <c:v>-287591.6213333038</c:v>
                      </c:pt>
                      <c:pt idx="854">
                        <c:v>-288162.18547005346</c:v>
                      </c:pt>
                      <c:pt idx="855">
                        <c:v>-288729.3139438979</c:v>
                      </c:pt>
                      <c:pt idx="856">
                        <c:v>-289293.02234799461</c:v>
                      </c:pt>
                      <c:pt idx="857">
                        <c:v>-289853.32609521167</c:v>
                      </c:pt>
                      <c:pt idx="858">
                        <c:v>-290410.24042088876</c:v>
                      </c:pt>
                      <c:pt idx="859">
                        <c:v>-290963.78038554179</c:v>
                      </c:pt>
                      <c:pt idx="860">
                        <c:v>-291513.96087751311</c:v>
                      </c:pt>
                      <c:pt idx="861">
                        <c:v>-292060.79661556741</c:v>
                      </c:pt>
                      <c:pt idx="862">
                        <c:v>-292604.30215143593</c:v>
                      </c:pt>
                      <c:pt idx="863">
                        <c:v>-293144.49187230936</c:v>
                      </c:pt>
                      <c:pt idx="864">
                        <c:v>-293681.38000328117</c:v>
                      </c:pt>
                      <c:pt idx="865">
                        <c:v>-294214.9806097424</c:v>
                      </c:pt>
                      <c:pt idx="866">
                        <c:v>-294745.3075997291</c:v>
                      </c:pt>
                      <c:pt idx="867">
                        <c:v>-295272.37472622341</c:v>
                      </c:pt>
                      <c:pt idx="868">
                        <c:v>-295796.19558940985</c:v>
                      </c:pt>
                      <c:pt idx="869">
                        <c:v>-296316.78363888728</c:v>
                      </c:pt>
                      <c:pt idx="870">
                        <c:v>-296834.15217583813</c:v>
                      </c:pt>
                      <c:pt idx="871">
                        <c:v>-297348.31435515557</c:v>
                      </c:pt>
                      <c:pt idx="872">
                        <c:v>-297859.28318752965</c:v>
                      </c:pt>
                      <c:pt idx="873">
                        <c:v>-298367.07154149347</c:v>
                      </c:pt>
                      <c:pt idx="874">
                        <c:v>-298871.69214543054</c:v>
                      </c:pt>
                      <c:pt idx="875">
                        <c:v>-299373.15758954344</c:v>
                      </c:pt>
                      <c:pt idx="876">
                        <c:v>-299871.48032778577</c:v>
                      </c:pt>
                      <c:pt idx="877">
                        <c:v>-300366.67267975729</c:v>
                      </c:pt>
                      <c:pt idx="878">
                        <c:v>-300858.74683256366</c:v>
                      </c:pt>
                      <c:pt idx="879">
                        <c:v>-301347.7148426412</c:v>
                      </c:pt>
                      <c:pt idx="880">
                        <c:v>-301833.58863754809</c:v>
                      </c:pt>
                      <c:pt idx="881">
                        <c:v>-302316.38001772179</c:v>
                      </c:pt>
                      <c:pt idx="882">
                        <c:v>-302796.10065820452</c:v>
                      </c:pt>
                      <c:pt idx="883">
                        <c:v>-303272.76211033657</c:v>
                      </c:pt>
                      <c:pt idx="884">
                        <c:v>-303746.37580341904</c:v>
                      </c:pt>
                      <c:pt idx="885">
                        <c:v>-304216.95304634573</c:v>
                      </c:pt>
                      <c:pt idx="886">
                        <c:v>-304684.5050292057</c:v>
                      </c:pt>
                      <c:pt idx="887">
                        <c:v>-305149.04282485676</c:v>
                      </c:pt>
                      <c:pt idx="888">
                        <c:v>-305610.57739047066</c:v>
                      </c:pt>
                      <c:pt idx="889">
                        <c:v>-306069.11956905026</c:v>
                      </c:pt>
                      <c:pt idx="890">
                        <c:v>-306524.68009091972</c:v>
                      </c:pt>
                      <c:pt idx="891">
                        <c:v>-306977.26957518817</c:v>
                      </c:pt>
                      <c:pt idx="892">
                        <c:v>-307426.89853118756</c:v>
                      </c:pt>
                      <c:pt idx="893">
                        <c:v>-307873.5773598844</c:v>
                      </c:pt>
                      <c:pt idx="894">
                        <c:v>-308317.31635526754</c:v>
                      </c:pt>
                      <c:pt idx="895">
                        <c:v>-308758.12570571073</c:v>
                      </c:pt>
                      <c:pt idx="896">
                        <c:v>-309196.01549531217</c:v>
                      </c:pt>
                      <c:pt idx="897">
                        <c:v>-309630.99570520991</c:v>
                      </c:pt>
                      <c:pt idx="898">
                        <c:v>-310063.07621487504</c:v>
                      </c:pt>
                      <c:pt idx="899">
                        <c:v>-310492.26680338208</c:v>
                      </c:pt>
                      <c:pt idx="900">
                        <c:v>-310918.57715065789</c:v>
                      </c:pt>
                      <c:pt idx="901">
                        <c:v>-311342.01683870866</c:v>
                      </c:pt>
                      <c:pt idx="902">
                        <c:v>-311762.59535282641</c:v>
                      </c:pt>
                      <c:pt idx="903">
                        <c:v>-312180.32208277448</c:v>
                      </c:pt>
                      <c:pt idx="904">
                        <c:v>-312595.206323953</c:v>
                      </c:pt>
                      <c:pt idx="905">
                        <c:v>-313007.25727854489</c:v>
                      </c:pt>
                      <c:pt idx="906">
                        <c:v>-313416.48405664228</c:v>
                      </c:pt>
                      <c:pt idx="907">
                        <c:v>-313822.89567735384</c:v>
                      </c:pt>
                      <c:pt idx="908">
                        <c:v>-314226.50106989394</c:v>
                      </c:pt>
                      <c:pt idx="909">
                        <c:v>-314627.30907465349</c:v>
                      </c:pt>
                      <c:pt idx="910">
                        <c:v>-315025.32844425272</c:v>
                      </c:pt>
                      <c:pt idx="911">
                        <c:v>-315420.56784457684</c:v>
                      </c:pt>
                      <c:pt idx="912">
                        <c:v>-315813.03585579444</c:v>
                      </c:pt>
                      <c:pt idx="913">
                        <c:v>-316202.74097335897</c:v>
                      </c:pt>
                      <c:pt idx="914">
                        <c:v>-316589.69160899398</c:v>
                      </c:pt>
                      <c:pt idx="915">
                        <c:v>-316973.89609166229</c:v>
                      </c:pt>
                      <c:pt idx="916">
                        <c:v>-317355.36266851902</c:v>
                      </c:pt>
                      <c:pt idx="917">
                        <c:v>-317734.09950584959</c:v>
                      </c:pt>
                      <c:pt idx="918">
                        <c:v>-318110.11468999204</c:v>
                      </c:pt>
                      <c:pt idx="919">
                        <c:v>-318483.41622824472</c:v>
                      </c:pt>
                      <c:pt idx="920">
                        <c:v>-318854.01204975939</c:v>
                      </c:pt>
                      <c:pt idx="921">
                        <c:v>-319221.91000641993</c:v>
                      </c:pt>
                      <c:pt idx="922">
                        <c:v>-319587.1178737068</c:v>
                      </c:pt>
                      <c:pt idx="923">
                        <c:v>-319949.643351548</c:v>
                      </c:pt>
                      <c:pt idx="924">
                        <c:v>-320309.49406515644</c:v>
                      </c:pt>
                      <c:pt idx="925">
                        <c:v>-320666.67756585364</c:v>
                      </c:pt>
                      <c:pt idx="926">
                        <c:v>-321021.20133188111</c:v>
                      </c:pt>
                      <c:pt idx="927">
                        <c:v>-321373.07276919828</c:v>
                      </c:pt>
                      <c:pt idx="928">
                        <c:v>-321722.2992122682</c:v>
                      </c:pt>
                      <c:pt idx="929">
                        <c:v>-322068.88792483107</c:v>
                      </c:pt>
                      <c:pt idx="930">
                        <c:v>-322412.84610066522</c:v>
                      </c:pt>
                      <c:pt idx="931">
                        <c:v>-322754.18086433661</c:v>
                      </c:pt>
                      <c:pt idx="932">
                        <c:v>-323092.89927193674</c:v>
                      </c:pt>
                      <c:pt idx="933">
                        <c:v>-323429.00831180869</c:v>
                      </c:pt>
                      <c:pt idx="934">
                        <c:v>-323762.51490526239</c:v>
                      </c:pt>
                      <c:pt idx="935">
                        <c:v>-324093.42590727872</c:v>
                      </c:pt>
                      <c:pt idx="936">
                        <c:v>-324421.74810720258</c:v>
                      </c:pt>
                      <c:pt idx="937">
                        <c:v>-324747.48822942574</c:v>
                      </c:pt>
                      <c:pt idx="938">
                        <c:v>-325070.65293405886</c:v>
                      </c:pt>
                      <c:pt idx="939">
                        <c:v>-325391.24881759356</c:v>
                      </c:pt>
                      <c:pt idx="940">
                        <c:v>-325709.28241355432</c:v>
                      </c:pt>
                      <c:pt idx="941">
                        <c:v>-326024.76019314025</c:v>
                      </c:pt>
                      <c:pt idx="942">
                        <c:v>-326337.68856585771</c:v>
                      </c:pt>
                      <c:pt idx="943">
                        <c:v>-326648.07388014277</c:v>
                      </c:pt>
                      <c:pt idx="944">
                        <c:v>-326955.92242397461</c:v>
                      </c:pt>
                      <c:pt idx="945">
                        <c:v>-327261.24042547995</c:v>
                      </c:pt>
                      <c:pt idx="946">
                        <c:v>-327564.03405352781</c:v>
                      </c:pt>
                      <c:pt idx="947">
                        <c:v>-327864.30941831594</c:v>
                      </c:pt>
                      <c:pt idx="948">
                        <c:v>-328162.07257194823</c:v>
                      </c:pt>
                      <c:pt idx="949">
                        <c:v>-328457.32950900355</c:v>
                      </c:pt>
                      <c:pt idx="950">
                        <c:v>-328750.08616709628</c:v>
                      </c:pt>
                      <c:pt idx="951">
                        <c:v>-329040.3484274284</c:v>
                      </c:pt>
                      <c:pt idx="952">
                        <c:v>-329328.12211533351</c:v>
                      </c:pt>
                      <c:pt idx="953">
                        <c:v>-329613.4130008127</c:v>
                      </c:pt>
                      <c:pt idx="954">
                        <c:v>-329896.2267990628</c:v>
                      </c:pt>
                      <c:pt idx="955">
                        <c:v>-330176.56917099666</c:v>
                      </c:pt>
                      <c:pt idx="956">
                        <c:v>-330454.44572375575</c:v>
                      </c:pt>
                      <c:pt idx="957">
                        <c:v>-330729.86201121547</c:v>
                      </c:pt>
                      <c:pt idx="958">
                        <c:v>-331002.82353448303</c:v>
                      </c:pt>
                      <c:pt idx="959">
                        <c:v>-331273.33574238798</c:v>
                      </c:pt>
                      <c:pt idx="960">
                        <c:v>-331541.40403196571</c:v>
                      </c:pt>
                      <c:pt idx="961">
                        <c:v>-331807.03374893387</c:v>
                      </c:pt>
                      <c:pt idx="962">
                        <c:v>-332070.23018816207</c:v>
                      </c:pt>
                      <c:pt idx="963">
                        <c:v>-332330.99859413435</c:v>
                      </c:pt>
                      <c:pt idx="964">
                        <c:v>-332589.34416140569</c:v>
                      </c:pt>
                      <c:pt idx="965">
                        <c:v>-332845.2720350512</c:v>
                      </c:pt>
                      <c:pt idx="966">
                        <c:v>-333098.78731110931</c:v>
                      </c:pt>
                      <c:pt idx="967">
                        <c:v>-333349.89503701864</c:v>
                      </c:pt>
                      <c:pt idx="968">
                        <c:v>-333598.6002120481</c:v>
                      </c:pt>
                      <c:pt idx="969">
                        <c:v>-333844.90778772155</c:v>
                      </c:pt>
                      <c:pt idx="970">
                        <c:v>-334088.82266823581</c:v>
                      </c:pt>
                      <c:pt idx="971">
                        <c:v>-334330.34971087304</c:v>
                      </c:pt>
                      <c:pt idx="972">
                        <c:v>-334569.493726407</c:v>
                      </c:pt>
                      <c:pt idx="973">
                        <c:v>-334806.2594795039</c:v>
                      </c:pt>
                      <c:pt idx="974">
                        <c:v>-335040.65168911713</c:v>
                      </c:pt>
                      <c:pt idx="975">
                        <c:v>-335272.67502887669</c:v>
                      </c:pt>
                      <c:pt idx="976">
                        <c:v>-335502.33412747306</c:v>
                      </c:pt>
                      <c:pt idx="977">
                        <c:v>-335729.63356903539</c:v>
                      </c:pt>
                      <c:pt idx="978">
                        <c:v>-335954.57789350481</c:v>
                      </c:pt>
                      <c:pt idx="979">
                        <c:v>-336177.17159700196</c:v>
                      </c:pt>
                      <c:pt idx="980">
                        <c:v>-336397.41913218965</c:v>
                      </c:pt>
                      <c:pt idx="981">
                        <c:v>-336615.32490863046</c:v>
                      </c:pt>
                      <c:pt idx="982">
                        <c:v>-336830.89329313906</c:v>
                      </c:pt>
                      <c:pt idx="983">
                        <c:v>-337044.12861012982</c:v>
                      </c:pt>
                      <c:pt idx="984">
                        <c:v>-337255.03514195926</c:v>
                      </c:pt>
                      <c:pt idx="985">
                        <c:v>-337463.61712926411</c:v>
                      </c:pt>
                      <c:pt idx="986">
                        <c:v>-337669.87877129408</c:v>
                      </c:pt>
                      <c:pt idx="987">
                        <c:v>-337873.82422624051</c:v>
                      </c:pt>
                      <c:pt idx="988">
                        <c:v>-338075.45761156006</c:v>
                      </c:pt>
                      <c:pt idx="989">
                        <c:v>-338274.78300429409</c:v>
                      </c:pt>
                      <c:pt idx="990">
                        <c:v>-338471.80444138334</c:v>
                      </c:pt>
                      <c:pt idx="991">
                        <c:v>-338666.52591997839</c:v>
                      </c:pt>
                      <c:pt idx="992">
                        <c:v>-338858.9513977457</c:v>
                      </c:pt>
                      <c:pt idx="993">
                        <c:v>-339049.08479316946</c:v>
                      </c:pt>
                      <c:pt idx="994">
                        <c:v>-339236.92998584924</c:v>
                      </c:pt>
                      <c:pt idx="995">
                        <c:v>-339422.49081679317</c:v>
                      </c:pt>
                      <c:pt idx="996">
                        <c:v>-339605.77108870749</c:v>
                      </c:pt>
                      <c:pt idx="997">
                        <c:v>-339786.77456628188</c:v>
                      </c:pt>
                      <c:pt idx="998">
                        <c:v>-339965.50497647049</c:v>
                      </c:pt>
                      <c:pt idx="999">
                        <c:v>-340141.96600876958</c:v>
                      </c:pt>
                      <c:pt idx="1000">
                        <c:v>-340316.16131549096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EEA2-4307-AD6A-F1F5CF687DAD}"/>
                  </c:ext>
                </c:extLst>
              </c15:ser>
            </c15:filteredScatterSeries>
          </c:ext>
        </c:extLst>
      </c:scatterChart>
      <c:valAx>
        <c:axId val="722209784"/>
        <c:scaling>
          <c:orientation val="minMax"/>
          <c:max val="50000"/>
          <c:min val="-50000"/>
        </c:scaling>
        <c:delete val="1"/>
        <c:axPos val="b"/>
        <c:numFmt formatCode="General" sourceLinked="1"/>
        <c:majorTickMark val="none"/>
        <c:minorTickMark val="none"/>
        <c:tickLblPos val="nextTo"/>
        <c:crossAx val="722210112"/>
        <c:crosses val="autoZero"/>
        <c:crossBetween val="midCat"/>
      </c:valAx>
      <c:valAx>
        <c:axId val="722210112"/>
        <c:scaling>
          <c:orientation val="minMax"/>
          <c:max val="50000"/>
          <c:min val="-50000"/>
        </c:scaling>
        <c:delete val="1"/>
        <c:axPos val="l"/>
        <c:numFmt formatCode="General" sourceLinked="1"/>
        <c:majorTickMark val="none"/>
        <c:minorTickMark val="none"/>
        <c:tickLblPos val="nextTo"/>
        <c:crossAx val="722209784"/>
        <c:crosses val="autoZero"/>
        <c:crossBetween val="midCat"/>
      </c:valAx>
      <c:spPr>
        <a:blipFill>
          <a:blip xmlns:r="http://schemas.openxmlformats.org/officeDocument/2006/relationships" r:embed="rId3">
            <a:extLst>
              <a:ext uri="{837473B0-CC2E-450A-ABE3-18F120FF3D39}">
                <a1611:picAttrSrcUrl xmlns:a1611="http://schemas.microsoft.com/office/drawing/2016/11/main" r:id="rId4"/>
              </a:ext>
            </a:extLst>
          </a:blip>
          <a:stretch>
            <a:fillRect/>
          </a:stretch>
        </a:blipFill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741897</xdr:colOff>
      <xdr:row>63</xdr:row>
      <xdr:rowOff>11206</xdr:rowOff>
    </xdr:from>
    <xdr:to>
      <xdr:col>8</xdr:col>
      <xdr:colOff>625928</xdr:colOff>
      <xdr:row>91</xdr:row>
      <xdr:rowOff>168087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91036</xdr:colOff>
      <xdr:row>1</xdr:row>
      <xdr:rowOff>167260</xdr:rowOff>
    </xdr:from>
    <xdr:to>
      <xdr:col>21</xdr:col>
      <xdr:colOff>212911</xdr:colOff>
      <xdr:row>35</xdr:row>
      <xdr:rowOff>145676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9525</xdr:rowOff>
        </xdr:from>
        <xdr:to>
          <xdr:col>10</xdr:col>
          <xdr:colOff>0</xdr:colOff>
          <xdr:row>5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Démarrer la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range rouge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D069C-567F-4360-B6D9-55E60FCF4CE8}">
  <sheetPr codeName="Feuil2"/>
  <dimension ref="A2:AM1004"/>
  <sheetViews>
    <sheetView topLeftCell="A3" zoomScale="70" zoomScaleNormal="70" workbookViewId="0">
      <selection activeCell="H17" sqref="H17"/>
    </sheetView>
  </sheetViews>
  <sheetFormatPr baseColWidth="10" defaultColWidth="11.42578125" defaultRowHeight="15"/>
  <cols>
    <col min="2" max="2" width="26.85546875" bestFit="1" customWidth="1"/>
    <col min="6" max="6" width="16.42578125" bestFit="1" customWidth="1"/>
    <col min="7" max="7" width="3.140625" customWidth="1"/>
    <col min="8" max="8" width="11.42578125" customWidth="1"/>
    <col min="9" max="9" width="12.140625" customWidth="1"/>
    <col min="11" max="11" width="15.85546875" customWidth="1"/>
    <col min="31" max="36" width="14" bestFit="1" customWidth="1"/>
  </cols>
  <sheetData>
    <row r="2" spans="1:39">
      <c r="C2" s="1"/>
      <c r="M2" s="52" t="s">
        <v>0</v>
      </c>
      <c r="N2" s="52"/>
      <c r="O2" s="52"/>
      <c r="R2" s="52" t="s">
        <v>1</v>
      </c>
      <c r="S2" s="52"/>
      <c r="V2" s="52" t="s">
        <v>2</v>
      </c>
      <c r="W2" s="52"/>
    </row>
    <row r="3" spans="1:39">
      <c r="I3" s="19"/>
      <c r="J3">
        <f>2*PI()/1000</f>
        <v>6.2831853071795866E-3</v>
      </c>
      <c r="M3" s="32" t="s">
        <v>3</v>
      </c>
      <c r="N3" s="32" t="s">
        <v>4</v>
      </c>
      <c r="O3" s="32" t="s">
        <v>5</v>
      </c>
      <c r="R3" s="32" t="s">
        <v>4</v>
      </c>
      <c r="S3" s="32" t="s">
        <v>5</v>
      </c>
      <c r="V3" s="32" t="s">
        <v>4</v>
      </c>
      <c r="W3" s="32" t="s">
        <v>5</v>
      </c>
      <c r="Y3" s="21" t="s">
        <v>6</v>
      </c>
      <c r="Z3" s="21" t="s">
        <v>7</v>
      </c>
      <c r="AA3" s="21" t="s">
        <v>8</v>
      </c>
      <c r="AB3" s="21" t="s">
        <v>9</v>
      </c>
      <c r="AC3" s="21" t="s">
        <v>10</v>
      </c>
      <c r="AD3" s="21" t="s">
        <v>11</v>
      </c>
      <c r="AE3" s="21" t="s">
        <v>12</v>
      </c>
      <c r="AF3" s="21" t="s">
        <v>13</v>
      </c>
      <c r="AG3" s="21" t="s">
        <v>14</v>
      </c>
      <c r="AH3" s="21" t="s">
        <v>15</v>
      </c>
      <c r="AI3" s="21" t="s">
        <v>16</v>
      </c>
      <c r="AJ3" s="21" t="s">
        <v>17</v>
      </c>
      <c r="AK3" s="21" t="s">
        <v>18</v>
      </c>
      <c r="AL3" s="21" t="s">
        <v>19</v>
      </c>
      <c r="AM3" s="21" t="s">
        <v>20</v>
      </c>
    </row>
    <row r="4" spans="1:39">
      <c r="L4">
        <v>0</v>
      </c>
      <c r="M4" s="37">
        <v>0</v>
      </c>
      <c r="N4" s="37">
        <f>COS(M4)*$D$37+$D$36</f>
        <v>25000</v>
      </c>
      <c r="O4" s="37">
        <f>SIN(M4)*$D$37+$E$36</f>
        <v>7500</v>
      </c>
      <c r="R4" s="37">
        <f>COS(M4)*$D$48+$D$47</f>
        <v>-16500</v>
      </c>
      <c r="S4" s="37">
        <f>SIN(M4)*$D$48+$E$47</f>
        <v>10000</v>
      </c>
      <c r="V4" s="37">
        <f>COS(M4)*$D$57+$D$56</f>
        <v>0</v>
      </c>
      <c r="W4" s="37">
        <f>SIN(M4)*$D$57+$E$56</f>
        <v>-15000</v>
      </c>
      <c r="Y4" s="37">
        <v>0</v>
      </c>
      <c r="Z4" s="37">
        <v>0</v>
      </c>
      <c r="AA4" s="37">
        <v>0</v>
      </c>
      <c r="AB4" s="37">
        <v>0</v>
      </c>
      <c r="AC4" s="37">
        <f>AE4+AG4+AI4</f>
        <v>119.16853330342627</v>
      </c>
      <c r="AD4" s="37">
        <f>AF4+AH4+AJ4</f>
        <v>-760.51678598645651</v>
      </c>
      <c r="AE4" s="39">
        <f>$D$40*($D$36-Y4)/(AK4^2+$D$41^2)^(3/2)</f>
        <v>798.22179539145645</v>
      </c>
      <c r="AF4" s="39">
        <f>$D$40*($E$36-Z4)/(AK4^2+$D$41^2)^(3/2)</f>
        <v>299.33317327179617</v>
      </c>
      <c r="AG4" s="39">
        <f>$D$51*($D$47-Y4)/(AL4^2+$D$52^2)^(3/2)</f>
        <v>-279.23137914452508</v>
      </c>
      <c r="AH4" s="39">
        <f>$D$51*($E$47-Z4)/(AL4^2+$D$52^2)^(3/2)</f>
        <v>139.61568957226254</v>
      </c>
      <c r="AI4" s="39">
        <f>$D$60*($D$56-Y4)/(AM4^2+$D$61^2)^(3/2)</f>
        <v>-399.82188294350505</v>
      </c>
      <c r="AJ4" s="39">
        <f>$D$60*($E$56-Z4)/(AM4^2+$D$61^2)^(3/2)</f>
        <v>-1199.4656488305152</v>
      </c>
      <c r="AK4" s="37">
        <f>SQRT(($D$36-Y4)^2+($E$36-Z4)^2)</f>
        <v>21360.00936329383</v>
      </c>
      <c r="AL4" s="37">
        <f>SQRT(($D$47-Y4)^2+($E$47-Z4)^2)</f>
        <v>22360.679774997898</v>
      </c>
      <c r="AM4" s="37">
        <f>SQRT(($D$56-Y4)^2+($E$56-Z4)^2)</f>
        <v>15811.388300841896</v>
      </c>
    </row>
    <row r="5" spans="1:39">
      <c r="L5">
        <v>1</v>
      </c>
      <c r="M5" s="37">
        <f>M4+$J$3</f>
        <v>6.2831853071795866E-3</v>
      </c>
      <c r="N5" s="37">
        <f t="shared" ref="N5:N68" si="0">COS(M5)*$D$37+$D$36</f>
        <v>24999.901304280684</v>
      </c>
      <c r="O5" s="37">
        <f t="shared" ref="O5:O68" si="1">SIN(M5)*$D$37+$E$36</f>
        <v>7531.4157198277944</v>
      </c>
      <c r="R5" s="37">
        <f t="shared" ref="R5:R68" si="2">COS(M5)*$D$48+$D$47</f>
        <v>-16500.069087003521</v>
      </c>
      <c r="S5" s="37">
        <f t="shared" ref="S5:S68" si="3">SIN(M5)*$D$48+$E$47</f>
        <v>10021.991003879457</v>
      </c>
      <c r="V5" s="37">
        <f t="shared" ref="V5:V68" si="4">COS(M5)*$D$57+$D$56</f>
        <v>-9.8695719314491726E-2</v>
      </c>
      <c r="W5" s="37">
        <f t="shared" ref="W5:W68" si="5">SIN(M5)*$D$57+$E$56</f>
        <v>-14968.584280172205</v>
      </c>
      <c r="Y5" s="37">
        <f>Y4+(AA4*$D$14)+((1/2)*AC4)*$D$14^2</f>
        <v>14.896066662928284</v>
      </c>
      <c r="Z5" s="37">
        <f>Z4+(AB4*$D$14)+((1/2)*AD4)*$D$14^2</f>
        <v>-95.064598248307064</v>
      </c>
      <c r="AA5" s="37">
        <f>AA4+(AC4*$D$14)</f>
        <v>59.584266651713136</v>
      </c>
      <c r="AB5" s="37">
        <f>AB4+(AD4*$D$14)</f>
        <v>-380.25839299322826</v>
      </c>
      <c r="AC5" s="37">
        <f>AE5+AG5+AI5</f>
        <v>112.60116813851005</v>
      </c>
      <c r="AD5" s="37">
        <f>AF5+AH5+AJ5</f>
        <v>-763.33122122422583</v>
      </c>
      <c r="AE5" s="39">
        <f>$D$40*($D$36-Y5)/(AK5^2+$D$41^2)^(3/2)</f>
        <v>795.82523824226018</v>
      </c>
      <c r="AF5" s="39">
        <f>$D$40*($E$36-Z5)/(AK5^2+$D$41^2)^(3/2)</f>
        <v>302.44246482420186</v>
      </c>
      <c r="AG5" s="39">
        <f>$D$51*($D$47-Y5)/(AL5^2+$D$52^2)^(3/2)</f>
        <v>-277.53659386448641</v>
      </c>
      <c r="AH5" s="39">
        <f>$D$51*($E$47-Z5)/(AL5^2+$D$52^2)^(3/2)</f>
        <v>139.983232194067</v>
      </c>
      <c r="AI5" s="39">
        <f>$D$60*($D$56-Y5)/(AM5^2+$D$61^2)^(3/2)</f>
        <v>-405.68747623926379</v>
      </c>
      <c r="AJ5" s="39">
        <f>$D$60*($E$56-Z5)/(AM5^2+$D$61^2)^(3/2)</f>
        <v>-1205.7569182424947</v>
      </c>
      <c r="AK5" s="37">
        <f>SQRT(($D$36-Y5)^2+($E$36-Z5)^2)</f>
        <v>21379.6488623609</v>
      </c>
      <c r="AL5" s="37">
        <f>SQRT(($D$47-Y5)^2+($E$47-Z5)^2)</f>
        <v>22416.654384678492</v>
      </c>
      <c r="AM5" s="37">
        <f>SQRT(($D$56-Y5)^2+($E$56-Z5)^2)</f>
        <v>15725.974751659187</v>
      </c>
    </row>
    <row r="6" spans="1:39">
      <c r="L6">
        <v>2</v>
      </c>
      <c r="M6" s="37">
        <f t="shared" ref="M6:M69" si="6">M5+$J$3</f>
        <v>1.2566370614359173E-2</v>
      </c>
      <c r="N6" s="37">
        <f t="shared" si="0"/>
        <v>24999.605221019083</v>
      </c>
      <c r="O6" s="37">
        <f t="shared" si="1"/>
        <v>7562.8301994167632</v>
      </c>
      <c r="R6" s="37">
        <f t="shared" si="2"/>
        <v>-16500.276345286642</v>
      </c>
      <c r="S6" s="37">
        <f t="shared" si="3"/>
        <v>10043.981139591735</v>
      </c>
      <c r="V6" s="37">
        <f t="shared" si="4"/>
        <v>-0.39477898091899988</v>
      </c>
      <c r="W6" s="37">
        <f t="shared" si="5"/>
        <v>-14937.169800583237</v>
      </c>
      <c r="Y6" s="37">
        <f t="shared" ref="Y6:Y69" si="7">Y5+(AA5*$D$14)+((1/2)*AC5)*$D$14^2</f>
        <v>58.763346006098608</v>
      </c>
      <c r="Z6" s="37">
        <f t="shared" ref="Z6:Z69" si="8">Z5+(AB5*$D$14)+((1/2)*AD5)*$D$14^2</f>
        <v>-380.61019739794943</v>
      </c>
      <c r="AA6" s="37">
        <f t="shared" ref="AA6:AA69" si="9">AA5+(AC5*$D$14)</f>
        <v>115.88485072096816</v>
      </c>
      <c r="AB6" s="37">
        <f t="shared" ref="AB6:AB69" si="10">AB5+(AD5*$D$14)</f>
        <v>-761.92400360534111</v>
      </c>
      <c r="AC6" s="37">
        <f t="shared" ref="AC6:AC69" si="11">AE6+AG6+AI6</f>
        <v>92.146298330016805</v>
      </c>
      <c r="AD6" s="37">
        <f t="shared" ref="AD6:AD69" si="12">AF6+AH6+AJ6</f>
        <v>-772.07890139735071</v>
      </c>
      <c r="AE6" s="39">
        <f t="shared" ref="AE6:AE69" si="13">$D$40*($D$36-Y6)/(AK6^2+$D$41^2)^(3/2)</f>
        <v>788.40883777648992</v>
      </c>
      <c r="AF6" s="39">
        <f t="shared" ref="AF6:AF69" si="14">$D$40*($E$36-Z6)/(AK6^2+$D$41^2)^(3/2)</f>
        <v>311.57258872687225</v>
      </c>
      <c r="AG6" s="39">
        <f t="shared" ref="AG6:AG69" si="15">$D$51*($D$47-Y6)/(AL6^2+$D$52^2)^(3/2)</f>
        <v>-272.4895036118682</v>
      </c>
      <c r="AH6" s="39">
        <f t="shared" ref="AH6:AH69" si="16">$D$51*($E$47-Z6)/(AL6^2+$D$52^2)^(3/2)</f>
        <v>141.01603728429595</v>
      </c>
      <c r="AI6" s="39">
        <f t="shared" ref="AI6:AI69" si="17">$D$60*($D$56-Y6)/(AM6^2+$D$61^2)^(3/2)</f>
        <v>-423.77303583460485</v>
      </c>
      <c r="AJ6" s="39">
        <f t="shared" ref="AJ6:AJ69" si="18">$D$60*($E$56-Z6)/(AM6^2+$D$61^2)^(3/2)</f>
        <v>-1224.6675274085189</v>
      </c>
      <c r="AK6" s="37">
        <f t="shared" ref="AK6:AK69" si="19">SQRT(($D$36-Y6)^2+($E$36-Z6)^2)</f>
        <v>21441.943390791854</v>
      </c>
      <c r="AL6" s="37">
        <f t="shared" ref="AL6:AL69" si="20">SQRT(($D$47-Y6)^2+($E$47-Z6)^2)</f>
        <v>22585.638247377468</v>
      </c>
      <c r="AM6" s="37">
        <f t="shared" ref="AM6:AM69" si="21">SQRT(($D$56-Y6)^2+($E$56-Z6)^2)</f>
        <v>15469.894789277645</v>
      </c>
    </row>
    <row r="7" spans="1:39">
      <c r="L7">
        <v>3</v>
      </c>
      <c r="M7" s="37">
        <f t="shared" si="6"/>
        <v>1.8849555921538759E-2</v>
      </c>
      <c r="N7" s="37">
        <f t="shared" si="0"/>
        <v>24999.111761904045</v>
      </c>
      <c r="O7" s="37">
        <f t="shared" si="1"/>
        <v>7594.2421985770407</v>
      </c>
      <c r="R7" s="37">
        <f t="shared" si="2"/>
        <v>-16500.621766667169</v>
      </c>
      <c r="S7" s="37">
        <f t="shared" si="3"/>
        <v>10065.969539003929</v>
      </c>
      <c r="V7" s="37">
        <f t="shared" si="4"/>
        <v>-0.88823809595487546</v>
      </c>
      <c r="W7" s="37">
        <f t="shared" si="5"/>
        <v>-14905.757801422958</v>
      </c>
      <c r="Y7" s="37">
        <f t="shared" si="7"/>
        <v>128.2240586578348</v>
      </c>
      <c r="Z7" s="37">
        <f t="shared" si="8"/>
        <v>-858.08206187528879</v>
      </c>
      <c r="AA7" s="37">
        <f t="shared" si="9"/>
        <v>161.95799988597656</v>
      </c>
      <c r="AB7" s="37">
        <f t="shared" si="10"/>
        <v>-1147.9634543040165</v>
      </c>
      <c r="AC7" s="37">
        <f t="shared" si="11"/>
        <v>55.493464814631807</v>
      </c>
      <c r="AD7" s="37">
        <f t="shared" si="12"/>
        <v>-787.69775044318101</v>
      </c>
      <c r="AE7" s="39">
        <f t="shared" si="13"/>
        <v>775.27663424571824</v>
      </c>
      <c r="AF7" s="39">
        <f t="shared" si="14"/>
        <v>326.0818634835378</v>
      </c>
      <c r="AG7" s="39">
        <f t="shared" si="15"/>
        <v>-264.21336898309431</v>
      </c>
      <c r="AH7" s="39">
        <f t="shared" si="16"/>
        <v>142.52874142808358</v>
      </c>
      <c r="AI7" s="39">
        <f t="shared" si="17"/>
        <v>-455.56980044799212</v>
      </c>
      <c r="AJ7" s="39">
        <f t="shared" si="18"/>
        <v>-1256.3083553548024</v>
      </c>
      <c r="AK7" s="37">
        <f t="shared" si="19"/>
        <v>21557.945514727206</v>
      </c>
      <c r="AL7" s="37">
        <f t="shared" si="20"/>
        <v>22870.141010014562</v>
      </c>
      <c r="AM7" s="37">
        <f t="shared" si="21"/>
        <v>15043.022467724048</v>
      </c>
    </row>
    <row r="8" spans="1:39">
      <c r="L8">
        <v>4</v>
      </c>
      <c r="M8" s="37">
        <f t="shared" si="6"/>
        <v>2.5132741228718346E-2</v>
      </c>
      <c r="N8" s="37">
        <f t="shared" si="0"/>
        <v>24998.4209464165</v>
      </c>
      <c r="O8" s="37">
        <f t="shared" si="1"/>
        <v>7625.6504772166872</v>
      </c>
      <c r="R8" s="37">
        <f t="shared" si="2"/>
        <v>-16501.105337508452</v>
      </c>
      <c r="S8" s="37">
        <f t="shared" si="3"/>
        <v>10087.955334051681</v>
      </c>
      <c r="V8" s="37">
        <f t="shared" si="4"/>
        <v>-1.5790535835003539</v>
      </c>
      <c r="W8" s="37">
        <f t="shared" si="5"/>
        <v>-14874.349522783312</v>
      </c>
      <c r="Y8" s="37">
        <f t="shared" si="7"/>
        <v>216.13974170265206</v>
      </c>
      <c r="Z8" s="37">
        <f t="shared" si="8"/>
        <v>-1530.5260078326946</v>
      </c>
      <c r="AA8" s="37">
        <f t="shared" si="9"/>
        <v>189.70473229329247</v>
      </c>
      <c r="AB8" s="37">
        <f t="shared" si="10"/>
        <v>-1541.8123295256071</v>
      </c>
      <c r="AC8" s="37">
        <f t="shared" si="11"/>
        <v>-1.316856642802918</v>
      </c>
      <c r="AD8" s="37">
        <f t="shared" si="12"/>
        <v>-811.67785049592158</v>
      </c>
      <c r="AE8" s="39">
        <f t="shared" si="13"/>
        <v>755.32322118471382</v>
      </c>
      <c r="AF8" s="39">
        <f t="shared" si="14"/>
        <v>344.77427075273715</v>
      </c>
      <c r="AG8" s="39">
        <f t="shared" si="15"/>
        <v>-252.93026836046505</v>
      </c>
      <c r="AH8" s="39">
        <f t="shared" si="16"/>
        <v>144.26191522026039</v>
      </c>
      <c r="AI8" s="39">
        <f t="shared" si="17"/>
        <v>-503.70980946705168</v>
      </c>
      <c r="AJ8" s="39">
        <f t="shared" si="18"/>
        <v>-1300.7140364689192</v>
      </c>
      <c r="AK8" s="37">
        <f t="shared" si="19"/>
        <v>21747.448739978212</v>
      </c>
      <c r="AL8" s="37">
        <f t="shared" si="20"/>
        <v>23273.27514711575</v>
      </c>
      <c r="AM8" s="37">
        <f t="shared" si="21"/>
        <v>14444.197569634711</v>
      </c>
    </row>
    <row r="9" spans="1:39">
      <c r="L9">
        <v>5</v>
      </c>
      <c r="M9" s="37">
        <f t="shared" si="6"/>
        <v>3.1415926535897934E-2</v>
      </c>
      <c r="N9" s="37">
        <f t="shared" si="0"/>
        <v>24997.53280182866</v>
      </c>
      <c r="O9" s="37">
        <f t="shared" si="1"/>
        <v>7657.0537953906414</v>
      </c>
      <c r="R9" s="37">
        <f t="shared" si="2"/>
        <v>-16501.727038719939</v>
      </c>
      <c r="S9" s="37">
        <f t="shared" si="3"/>
        <v>10109.937656773449</v>
      </c>
      <c r="V9" s="37">
        <f t="shared" si="4"/>
        <v>-2.4671981713418063</v>
      </c>
      <c r="W9" s="37">
        <f t="shared" si="5"/>
        <v>-14842.946204609358</v>
      </c>
      <c r="Y9" s="37">
        <f t="shared" si="7"/>
        <v>310.82750076894791</v>
      </c>
      <c r="Z9" s="37">
        <f t="shared" si="8"/>
        <v>-2402.8919039074885</v>
      </c>
      <c r="AA9" s="37">
        <f t="shared" si="9"/>
        <v>189.04630397189101</v>
      </c>
      <c r="AB9" s="37">
        <f t="shared" si="10"/>
        <v>-1947.6512547735679</v>
      </c>
      <c r="AC9" s="37">
        <f t="shared" si="11"/>
        <v>-83.964205813722913</v>
      </c>
      <c r="AD9" s="37">
        <f t="shared" si="12"/>
        <v>-845.65329638356138</v>
      </c>
      <c r="AE9" s="39">
        <f t="shared" si="13"/>
        <v>727.24210333376709</v>
      </c>
      <c r="AF9" s="39">
        <f t="shared" si="14"/>
        <v>365.77463768809361</v>
      </c>
      <c r="AG9" s="39">
        <f t="shared" si="15"/>
        <v>-238.95985187350044</v>
      </c>
      <c r="AH9" s="39">
        <f t="shared" si="16"/>
        <v>145.9218346494531</v>
      </c>
      <c r="AI9" s="39">
        <f t="shared" si="17"/>
        <v>-572.24645727398956</v>
      </c>
      <c r="AJ9" s="39">
        <f t="shared" si="18"/>
        <v>-1357.3497687211081</v>
      </c>
      <c r="AK9" s="37">
        <f t="shared" si="19"/>
        <v>22039.300845647369</v>
      </c>
      <c r="AL9" s="37">
        <f t="shared" si="20"/>
        <v>23798.349550882853</v>
      </c>
      <c r="AM9" s="37">
        <f t="shared" si="21"/>
        <v>13670.845662487864</v>
      </c>
    </row>
    <row r="10" spans="1:39">
      <c r="L10">
        <v>6</v>
      </c>
      <c r="M10" s="37">
        <f t="shared" si="6"/>
        <v>3.7699111843077518E-2</v>
      </c>
      <c r="N10" s="37">
        <f t="shared" si="0"/>
        <v>24996.447363202948</v>
      </c>
      <c r="O10" s="37">
        <f t="shared" si="1"/>
        <v>7688.4509133496731</v>
      </c>
      <c r="R10" s="37">
        <f t="shared" si="2"/>
        <v>-16502.486845757936</v>
      </c>
      <c r="S10" s="37">
        <f t="shared" si="3"/>
        <v>10131.91563934477</v>
      </c>
      <c r="V10" s="37">
        <f t="shared" si="4"/>
        <v>-3.5526367970542196</v>
      </c>
      <c r="W10" s="37">
        <f t="shared" si="5"/>
        <v>-14811.549086650328</v>
      </c>
      <c r="Y10" s="37">
        <f t="shared" si="7"/>
        <v>394.85512702817806</v>
      </c>
      <c r="Z10" s="37">
        <f t="shared" si="8"/>
        <v>-3482.4241933422177</v>
      </c>
      <c r="AA10" s="37">
        <f t="shared" si="9"/>
        <v>147.06420106502955</v>
      </c>
      <c r="AB10" s="37">
        <f t="shared" si="10"/>
        <v>-2370.4779029653487</v>
      </c>
      <c r="AC10" s="37">
        <f t="shared" si="11"/>
        <v>-199.84481721265126</v>
      </c>
      <c r="AD10" s="37">
        <f t="shared" si="12"/>
        <v>-890.31902387599314</v>
      </c>
      <c r="AE10" s="39">
        <f t="shared" si="13"/>
        <v>689.86190376956461</v>
      </c>
      <c r="AF10" s="39">
        <f t="shared" si="14"/>
        <v>386.4473387528472</v>
      </c>
      <c r="AG10" s="39">
        <f t="shared" si="15"/>
        <v>-222.70655944156962</v>
      </c>
      <c r="AH10" s="39">
        <f t="shared" si="16"/>
        <v>147.22459592526414</v>
      </c>
      <c r="AI10" s="39">
        <f t="shared" si="17"/>
        <v>-667.00016154064622</v>
      </c>
      <c r="AJ10" s="39">
        <f t="shared" si="18"/>
        <v>-1423.9909585541045</v>
      </c>
      <c r="AK10" s="37">
        <f t="shared" si="19"/>
        <v>22471.656517771931</v>
      </c>
      <c r="AL10" s="37">
        <f t="shared" si="20"/>
        <v>24448.433033257716</v>
      </c>
      <c r="AM10" s="37">
        <f t="shared" si="21"/>
        <v>12718.451725887506</v>
      </c>
    </row>
    <row r="11" spans="1:39">
      <c r="A11" s="2"/>
      <c r="B11" s="3"/>
      <c r="C11" s="4"/>
      <c r="D11" s="5"/>
      <c r="E11" s="4"/>
      <c r="F11" s="5"/>
      <c r="G11" s="4"/>
      <c r="H11" s="7"/>
      <c r="I11" s="8"/>
      <c r="L11">
        <v>7</v>
      </c>
      <c r="M11" s="37">
        <f t="shared" si="6"/>
        <v>4.3982297150257102E-2</v>
      </c>
      <c r="N11" s="37">
        <f t="shared" si="0"/>
        <v>24995.164673390624</v>
      </c>
      <c r="O11" s="37">
        <f t="shared" si="1"/>
        <v>7719.8405915893245</v>
      </c>
      <c r="R11" s="37">
        <f t="shared" si="2"/>
        <v>-16503.384728626563</v>
      </c>
      <c r="S11" s="37">
        <f t="shared" si="3"/>
        <v>10153.888414112527</v>
      </c>
      <c r="V11" s="37">
        <f t="shared" si="4"/>
        <v>-4.8353266093763523</v>
      </c>
      <c r="W11" s="37">
        <f t="shared" si="5"/>
        <v>-14780.159408410676</v>
      </c>
      <c r="Y11" s="37">
        <f t="shared" si="7"/>
        <v>443.40662540911143</v>
      </c>
      <c r="Z11" s="37">
        <f t="shared" si="8"/>
        <v>-4778.9530228093909</v>
      </c>
      <c r="AA11" s="37">
        <f t="shared" si="9"/>
        <v>47.141792458703918</v>
      </c>
      <c r="AB11" s="37">
        <f t="shared" si="10"/>
        <v>-2815.6374149033454</v>
      </c>
      <c r="AC11" s="37">
        <f t="shared" si="11"/>
        <v>-357.75553329731315</v>
      </c>
      <c r="AD11" s="37">
        <f t="shared" si="12"/>
        <v>-942.73052379080036</v>
      </c>
      <c r="AE11" s="39">
        <f t="shared" si="13"/>
        <v>642.60853053385199</v>
      </c>
      <c r="AF11" s="39">
        <f t="shared" si="14"/>
        <v>403.47313089475165</v>
      </c>
      <c r="AG11" s="39">
        <f t="shared" si="15"/>
        <v>-204.63366046169691</v>
      </c>
      <c r="AH11" s="39">
        <f t="shared" si="16"/>
        <v>147.93382092640465</v>
      </c>
      <c r="AI11" s="39">
        <f t="shared" si="17"/>
        <v>-795.73040336946826</v>
      </c>
      <c r="AJ11" s="39">
        <f t="shared" si="18"/>
        <v>-1494.1374756119567</v>
      </c>
      <c r="AK11" s="37">
        <f t="shared" si="19"/>
        <v>23091.839072612907</v>
      </c>
      <c r="AL11" s="37">
        <f t="shared" si="20"/>
        <v>25225.985152263685</v>
      </c>
      <c r="AM11" s="37">
        <f t="shared" si="21"/>
        <v>11580.176034909189</v>
      </c>
    </row>
    <row r="12" spans="1:39">
      <c r="A12" s="2"/>
      <c r="B12" s="20"/>
      <c r="C12" s="20"/>
      <c r="D12" s="6"/>
      <c r="E12" s="20"/>
      <c r="F12" s="6"/>
      <c r="G12" s="6"/>
      <c r="H12" s="9"/>
      <c r="I12" s="4"/>
      <c r="J12" s="5"/>
      <c r="L12">
        <v>8</v>
      </c>
      <c r="M12" s="37">
        <f t="shared" si="6"/>
        <v>5.0265482457436686E-2</v>
      </c>
      <c r="N12" s="37">
        <f t="shared" si="0"/>
        <v>24993.684783030087</v>
      </c>
      <c r="O12" s="37">
        <f t="shared" si="1"/>
        <v>7751.2215908988474</v>
      </c>
      <c r="R12" s="37">
        <f t="shared" si="2"/>
        <v>-16504.42065187894</v>
      </c>
      <c r="S12" s="37">
        <f t="shared" si="3"/>
        <v>10175.855113629194</v>
      </c>
      <c r="V12" s="37">
        <f t="shared" si="4"/>
        <v>-6.3152169699123988</v>
      </c>
      <c r="W12" s="37">
        <f t="shared" si="5"/>
        <v>-14748.778409101153</v>
      </c>
      <c r="Y12" s="37">
        <f t="shared" si="7"/>
        <v>422.2580799762992</v>
      </c>
      <c r="Z12" s="37">
        <f t="shared" si="8"/>
        <v>-6304.6130457349136</v>
      </c>
      <c r="AA12" s="37">
        <f t="shared" si="9"/>
        <v>-131.73597418995266</v>
      </c>
      <c r="AB12" s="37">
        <f t="shared" si="10"/>
        <v>-3287.0026767987456</v>
      </c>
      <c r="AC12" s="37">
        <f t="shared" si="11"/>
        <v>-566.40680704753868</v>
      </c>
      <c r="AD12" s="37">
        <f t="shared" si="12"/>
        <v>-989.94508802537234</v>
      </c>
      <c r="AE12" s="39">
        <f t="shared" si="13"/>
        <v>586.01836897302167</v>
      </c>
      <c r="AF12" s="39">
        <f t="shared" si="14"/>
        <v>413.21194519840094</v>
      </c>
      <c r="AG12" s="39">
        <f t="shared" si="15"/>
        <v>-185.22979369488903</v>
      </c>
      <c r="AH12" s="39">
        <f t="shared" si="16"/>
        <v>147.88277079397184</v>
      </c>
      <c r="AI12" s="39">
        <f t="shared" si="17"/>
        <v>-967.19538232567129</v>
      </c>
      <c r="AJ12" s="39">
        <f t="shared" si="18"/>
        <v>-1551.0398040177452</v>
      </c>
      <c r="AK12" s="37">
        <f t="shared" si="19"/>
        <v>23955.277498487216</v>
      </c>
      <c r="AL12" s="37">
        <f t="shared" si="20"/>
        <v>26132.528229321906</v>
      </c>
      <c r="AM12" s="37">
        <f t="shared" si="21"/>
        <v>10247.469783818429</v>
      </c>
    </row>
    <row r="13" spans="1:39">
      <c r="B13" s="53" t="s">
        <v>21</v>
      </c>
      <c r="C13" s="54"/>
      <c r="D13" s="54"/>
      <c r="E13" s="54"/>
      <c r="F13" s="55"/>
      <c r="H13" s="14"/>
      <c r="I13" s="9"/>
      <c r="L13">
        <v>9</v>
      </c>
      <c r="M13" s="37">
        <f t="shared" si="6"/>
        <v>5.654866776461627E-2</v>
      </c>
      <c r="N13" s="37">
        <f t="shared" si="0"/>
        <v>24992.007750544875</v>
      </c>
      <c r="O13" s="37">
        <f t="shared" si="1"/>
        <v>7782.5926724101228</v>
      </c>
      <c r="R13" s="37">
        <f t="shared" si="2"/>
        <v>-16505.594574618586</v>
      </c>
      <c r="S13" s="37">
        <f t="shared" si="3"/>
        <v>10197.814870687085</v>
      </c>
      <c r="V13" s="37">
        <f t="shared" si="4"/>
        <v>-7.9922494551246928</v>
      </c>
      <c r="W13" s="37">
        <f t="shared" si="5"/>
        <v>-14717.407327589877</v>
      </c>
      <c r="Y13" s="37">
        <f t="shared" si="7"/>
        <v>285.58924200038052</v>
      </c>
      <c r="Z13" s="37">
        <f t="shared" si="8"/>
        <v>-8071.8575201374579</v>
      </c>
      <c r="AA13" s="37">
        <f t="shared" si="9"/>
        <v>-414.93937771372202</v>
      </c>
      <c r="AB13" s="37">
        <f t="shared" si="10"/>
        <v>-3781.9752208114319</v>
      </c>
      <c r="AC13" s="37">
        <f t="shared" si="11"/>
        <v>-828.77600778486442</v>
      </c>
      <c r="AD13" s="37">
        <f t="shared" si="12"/>
        <v>-995.06934178179347</v>
      </c>
      <c r="AE13" s="39">
        <f t="shared" si="13"/>
        <v>522.13276740854087</v>
      </c>
      <c r="AF13" s="39">
        <f t="shared" si="14"/>
        <v>412.41795965835206</v>
      </c>
      <c r="AG13" s="39">
        <f t="shared" si="15"/>
        <v>-164.98248751021697</v>
      </c>
      <c r="AH13" s="39">
        <f t="shared" si="16"/>
        <v>146.97823031087296</v>
      </c>
      <c r="AI13" s="39">
        <f t="shared" si="17"/>
        <v>-1185.9262876831883</v>
      </c>
      <c r="AJ13" s="39">
        <f t="shared" si="18"/>
        <v>-1554.4655317510185</v>
      </c>
      <c r="AK13" s="37">
        <f t="shared" si="19"/>
        <v>25122.514566869948</v>
      </c>
      <c r="AL13" s="37">
        <f t="shared" si="20"/>
        <v>27167.943704360667</v>
      </c>
      <c r="AM13" s="37">
        <f t="shared" si="21"/>
        <v>8714.1615693321892</v>
      </c>
    </row>
    <row r="14" spans="1:39">
      <c r="B14" s="21" t="s">
        <v>22</v>
      </c>
      <c r="C14" s="24" t="s">
        <v>23</v>
      </c>
      <c r="D14" s="41">
        <v>0.5</v>
      </c>
      <c r="E14" s="41"/>
      <c r="F14" s="32" t="s">
        <v>24</v>
      </c>
      <c r="H14" s="17"/>
      <c r="I14" s="16"/>
      <c r="L14">
        <v>10</v>
      </c>
      <c r="M14" s="37">
        <f t="shared" si="6"/>
        <v>6.2831853071795854E-2</v>
      </c>
      <c r="N14" s="37">
        <f t="shared" si="0"/>
        <v>24990.133642141358</v>
      </c>
      <c r="O14" s="37">
        <f t="shared" si="1"/>
        <v>7813.9525976465666</v>
      </c>
      <c r="R14" s="37">
        <f t="shared" si="2"/>
        <v>-16506.90645050105</v>
      </c>
      <c r="S14" s="37">
        <f t="shared" si="3"/>
        <v>10219.766818352597</v>
      </c>
      <c r="V14" s="37">
        <f t="shared" si="4"/>
        <v>-9.8663578586420044</v>
      </c>
      <c r="W14" s="37">
        <f t="shared" si="5"/>
        <v>-14686.047402353433</v>
      </c>
      <c r="Y14" s="37">
        <f t="shared" si="7"/>
        <v>-25.477447829588542</v>
      </c>
      <c r="Z14" s="37">
        <f t="shared" si="8"/>
        <v>-10087.228798265898</v>
      </c>
      <c r="AA14" s="37">
        <f t="shared" si="9"/>
        <v>-829.32738160615418</v>
      </c>
      <c r="AB14" s="37">
        <f t="shared" si="10"/>
        <v>-4279.5098917023288</v>
      </c>
      <c r="AC14" s="37">
        <f t="shared" si="11"/>
        <v>-1123.6291357065463</v>
      </c>
      <c r="AD14" s="37">
        <f t="shared" si="12"/>
        <v>-871.60038634060777</v>
      </c>
      <c r="AE14" s="39">
        <f t="shared" si="13"/>
        <v>454.55698178624539</v>
      </c>
      <c r="AF14" s="39">
        <f t="shared" si="14"/>
        <v>399.21133772470108</v>
      </c>
      <c r="AG14" s="39">
        <f t="shared" si="15"/>
        <v>-144.38057391759932</v>
      </c>
      <c r="AH14" s="39">
        <f t="shared" si="16"/>
        <v>145.19524132468567</v>
      </c>
      <c r="AI14" s="39">
        <f t="shared" si="17"/>
        <v>-1433.8055435751924</v>
      </c>
      <c r="AJ14" s="39">
        <f t="shared" si="18"/>
        <v>-1416.0069653899945</v>
      </c>
      <c r="AK14" s="37">
        <f t="shared" si="19"/>
        <v>26652.02363454011</v>
      </c>
      <c r="AL14" s="37">
        <f t="shared" si="20"/>
        <v>28328.0481498646</v>
      </c>
      <c r="AM14" s="37">
        <f t="shared" si="21"/>
        <v>6991.5088144577176</v>
      </c>
    </row>
    <row r="15" spans="1:39">
      <c r="B15" s="21" t="s">
        <v>25</v>
      </c>
      <c r="C15" s="24" t="s">
        <v>26</v>
      </c>
      <c r="D15" s="41">
        <v>0</v>
      </c>
      <c r="E15" s="41"/>
      <c r="F15" s="32" t="s">
        <v>27</v>
      </c>
      <c r="H15" s="17"/>
      <c r="I15" s="16"/>
      <c r="J15" s="15"/>
      <c r="L15">
        <v>11</v>
      </c>
      <c r="M15" s="37">
        <f t="shared" si="6"/>
        <v>6.9115038378975438E-2</v>
      </c>
      <c r="N15" s="37">
        <f t="shared" si="0"/>
        <v>24988.062531806128</v>
      </c>
      <c r="O15" s="37">
        <f t="shared" si="1"/>
        <v>7845.3001285720293</v>
      </c>
      <c r="R15" s="37">
        <f t="shared" si="2"/>
        <v>-16508.356227735712</v>
      </c>
      <c r="S15" s="37">
        <f t="shared" si="3"/>
        <v>10241.710090000421</v>
      </c>
      <c r="V15" s="37">
        <f t="shared" si="4"/>
        <v>-11.937468193873428</v>
      </c>
      <c r="W15" s="37">
        <f t="shared" si="5"/>
        <v>-14654.699871427971</v>
      </c>
      <c r="Y15" s="37">
        <f t="shared" si="7"/>
        <v>-580.59478059598393</v>
      </c>
      <c r="Z15" s="37">
        <f t="shared" si="8"/>
        <v>-12335.933792409638</v>
      </c>
      <c r="AA15" s="37">
        <f t="shared" si="9"/>
        <v>-1391.1419494594275</v>
      </c>
      <c r="AB15" s="37">
        <f t="shared" si="10"/>
        <v>-4715.3100848726326</v>
      </c>
      <c r="AC15" s="37">
        <f t="shared" si="11"/>
        <v>-1359.8455053048287</v>
      </c>
      <c r="AD15" s="37">
        <f t="shared" si="12"/>
        <v>-462.32608673715208</v>
      </c>
      <c r="AE15" s="39">
        <f t="shared" si="13"/>
        <v>388.04730664497799</v>
      </c>
      <c r="AF15" s="39">
        <f t="shared" si="14"/>
        <v>374.00671676359411</v>
      </c>
      <c r="AG15" s="39">
        <f t="shared" si="15"/>
        <v>-123.96839267233052</v>
      </c>
      <c r="AH15" s="39">
        <f t="shared" si="16"/>
        <v>142.58674659684527</v>
      </c>
      <c r="AI15" s="39">
        <f t="shared" si="17"/>
        <v>-1623.9244192774761</v>
      </c>
      <c r="AJ15" s="39">
        <f t="shared" si="18"/>
        <v>-978.91955009759147</v>
      </c>
      <c r="AK15" s="37">
        <f t="shared" si="19"/>
        <v>28583.651812530064</v>
      </c>
      <c r="AL15" s="37">
        <f t="shared" si="20"/>
        <v>29597.419439105208</v>
      </c>
      <c r="AM15" s="37">
        <f t="shared" si="21"/>
        <v>5160.2704630397375</v>
      </c>
    </row>
    <row r="16" spans="1:39">
      <c r="B16" s="51" t="s">
        <v>28</v>
      </c>
      <c r="C16" s="51"/>
      <c r="D16" s="41">
        <v>2</v>
      </c>
      <c r="E16" s="41"/>
      <c r="F16" s="32" t="s">
        <v>29</v>
      </c>
      <c r="H16" s="14"/>
      <c r="I16" s="9"/>
      <c r="L16">
        <v>12</v>
      </c>
      <c r="M16" s="37">
        <f t="shared" si="6"/>
        <v>7.5398223686155022E-2</v>
      </c>
      <c r="N16" s="37">
        <f t="shared" si="0"/>
        <v>24985.794501303069</v>
      </c>
      <c r="O16" s="37">
        <f t="shared" si="1"/>
        <v>7876.6340276396631</v>
      </c>
      <c r="R16" s="37">
        <f t="shared" si="2"/>
        <v>-16509.943849087853</v>
      </c>
      <c r="S16" s="37">
        <f t="shared" si="3"/>
        <v>10263.643819347764</v>
      </c>
      <c r="V16" s="37">
        <f t="shared" si="4"/>
        <v>-14.20549869693059</v>
      </c>
      <c r="W16" s="37">
        <f t="shared" si="5"/>
        <v>-14623.365972360336</v>
      </c>
      <c r="Y16" s="37">
        <f t="shared" si="7"/>
        <v>-1446.1464434888014</v>
      </c>
      <c r="Z16" s="37">
        <f t="shared" si="8"/>
        <v>-14751.379595688099</v>
      </c>
      <c r="AA16" s="37">
        <f t="shared" si="9"/>
        <v>-2071.0647021118421</v>
      </c>
      <c r="AB16" s="37">
        <f t="shared" si="10"/>
        <v>-4946.4731282412085</v>
      </c>
      <c r="AC16" s="37">
        <f t="shared" si="11"/>
        <v>-1332.2496091808098</v>
      </c>
      <c r="AD16" s="37">
        <f t="shared" si="12"/>
        <v>370.49150591336115</v>
      </c>
      <c r="AE16" s="39">
        <f t="shared" si="13"/>
        <v>327.66607473698099</v>
      </c>
      <c r="AF16" s="39">
        <f t="shared" si="14"/>
        <v>339.96887174177044</v>
      </c>
      <c r="AG16" s="39">
        <f t="shared" si="15"/>
        <v>-104.45037905727231</v>
      </c>
      <c r="AH16" s="39">
        <f t="shared" si="16"/>
        <v>139.33983973118018</v>
      </c>
      <c r="AI16" s="39">
        <f t="shared" si="17"/>
        <v>-1555.4653048605185</v>
      </c>
      <c r="AJ16" s="39">
        <f t="shared" si="18"/>
        <v>-108.81720555958944</v>
      </c>
      <c r="AK16" s="37">
        <f t="shared" si="19"/>
        <v>30904.062697111072</v>
      </c>
      <c r="AL16" s="37">
        <f t="shared" si="20"/>
        <v>30933.416780018153</v>
      </c>
      <c r="AM16" s="37">
        <f t="shared" si="21"/>
        <v>3562.5394322824709</v>
      </c>
    </row>
    <row r="17" spans="2:39">
      <c r="H17" s="11"/>
      <c r="I17" s="12"/>
      <c r="L17">
        <v>13</v>
      </c>
      <c r="M17" s="37">
        <f t="shared" si="6"/>
        <v>8.1681408993334606E-2</v>
      </c>
      <c r="N17" s="37">
        <f t="shared" si="0"/>
        <v>24983.329640170148</v>
      </c>
      <c r="O17" s="37">
        <f t="shared" si="1"/>
        <v>7907.9530578407876</v>
      </c>
      <c r="R17" s="37">
        <f t="shared" si="2"/>
        <v>-16511.669251880896</v>
      </c>
      <c r="S17" s="37">
        <f t="shared" si="3"/>
        <v>10285.567140488551</v>
      </c>
      <c r="V17" s="37">
        <f t="shared" si="4"/>
        <v>-16.670359829850895</v>
      </c>
      <c r="W17" s="37">
        <f t="shared" si="5"/>
        <v>-14592.046942159212</v>
      </c>
      <c r="Y17" s="37">
        <f t="shared" si="7"/>
        <v>-2648.2099956923234</v>
      </c>
      <c r="Z17" s="37">
        <f t="shared" si="8"/>
        <v>-17178.304721569533</v>
      </c>
      <c r="AA17" s="37">
        <f t="shared" si="9"/>
        <v>-2737.1895067022469</v>
      </c>
      <c r="AB17" s="37">
        <f t="shared" si="10"/>
        <v>-4761.2273752845276</v>
      </c>
      <c r="AC17" s="37">
        <f t="shared" si="11"/>
        <v>-872.47773551196622</v>
      </c>
      <c r="AD17" s="37">
        <f t="shared" si="12"/>
        <v>1423.2819869014561</v>
      </c>
      <c r="AE17" s="39">
        <f t="shared" si="13"/>
        <v>277.61756850883444</v>
      </c>
      <c r="AF17" s="39">
        <f t="shared" si="14"/>
        <v>302.50209411804741</v>
      </c>
      <c r="AG17" s="39">
        <f t="shared" si="15"/>
        <v>-86.745678154182187</v>
      </c>
      <c r="AH17" s="39">
        <f t="shared" si="16"/>
        <v>135.87073573206416</v>
      </c>
      <c r="AI17" s="39">
        <f t="shared" si="17"/>
        <v>-1063.3496258666185</v>
      </c>
      <c r="AJ17" s="39">
        <f t="shared" si="18"/>
        <v>984.90915705134455</v>
      </c>
      <c r="AK17" s="37">
        <f t="shared" si="19"/>
        <v>33495.673451053626</v>
      </c>
      <c r="AL17" s="37">
        <f t="shared" si="20"/>
        <v>32245.0750331284</v>
      </c>
      <c r="AM17" s="37">
        <f t="shared" si="21"/>
        <v>3205.6087852970495</v>
      </c>
    </row>
    <row r="18" spans="2:39">
      <c r="H18" s="2"/>
      <c r="I18" s="9"/>
      <c r="L18">
        <v>14</v>
      </c>
      <c r="M18" s="37">
        <f t="shared" si="6"/>
        <v>8.796459430051419E-2</v>
      </c>
      <c r="N18" s="37">
        <f t="shared" si="0"/>
        <v>24980.668045715862</v>
      </c>
      <c r="O18" s="37">
        <f t="shared" si="1"/>
        <v>7939.2559827537161</v>
      </c>
      <c r="R18" s="37">
        <f t="shared" si="2"/>
        <v>-16513.532367998894</v>
      </c>
      <c r="S18" s="37">
        <f t="shared" si="3"/>
        <v>10307.479187927602</v>
      </c>
      <c r="V18" s="37">
        <f t="shared" si="4"/>
        <v>-19.331954284137282</v>
      </c>
      <c r="W18" s="37">
        <f t="shared" si="5"/>
        <v>-14560.744017246285</v>
      </c>
      <c r="Y18" s="37">
        <f t="shared" si="7"/>
        <v>-4125.8644659824431</v>
      </c>
      <c r="Z18" s="37">
        <f t="shared" si="8"/>
        <v>-19381.008160849116</v>
      </c>
      <c r="AA18" s="37">
        <f t="shared" si="9"/>
        <v>-3173.4283744582299</v>
      </c>
      <c r="AB18" s="37">
        <f t="shared" si="10"/>
        <v>-4049.5863818337994</v>
      </c>
      <c r="AC18" s="37">
        <f t="shared" si="11"/>
        <v>-180.17812858231974</v>
      </c>
      <c r="AD18" s="37">
        <f t="shared" si="12"/>
        <v>2146.14213028827</v>
      </c>
      <c r="AE18" s="39">
        <f t="shared" si="13"/>
        <v>239.95577445043654</v>
      </c>
      <c r="AF18" s="39">
        <f t="shared" si="14"/>
        <v>267.35842524274869</v>
      </c>
      <c r="AG18" s="39">
        <f t="shared" si="15"/>
        <v>-71.766807806764248</v>
      </c>
      <c r="AH18" s="39">
        <f t="shared" si="16"/>
        <v>132.83124371277012</v>
      </c>
      <c r="AI18" s="39">
        <f t="shared" si="17"/>
        <v>-348.36709522599205</v>
      </c>
      <c r="AJ18" s="39">
        <f t="shared" si="18"/>
        <v>1745.9524613327512</v>
      </c>
      <c r="AK18" s="37">
        <f t="shared" si="19"/>
        <v>36119.882834452706</v>
      </c>
      <c r="AL18" s="37">
        <f t="shared" si="20"/>
        <v>33395.086756890472</v>
      </c>
      <c r="AM18" s="37">
        <f t="shared" si="21"/>
        <v>4467.3644844873261</v>
      </c>
    </row>
    <row r="19" spans="2:39">
      <c r="H19" s="2"/>
      <c r="I19" s="10"/>
      <c r="L19">
        <v>15</v>
      </c>
      <c r="M19" s="37">
        <f t="shared" si="6"/>
        <v>9.4247779607693774E-2</v>
      </c>
      <c r="N19" s="37">
        <f t="shared" si="0"/>
        <v>24977.809823015399</v>
      </c>
      <c r="O19" s="37">
        <f t="shared" si="1"/>
        <v>7970.5415665925711</v>
      </c>
      <c r="R19" s="37">
        <f t="shared" si="2"/>
        <v>-16515.533123889221</v>
      </c>
      <c r="S19" s="37">
        <f t="shared" si="3"/>
        <v>10329.379096614801</v>
      </c>
      <c r="V19" s="37">
        <f t="shared" si="4"/>
        <v>-22.19017698459993</v>
      </c>
      <c r="W19" s="37">
        <f t="shared" si="5"/>
        <v>-14529.458433407428</v>
      </c>
      <c r="Y19" s="37">
        <f t="shared" si="7"/>
        <v>-5735.1009192843476</v>
      </c>
      <c r="Z19" s="37">
        <f t="shared" si="8"/>
        <v>-21137.533585479981</v>
      </c>
      <c r="AA19" s="37">
        <f t="shared" si="9"/>
        <v>-3263.5174387493898</v>
      </c>
      <c r="AB19" s="37">
        <f t="shared" si="10"/>
        <v>-2976.5153166896644</v>
      </c>
      <c r="AC19" s="37">
        <f t="shared" si="11"/>
        <v>390.98118215131149</v>
      </c>
      <c r="AD19" s="37">
        <f t="shared" si="12"/>
        <v>2346.9237498752982</v>
      </c>
      <c r="AE19" s="39">
        <f t="shared" si="13"/>
        <v>214.06641854686356</v>
      </c>
      <c r="AF19" s="39">
        <f t="shared" si="14"/>
        <v>238.20906200781644</v>
      </c>
      <c r="AG19" s="39">
        <f t="shared" si="15"/>
        <v>-59.970388456142473</v>
      </c>
      <c r="AH19" s="39">
        <f t="shared" si="16"/>
        <v>130.90383423825355</v>
      </c>
      <c r="AI19" s="39">
        <f t="shared" si="17"/>
        <v>236.88515206059043</v>
      </c>
      <c r="AJ19" s="39">
        <f t="shared" si="18"/>
        <v>1977.8108536292284</v>
      </c>
      <c r="AK19" s="37">
        <f t="shared" si="19"/>
        <v>38501.996690889217</v>
      </c>
      <c r="AL19" s="37">
        <f t="shared" si="20"/>
        <v>34249.574356039753</v>
      </c>
      <c r="AM19" s="37">
        <f t="shared" si="21"/>
        <v>6181.3988606485709</v>
      </c>
    </row>
    <row r="20" spans="2:39">
      <c r="G20" s="2"/>
      <c r="H20" s="5"/>
      <c r="L20">
        <v>16</v>
      </c>
      <c r="M20" s="37">
        <f t="shared" si="6"/>
        <v>0.10053096491487336</v>
      </c>
      <c r="N20" s="37">
        <f t="shared" si="0"/>
        <v>24974.755084906501</v>
      </c>
      <c r="O20" s="37">
        <f t="shared" si="1"/>
        <v>8001.8085742560743</v>
      </c>
      <c r="R20" s="37">
        <f t="shared" si="2"/>
        <v>-16517.671440565449</v>
      </c>
      <c r="S20" s="37">
        <f t="shared" si="3"/>
        <v>10351.266001979253</v>
      </c>
      <c r="V20" s="37">
        <f t="shared" si="4"/>
        <v>-25.244915093499003</v>
      </c>
      <c r="W20" s="37">
        <f t="shared" si="5"/>
        <v>-14498.191425743926</v>
      </c>
      <c r="Y20" s="37">
        <f t="shared" si="7"/>
        <v>-7317.9869908901283</v>
      </c>
      <c r="Z20" s="37">
        <f t="shared" si="8"/>
        <v>-22332.4257750904</v>
      </c>
      <c r="AA20" s="37">
        <f t="shared" si="9"/>
        <v>-3068.0268476737342</v>
      </c>
      <c r="AB20" s="37">
        <f t="shared" si="10"/>
        <v>-1803.0534417520153</v>
      </c>
      <c r="AC20" s="37">
        <f t="shared" si="11"/>
        <v>751.07099628410424</v>
      </c>
      <c r="AD20" s="37">
        <f t="shared" si="12"/>
        <v>2258.9192906209232</v>
      </c>
      <c r="AE20" s="39">
        <f t="shared" si="13"/>
        <v>197.71080916798957</v>
      </c>
      <c r="AF20" s="39">
        <f t="shared" si="14"/>
        <v>215.90877253891412</v>
      </c>
      <c r="AG20" s="39">
        <f t="shared" si="15"/>
        <v>-51.215518141821811</v>
      </c>
      <c r="AH20" s="39">
        <f t="shared" si="16"/>
        <v>130.5724838528198</v>
      </c>
      <c r="AI20" s="39">
        <f t="shared" si="17"/>
        <v>604.57570525793653</v>
      </c>
      <c r="AJ20" s="39">
        <f t="shared" si="18"/>
        <v>1912.4380342291893</v>
      </c>
      <c r="AK20" s="37">
        <f t="shared" si="19"/>
        <v>40450.538202361662</v>
      </c>
      <c r="AL20" s="37">
        <f t="shared" si="20"/>
        <v>34730.666714950377</v>
      </c>
      <c r="AM20" s="37">
        <f t="shared" si="21"/>
        <v>7690.0930707726757</v>
      </c>
    </row>
    <row r="21" spans="2:39">
      <c r="G21" s="2"/>
      <c r="H21" s="13"/>
      <c r="L21">
        <v>17</v>
      </c>
      <c r="M21" s="37">
        <f t="shared" si="6"/>
        <v>0.10681415022205294</v>
      </c>
      <c r="N21" s="37">
        <f t="shared" si="0"/>
        <v>24971.503951984996</v>
      </c>
      <c r="O21" s="37">
        <f t="shared" si="1"/>
        <v>8033.0557713762992</v>
      </c>
      <c r="R21" s="37">
        <f t="shared" si="2"/>
        <v>-16519.947233610503</v>
      </c>
      <c r="S21" s="37">
        <f t="shared" si="3"/>
        <v>10373.139039963409</v>
      </c>
      <c r="V21" s="37">
        <f t="shared" si="4"/>
        <v>-28.496048015005726</v>
      </c>
      <c r="W21" s="37">
        <f t="shared" si="5"/>
        <v>-14466.944228623701</v>
      </c>
      <c r="Y21" s="37">
        <f t="shared" si="7"/>
        <v>-8758.1165401914823</v>
      </c>
      <c r="Z21" s="37">
        <f t="shared" si="8"/>
        <v>-22951.587584638793</v>
      </c>
      <c r="AA21" s="37">
        <f t="shared" si="9"/>
        <v>-2692.4913495316823</v>
      </c>
      <c r="AB21" s="37">
        <f t="shared" si="10"/>
        <v>-673.59379644155365</v>
      </c>
      <c r="AC21" s="37">
        <f t="shared" si="11"/>
        <v>976.63452112088953</v>
      </c>
      <c r="AD21" s="37">
        <f t="shared" si="12"/>
        <v>2094.5997909318075</v>
      </c>
      <c r="AE21" s="39">
        <f t="shared" si="13"/>
        <v>188.5728080296347</v>
      </c>
      <c r="AF21" s="39">
        <f t="shared" si="14"/>
        <v>199.67724144139879</v>
      </c>
      <c r="AG21" s="39">
        <f t="shared" si="15"/>
        <v>-45.077783953265154</v>
      </c>
      <c r="AH21" s="39">
        <f t="shared" si="16"/>
        <v>132.12950938051642</v>
      </c>
      <c r="AI21" s="39">
        <f t="shared" si="17"/>
        <v>833.13949704452</v>
      </c>
      <c r="AJ21" s="39">
        <f t="shared" si="18"/>
        <v>1762.7930401098924</v>
      </c>
      <c r="AK21" s="37">
        <f t="shared" si="19"/>
        <v>41884.704288847053</v>
      </c>
      <c r="AL21" s="37">
        <f t="shared" si="20"/>
        <v>34816.476962381443</v>
      </c>
      <c r="AM21" s="37">
        <f t="shared" si="21"/>
        <v>8794.9522480706273</v>
      </c>
    </row>
    <row r="22" spans="2:39">
      <c r="B22" s="47" t="s">
        <v>30</v>
      </c>
      <c r="C22" s="47"/>
      <c r="D22" s="47"/>
      <c r="E22" s="47"/>
      <c r="F22" s="50"/>
      <c r="G22" s="42"/>
      <c r="H22" s="18"/>
      <c r="I22" s="14"/>
      <c r="L22">
        <v>18</v>
      </c>
      <c r="M22" s="37">
        <f t="shared" si="6"/>
        <v>0.11309733552923253</v>
      </c>
      <c r="N22" s="37">
        <f t="shared" si="0"/>
        <v>24968.056552600043</v>
      </c>
      <c r="O22" s="37">
        <f t="shared" si="1"/>
        <v>8064.2819243674085</v>
      </c>
      <c r="R22" s="37">
        <f t="shared" si="2"/>
        <v>-16522.360413179969</v>
      </c>
      <c r="S22" s="37">
        <f t="shared" si="3"/>
        <v>10394.997347057186</v>
      </c>
      <c r="V22" s="37">
        <f t="shared" si="4"/>
        <v>-31.943447399958131</v>
      </c>
      <c r="W22" s="37">
        <f t="shared" si="5"/>
        <v>-14435.718075632592</v>
      </c>
      <c r="Y22" s="37">
        <f t="shared" si="7"/>
        <v>-9982.2828998172135</v>
      </c>
      <c r="Z22" s="37">
        <f t="shared" si="8"/>
        <v>-23026.559508993098</v>
      </c>
      <c r="AA22" s="37">
        <f t="shared" si="9"/>
        <v>-2204.1740889712373</v>
      </c>
      <c r="AB22" s="37">
        <f t="shared" si="10"/>
        <v>373.70609902435012</v>
      </c>
      <c r="AC22" s="37">
        <f t="shared" si="11"/>
        <v>1145.8598133399048</v>
      </c>
      <c r="AD22" s="37">
        <f t="shared" si="12"/>
        <v>1938.4933166347439</v>
      </c>
      <c r="AE22" s="39">
        <f t="shared" si="13"/>
        <v>185.03532360529618</v>
      </c>
      <c r="AF22" s="39">
        <f t="shared" si="14"/>
        <v>188.39432061183393</v>
      </c>
      <c r="AG22" s="39">
        <f t="shared" si="15"/>
        <v>-41.19761644224095</v>
      </c>
      <c r="AH22" s="39">
        <f t="shared" si="16"/>
        <v>135.8209178250319</v>
      </c>
      <c r="AI22" s="39">
        <f t="shared" si="17"/>
        <v>1002.0221061768497</v>
      </c>
      <c r="AJ22" s="39">
        <f t="shared" si="18"/>
        <v>1614.2780781978781</v>
      </c>
      <c r="AK22" s="37">
        <f t="shared" si="19"/>
        <v>42787.943668056403</v>
      </c>
      <c r="AL22" s="37">
        <f t="shared" si="20"/>
        <v>34512.436727944281</v>
      </c>
      <c r="AM22" s="37">
        <f t="shared" si="21"/>
        <v>9447.1583264608489</v>
      </c>
    </row>
    <row r="23" spans="2:39">
      <c r="B23" s="21" t="s">
        <v>31</v>
      </c>
      <c r="C23" s="24" t="s">
        <v>32</v>
      </c>
      <c r="D23" s="41">
        <v>1</v>
      </c>
      <c r="E23" s="41"/>
      <c r="F23" s="33" t="s">
        <v>33</v>
      </c>
      <c r="G23" s="42"/>
      <c r="H23" s="6"/>
      <c r="I23" s="6"/>
      <c r="L23">
        <v>19</v>
      </c>
      <c r="M23" s="37">
        <f t="shared" si="6"/>
        <v>0.11938052083641211</v>
      </c>
      <c r="N23" s="37">
        <f t="shared" si="0"/>
        <v>24964.413022849069</v>
      </c>
      <c r="O23" s="37">
        <f t="shared" si="1"/>
        <v>8095.4858004743483</v>
      </c>
      <c r="R23" s="37">
        <f t="shared" si="2"/>
        <v>-16524.910884005651</v>
      </c>
      <c r="S23" s="37">
        <f t="shared" si="3"/>
        <v>10416.840060332044</v>
      </c>
      <c r="V23" s="37">
        <f t="shared" si="4"/>
        <v>-35.586977150931489</v>
      </c>
      <c r="W23" s="37">
        <f t="shared" si="5"/>
        <v>-14404.514199525651</v>
      </c>
      <c r="Y23" s="37">
        <f t="shared" si="7"/>
        <v>-10941.137467635344</v>
      </c>
      <c r="Z23" s="37">
        <f t="shared" si="8"/>
        <v>-22597.394794901582</v>
      </c>
      <c r="AA23" s="37">
        <f t="shared" si="9"/>
        <v>-1631.244182301285</v>
      </c>
      <c r="AB23" s="37">
        <f t="shared" si="10"/>
        <v>1342.9527573417222</v>
      </c>
      <c r="AC23" s="37">
        <f t="shared" si="11"/>
        <v>1306.8356790349021</v>
      </c>
      <c r="AD23" s="37">
        <f t="shared" si="12"/>
        <v>1806.5581552856934</v>
      </c>
      <c r="AE23" s="39">
        <f t="shared" si="13"/>
        <v>186.24546355077956</v>
      </c>
      <c r="AF23" s="39">
        <f t="shared" si="14"/>
        <v>181.16668306427528</v>
      </c>
      <c r="AG23" s="39">
        <f t="shared" si="15"/>
        <v>-39.450198759995217</v>
      </c>
      <c r="AH23" s="39">
        <f t="shared" si="16"/>
        <v>141.95752492352045</v>
      </c>
      <c r="AI23" s="39">
        <f t="shared" si="17"/>
        <v>1160.0404142441178</v>
      </c>
      <c r="AJ23" s="39">
        <f t="shared" si="18"/>
        <v>1483.4339472978977</v>
      </c>
      <c r="AK23" s="37">
        <f t="shared" si="19"/>
        <v>43164.883426591994</v>
      </c>
      <c r="AL23" s="37">
        <f t="shared" si="20"/>
        <v>33832.722884730356</v>
      </c>
      <c r="AM23" s="37">
        <f t="shared" si="21"/>
        <v>9644.5591956780554</v>
      </c>
    </row>
    <row r="24" spans="2:39" ht="18">
      <c r="B24" s="21" t="s">
        <v>34</v>
      </c>
      <c r="C24" s="24" t="s">
        <v>35</v>
      </c>
      <c r="D24" s="34">
        <v>0</v>
      </c>
      <c r="E24" s="35">
        <v>0</v>
      </c>
      <c r="F24" s="33" t="s">
        <v>36</v>
      </c>
      <c r="G24" s="42"/>
      <c r="H24" s="14"/>
      <c r="I24" s="9"/>
      <c r="J24" s="5"/>
      <c r="L24">
        <v>20</v>
      </c>
      <c r="M24" s="37">
        <f t="shared" si="6"/>
        <v>0.12566370614359171</v>
      </c>
      <c r="N24" s="37">
        <f t="shared" si="0"/>
        <v>24960.573506572389</v>
      </c>
      <c r="O24" s="37">
        <f t="shared" si="1"/>
        <v>8126.6661678215214</v>
      </c>
      <c r="R24" s="37">
        <f t="shared" si="2"/>
        <v>-16527.598545399327</v>
      </c>
      <c r="S24" s="37">
        <f t="shared" si="3"/>
        <v>10438.666317475065</v>
      </c>
      <c r="V24" s="37">
        <f t="shared" si="4"/>
        <v>-39.426493427610694</v>
      </c>
      <c r="W24" s="37">
        <f t="shared" si="5"/>
        <v>-14373.333832178479</v>
      </c>
      <c r="Y24" s="37">
        <f t="shared" si="7"/>
        <v>-11593.405098906624</v>
      </c>
      <c r="Z24" s="37">
        <f t="shared" si="8"/>
        <v>-21700.09864682001</v>
      </c>
      <c r="AA24" s="37">
        <f t="shared" si="9"/>
        <v>-977.82634278383398</v>
      </c>
      <c r="AB24" s="37">
        <f t="shared" si="10"/>
        <v>2246.2318349845691</v>
      </c>
      <c r="AC24" s="37">
        <f t="shared" si="11"/>
        <v>1487.353052787591</v>
      </c>
      <c r="AD24" s="37">
        <f t="shared" si="12"/>
        <v>1685.4175391133945</v>
      </c>
      <c r="AE24" s="39">
        <f t="shared" si="13"/>
        <v>191.99044231157399</v>
      </c>
      <c r="AF24" s="39">
        <f t="shared" si="14"/>
        <v>177.44652205718029</v>
      </c>
      <c r="AG24" s="39">
        <f t="shared" si="15"/>
        <v>-40.034536640023383</v>
      </c>
      <c r="AH24" s="39">
        <f t="shared" si="16"/>
        <v>150.96466235138917</v>
      </c>
      <c r="AI24" s="39">
        <f t="shared" si="17"/>
        <v>1335.3971471160403</v>
      </c>
      <c r="AJ24" s="39">
        <f t="shared" si="18"/>
        <v>1357.0063547048251</v>
      </c>
      <c r="AK24" s="37">
        <f t="shared" si="19"/>
        <v>43020.797374382062</v>
      </c>
      <c r="AL24" s="37">
        <f t="shared" si="20"/>
        <v>32795.839553961858</v>
      </c>
      <c r="AM24" s="37">
        <f t="shared" si="21"/>
        <v>9400.2293948290007</v>
      </c>
    </row>
    <row r="25" spans="2:39" ht="18">
      <c r="B25" s="21" t="s">
        <v>37</v>
      </c>
      <c r="C25" s="24" t="s">
        <v>38</v>
      </c>
      <c r="D25" s="34">
        <v>0</v>
      </c>
      <c r="E25" s="35">
        <v>0</v>
      </c>
      <c r="F25" s="33" t="s">
        <v>27</v>
      </c>
      <c r="G25" s="42"/>
      <c r="H25" s="14"/>
      <c r="I25" s="9"/>
      <c r="J25" s="5"/>
      <c r="L25">
        <v>21</v>
      </c>
      <c r="M25" s="37">
        <f t="shared" si="6"/>
        <v>0.13194689145077129</v>
      </c>
      <c r="N25" s="37">
        <f t="shared" si="0"/>
        <v>24956.538155347531</v>
      </c>
      <c r="O25" s="37">
        <f t="shared" si="1"/>
        <v>8157.821795461412</v>
      </c>
      <c r="R25" s="37">
        <f t="shared" si="2"/>
        <v>-16530.423291256728</v>
      </c>
      <c r="S25" s="37">
        <f t="shared" si="3"/>
        <v>10460.475256822989</v>
      </c>
      <c r="V25" s="37">
        <f t="shared" si="4"/>
        <v>-43.461844652467335</v>
      </c>
      <c r="W25" s="37">
        <f t="shared" si="5"/>
        <v>-14342.178204538588</v>
      </c>
      <c r="Y25" s="37">
        <f t="shared" si="7"/>
        <v>-11896.399138700093</v>
      </c>
      <c r="Z25" s="37">
        <f t="shared" si="8"/>
        <v>-20366.305536938551</v>
      </c>
      <c r="AA25" s="37">
        <f t="shared" si="9"/>
        <v>-234.1498163900385</v>
      </c>
      <c r="AB25" s="37">
        <f t="shared" si="10"/>
        <v>3088.9406045412661</v>
      </c>
      <c r="AC25" s="37">
        <f t="shared" si="11"/>
        <v>1700.8398880258603</v>
      </c>
      <c r="AD25" s="37">
        <f t="shared" si="12"/>
        <v>1540.118143149296</v>
      </c>
      <c r="AE25" s="39">
        <f t="shared" si="13"/>
        <v>202.62864471487001</v>
      </c>
      <c r="AF25" s="39">
        <f t="shared" si="14"/>
        <v>177.02661982648033</v>
      </c>
      <c r="AG25" s="39">
        <f t="shared" si="15"/>
        <v>-43.595366025625069</v>
      </c>
      <c r="AH25" s="39">
        <f t="shared" si="16"/>
        <v>163.36320450467551</v>
      </c>
      <c r="AI25" s="39">
        <f t="shared" si="17"/>
        <v>1541.8066093366153</v>
      </c>
      <c r="AJ25" s="39">
        <f t="shared" si="18"/>
        <v>1199.7283188181402</v>
      </c>
      <c r="AK25" s="37">
        <f t="shared" si="19"/>
        <v>42354.589624895198</v>
      </c>
      <c r="AL25" s="37">
        <f t="shared" si="20"/>
        <v>31428.981193827545</v>
      </c>
      <c r="AM25" s="37">
        <f t="shared" si="21"/>
        <v>8738.2810778802923</v>
      </c>
    </row>
    <row r="26" spans="2:39" ht="18.75">
      <c r="B26" s="21" t="s">
        <v>39</v>
      </c>
      <c r="C26" s="24" t="s">
        <v>40</v>
      </c>
      <c r="D26" s="34">
        <v>0</v>
      </c>
      <c r="E26" s="35">
        <v>0</v>
      </c>
      <c r="F26" s="33" t="s">
        <v>41</v>
      </c>
      <c r="G26" s="42"/>
      <c r="H26" s="2"/>
      <c r="I26" s="10"/>
      <c r="L26">
        <v>22</v>
      </c>
      <c r="M26" s="37">
        <f t="shared" si="6"/>
        <v>0.13823007675795088</v>
      </c>
      <c r="N26" s="37">
        <f t="shared" si="0"/>
        <v>24952.307128483255</v>
      </c>
      <c r="O26" s="37">
        <f t="shared" si="1"/>
        <v>8188.9514534231903</v>
      </c>
      <c r="R26" s="37">
        <f t="shared" si="2"/>
        <v>-16533.38501006172</v>
      </c>
      <c r="S26" s="37">
        <f t="shared" si="3"/>
        <v>10482.266017396234</v>
      </c>
      <c r="V26" s="37">
        <f t="shared" si="4"/>
        <v>-47.692871516744162</v>
      </c>
      <c r="W26" s="37">
        <f t="shared" si="5"/>
        <v>-14311.048546576811</v>
      </c>
      <c r="Y26" s="37">
        <f t="shared" si="7"/>
        <v>-11800.869060891881</v>
      </c>
      <c r="Z26" s="37">
        <f t="shared" si="8"/>
        <v>-18629.320466774254</v>
      </c>
      <c r="AA26" s="37">
        <f t="shared" si="9"/>
        <v>616.27012762289166</v>
      </c>
      <c r="AB26" s="37">
        <f t="shared" si="10"/>
        <v>3858.9996761159141</v>
      </c>
      <c r="AC26" s="37">
        <f t="shared" si="11"/>
        <v>1936.7138635855035</v>
      </c>
      <c r="AD26" s="37">
        <f t="shared" si="12"/>
        <v>1303.6839737957985</v>
      </c>
      <c r="AE26" s="39">
        <f t="shared" si="13"/>
        <v>219.12434986171948</v>
      </c>
      <c r="AF26" s="39">
        <f t="shared" si="14"/>
        <v>180.0444619499921</v>
      </c>
      <c r="AG26" s="39">
        <f t="shared" si="15"/>
        <v>-51.432973639756526</v>
      </c>
      <c r="AH26" s="39">
        <f t="shared" si="16"/>
        <v>179.59111713514309</v>
      </c>
      <c r="AI26" s="39">
        <f t="shared" si="17"/>
        <v>1769.0224873635407</v>
      </c>
      <c r="AJ26" s="39">
        <f t="shared" si="18"/>
        <v>944.04839471066339</v>
      </c>
      <c r="AK26" s="37">
        <f t="shared" si="19"/>
        <v>41158.67661967982</v>
      </c>
      <c r="AL26" s="37">
        <f t="shared" si="20"/>
        <v>29780.257529878734</v>
      </c>
      <c r="AM26" s="37">
        <f t="shared" si="21"/>
        <v>7708.6825744703547</v>
      </c>
    </row>
    <row r="27" spans="2:39">
      <c r="B27" s="21" t="s">
        <v>42</v>
      </c>
      <c r="C27" s="24" t="s">
        <v>43</v>
      </c>
      <c r="D27" s="41">
        <v>2500</v>
      </c>
      <c r="E27" s="41"/>
      <c r="F27" s="33" t="s">
        <v>36</v>
      </c>
      <c r="G27" s="42"/>
      <c r="L27">
        <v>23</v>
      </c>
      <c r="M27" s="37">
        <f t="shared" si="6"/>
        <v>0.14451326206513046</v>
      </c>
      <c r="N27" s="37">
        <f t="shared" si="0"/>
        <v>24947.880593013255</v>
      </c>
      <c r="O27" s="37">
        <f t="shared" si="1"/>
        <v>8220.053912761261</v>
      </c>
      <c r="R27" s="37">
        <f t="shared" si="2"/>
        <v>-16536.483584890721</v>
      </c>
      <c r="S27" s="37">
        <f t="shared" si="3"/>
        <v>10504.037738932882</v>
      </c>
      <c r="V27" s="37">
        <f t="shared" si="4"/>
        <v>-52.119406986745162</v>
      </c>
      <c r="W27" s="37">
        <f t="shared" si="5"/>
        <v>-14279.946087238739</v>
      </c>
      <c r="Y27" s="37">
        <f t="shared" si="7"/>
        <v>-11250.644764132247</v>
      </c>
      <c r="Z27" s="37">
        <f t="shared" si="8"/>
        <v>-16536.860131991823</v>
      </c>
      <c r="AA27" s="37">
        <f t="shared" si="9"/>
        <v>1584.6270594156435</v>
      </c>
      <c r="AB27" s="37">
        <f t="shared" si="10"/>
        <v>4510.8416630138136</v>
      </c>
      <c r="AC27" s="37">
        <f t="shared" si="11"/>
        <v>2123.2328115318446</v>
      </c>
      <c r="AD27" s="37">
        <f t="shared" si="12"/>
        <v>864.85220399511627</v>
      </c>
      <c r="AE27" s="39">
        <f t="shared" si="13"/>
        <v>243.16847967313583</v>
      </c>
      <c r="AF27" s="39">
        <f t="shared" si="14"/>
        <v>187.03635648250165</v>
      </c>
      <c r="AG27" s="39">
        <f t="shared" si="15"/>
        <v>-65.742022733859258</v>
      </c>
      <c r="AH27" s="39">
        <f t="shared" si="16"/>
        <v>199.39604862890488</v>
      </c>
      <c r="AI27" s="39">
        <f t="shared" si="17"/>
        <v>1945.8063545925679</v>
      </c>
      <c r="AJ27" s="39">
        <f t="shared" si="18"/>
        <v>478.41979888370975</v>
      </c>
      <c r="AK27" s="37">
        <f t="shared" si="19"/>
        <v>39425.543029601053</v>
      </c>
      <c r="AL27" s="37">
        <f t="shared" si="20"/>
        <v>27942.014292250005</v>
      </c>
      <c r="AM27" s="37">
        <f t="shared" si="21"/>
        <v>6436.8081401172585</v>
      </c>
    </row>
    <row r="28" spans="2:39">
      <c r="L28">
        <v>24</v>
      </c>
      <c r="M28" s="37">
        <f t="shared" si="6"/>
        <v>0.15079644737231004</v>
      </c>
      <c r="N28" s="37">
        <f t="shared" si="0"/>
        <v>24943.258723689571</v>
      </c>
      <c r="O28" s="37">
        <f t="shared" si="1"/>
        <v>8251.1279456037846</v>
      </c>
      <c r="R28" s="37">
        <f t="shared" si="2"/>
        <v>-16539.718893417303</v>
      </c>
      <c r="S28" s="37">
        <f t="shared" si="3"/>
        <v>10525.789561922649</v>
      </c>
      <c r="V28" s="37">
        <f t="shared" si="4"/>
        <v>-56.741276310429384</v>
      </c>
      <c r="W28" s="37">
        <f t="shared" si="5"/>
        <v>-14248.872054396215</v>
      </c>
      <c r="Y28" s="37">
        <f t="shared" si="7"/>
        <v>-10192.927132982944</v>
      </c>
      <c r="Z28" s="37">
        <f t="shared" si="8"/>
        <v>-14173.332774985527</v>
      </c>
      <c r="AA28" s="37">
        <f t="shared" si="9"/>
        <v>2646.2434651815656</v>
      </c>
      <c r="AB28" s="37">
        <f t="shared" si="10"/>
        <v>4943.2677650113719</v>
      </c>
      <c r="AC28" s="37">
        <f t="shared" si="11"/>
        <v>2073.1936642192368</v>
      </c>
      <c r="AD28" s="37">
        <f t="shared" si="12"/>
        <v>119.24291736553374</v>
      </c>
      <c r="AE28" s="39">
        <f t="shared" si="13"/>
        <v>277.28028291677634</v>
      </c>
      <c r="AF28" s="39">
        <f t="shared" si="14"/>
        <v>199.03959020364465</v>
      </c>
      <c r="AG28" s="39">
        <f t="shared" si="15"/>
        <v>-89.385809070763131</v>
      </c>
      <c r="AH28" s="39">
        <f t="shared" si="16"/>
        <v>220.32597670359687</v>
      </c>
      <c r="AI28" s="39">
        <f t="shared" si="17"/>
        <v>1885.2991903732236</v>
      </c>
      <c r="AJ28" s="39">
        <f t="shared" si="18"/>
        <v>-300.12264954170774</v>
      </c>
      <c r="AK28" s="37">
        <f t="shared" si="19"/>
        <v>37166.466100947495</v>
      </c>
      <c r="AL28" s="37">
        <f t="shared" si="20"/>
        <v>26086.944927859444</v>
      </c>
      <c r="AM28" s="37">
        <f t="shared" si="21"/>
        <v>5258.314455163707</v>
      </c>
    </row>
    <row r="29" spans="2:39">
      <c r="L29">
        <v>25</v>
      </c>
      <c r="M29" s="37">
        <f t="shared" si="6"/>
        <v>0.15707963267948963</v>
      </c>
      <c r="N29" s="37">
        <f t="shared" si="0"/>
        <v>24938.441702975688</v>
      </c>
      <c r="O29" s="37">
        <f t="shared" si="1"/>
        <v>8282.1723252011543</v>
      </c>
      <c r="R29" s="37">
        <f t="shared" si="2"/>
        <v>-16543.090807917019</v>
      </c>
      <c r="S29" s="37">
        <f t="shared" si="3"/>
        <v>10547.520627640808</v>
      </c>
      <c r="V29" s="37">
        <f t="shared" si="4"/>
        <v>-61.558297024311287</v>
      </c>
      <c r="W29" s="37">
        <f t="shared" si="5"/>
        <v>-14217.827674798846</v>
      </c>
      <c r="Y29" s="37">
        <f t="shared" si="7"/>
        <v>-8610.6561923647569</v>
      </c>
      <c r="Z29" s="37">
        <f t="shared" si="8"/>
        <v>-11686.793527809148</v>
      </c>
      <c r="AA29" s="37">
        <f t="shared" si="9"/>
        <v>3682.840297291184</v>
      </c>
      <c r="AB29" s="37">
        <f t="shared" si="10"/>
        <v>5002.8892236941392</v>
      </c>
      <c r="AC29" s="37">
        <f t="shared" si="11"/>
        <v>1569.7837907732332</v>
      </c>
      <c r="AD29" s="37">
        <f t="shared" si="12"/>
        <v>-802.93150514278454</v>
      </c>
      <c r="AE29" s="39">
        <f t="shared" si="13"/>
        <v>324.57056064158644</v>
      </c>
      <c r="AF29" s="39">
        <f t="shared" si="14"/>
        <v>217.6625481906033</v>
      </c>
      <c r="AG29" s="39">
        <f t="shared" si="15"/>
        <v>-123.70581268623702</v>
      </c>
      <c r="AH29" s="39">
        <f t="shared" si="16"/>
        <v>235.55197412846198</v>
      </c>
      <c r="AI29" s="39">
        <f t="shared" si="17"/>
        <v>1368.9190428178838</v>
      </c>
      <c r="AJ29" s="39">
        <f t="shared" si="18"/>
        <v>-1256.1460274618498</v>
      </c>
      <c r="AK29" s="37">
        <f t="shared" si="19"/>
        <v>34448.55140113266</v>
      </c>
      <c r="AL29" s="37">
        <f t="shared" si="20"/>
        <v>24495.594826138513</v>
      </c>
      <c r="AM29" s="37">
        <f t="shared" si="21"/>
        <v>4900.4260291151531</v>
      </c>
    </row>
    <row r="30" spans="2:39">
      <c r="L30">
        <v>26</v>
      </c>
      <c r="M30" s="37">
        <f t="shared" si="6"/>
        <v>0.16336281798666921</v>
      </c>
      <c r="N30" s="37">
        <f t="shared" si="0"/>
        <v>24933.429721039342</v>
      </c>
      <c r="O30" s="37">
        <f t="shared" si="1"/>
        <v>8313.1858259744185</v>
      </c>
      <c r="R30" s="37">
        <f t="shared" si="2"/>
        <v>-16546.599195272462</v>
      </c>
      <c r="S30" s="37">
        <f t="shared" si="3"/>
        <v>10569.230078182092</v>
      </c>
      <c r="V30" s="37">
        <f t="shared" si="4"/>
        <v>-66.57027896065938</v>
      </c>
      <c r="W30" s="37">
        <f t="shared" si="5"/>
        <v>-14186.814174025581</v>
      </c>
      <c r="Y30" s="37">
        <f t="shared" si="7"/>
        <v>-6573.0130698725106</v>
      </c>
      <c r="Z30" s="37">
        <f t="shared" si="8"/>
        <v>-9285.7153541049265</v>
      </c>
      <c r="AA30" s="37">
        <f t="shared" si="9"/>
        <v>4467.7321926778004</v>
      </c>
      <c r="AB30" s="37">
        <f t="shared" si="10"/>
        <v>4601.4234711227473</v>
      </c>
      <c r="AC30" s="37">
        <f t="shared" si="11"/>
        <v>748.52943409549277</v>
      </c>
      <c r="AD30" s="37">
        <f t="shared" si="12"/>
        <v>-1424.8896959374397</v>
      </c>
      <c r="AE30" s="39">
        <f t="shared" si="13"/>
        <v>387.76158564583562</v>
      </c>
      <c r="AF30" s="39">
        <f t="shared" si="14"/>
        <v>244.94232493668068</v>
      </c>
      <c r="AG30" s="39">
        <f t="shared" si="15"/>
        <v>-163.57546044041359</v>
      </c>
      <c r="AH30" s="39">
        <f t="shared" si="16"/>
        <v>234.94993965414656</v>
      </c>
      <c r="AI30" s="39">
        <f t="shared" si="17"/>
        <v>524.34330889007072</v>
      </c>
      <c r="AJ30" s="39">
        <f t="shared" si="18"/>
        <v>-1904.7819605282671</v>
      </c>
      <c r="AK30" s="37">
        <f t="shared" si="19"/>
        <v>31430.642111809444</v>
      </c>
      <c r="AL30" s="37">
        <f t="shared" si="20"/>
        <v>23499.421157581157</v>
      </c>
      <c r="AM30" s="37">
        <f t="shared" si="21"/>
        <v>5926.8388819253323</v>
      </c>
    </row>
    <row r="31" spans="2:39">
      <c r="L31">
        <v>27</v>
      </c>
      <c r="M31" s="37">
        <f t="shared" si="6"/>
        <v>0.1696460032938488</v>
      </c>
      <c r="N31" s="37">
        <f t="shared" si="0"/>
        <v>24928.22297574499</v>
      </c>
      <c r="O31" s="37">
        <f t="shared" si="1"/>
        <v>8344.1672235636688</v>
      </c>
      <c r="R31" s="37">
        <f t="shared" si="2"/>
        <v>-16550.243916978507</v>
      </c>
      <c r="S31" s="37">
        <f t="shared" si="3"/>
        <v>10590.917056494569</v>
      </c>
      <c r="V31" s="37">
        <f t="shared" si="4"/>
        <v>-71.777024255009565</v>
      </c>
      <c r="W31" s="37">
        <f t="shared" si="5"/>
        <v>-14155.832776436331</v>
      </c>
      <c r="Y31" s="37">
        <f t="shared" si="7"/>
        <v>-4245.5807942716738</v>
      </c>
      <c r="Z31" s="37">
        <f t="shared" si="8"/>
        <v>-7163.1148305357328</v>
      </c>
      <c r="AA31" s="37">
        <f t="shared" si="9"/>
        <v>4841.9969097255471</v>
      </c>
      <c r="AB31" s="37">
        <f t="shared" si="10"/>
        <v>3888.9786231540274</v>
      </c>
      <c r="AC31" s="37">
        <f t="shared" si="11"/>
        <v>79.810464152282407</v>
      </c>
      <c r="AD31" s="37">
        <f t="shared" si="12"/>
        <v>-1493.2089989348358</v>
      </c>
      <c r="AE31" s="39">
        <f t="shared" si="13"/>
        <v>467.95502276291393</v>
      </c>
      <c r="AF31" s="39">
        <f t="shared" si="14"/>
        <v>283.00737740709138</v>
      </c>
      <c r="AG31" s="39">
        <f t="shared" si="15"/>
        <v>-196.54457476120621</v>
      </c>
      <c r="AH31" s="39">
        <f t="shared" si="16"/>
        <v>214.11878545918441</v>
      </c>
      <c r="AI31" s="39">
        <f t="shared" si="17"/>
        <v>-191.59998384942531</v>
      </c>
      <c r="AJ31" s="39">
        <f t="shared" si="18"/>
        <v>-1990.3351618011116</v>
      </c>
      <c r="AK31" s="37">
        <f t="shared" si="19"/>
        <v>28334.698244114625</v>
      </c>
      <c r="AL31" s="37">
        <f t="shared" si="20"/>
        <v>23297.515644290856</v>
      </c>
      <c r="AM31" s="37">
        <f t="shared" si="21"/>
        <v>7873.1135834141714</v>
      </c>
    </row>
    <row r="32" spans="2:39">
      <c r="L32">
        <v>28</v>
      </c>
      <c r="M32" s="37">
        <f t="shared" si="6"/>
        <v>0.17592918860102838</v>
      </c>
      <c r="N32" s="37">
        <f t="shared" si="0"/>
        <v>24922.821672646027</v>
      </c>
      <c r="O32" s="37">
        <f t="shared" si="1"/>
        <v>8375.1152948763793</v>
      </c>
      <c r="R32" s="37">
        <f t="shared" si="2"/>
        <v>-16554.02482914778</v>
      </c>
      <c r="S32" s="37">
        <f t="shared" si="3"/>
        <v>10612.580706413466</v>
      </c>
      <c r="V32" s="37">
        <f t="shared" si="4"/>
        <v>-77.178327353973145</v>
      </c>
      <c r="W32" s="37">
        <f t="shared" si="5"/>
        <v>-14124.884705123621</v>
      </c>
      <c r="Y32" s="37">
        <f t="shared" si="7"/>
        <v>-1814.6060313898649</v>
      </c>
      <c r="Z32" s="37">
        <f t="shared" si="8"/>
        <v>-5405.276643825574</v>
      </c>
      <c r="AA32" s="37">
        <f t="shared" si="9"/>
        <v>4881.9021418016882</v>
      </c>
      <c r="AB32" s="37">
        <f t="shared" si="10"/>
        <v>3142.3741236866094</v>
      </c>
      <c r="AC32" s="37">
        <f t="shared" si="11"/>
        <v>-228.50923531087881</v>
      </c>
      <c r="AD32" s="37">
        <f t="shared" si="12"/>
        <v>-1232.6540634206776</v>
      </c>
      <c r="AE32" s="39">
        <f t="shared" si="13"/>
        <v>564.63616719073752</v>
      </c>
      <c r="AF32" s="39">
        <f t="shared" si="14"/>
        <v>334.03243360070695</v>
      </c>
      <c r="AG32" s="39">
        <f t="shared" si="15"/>
        <v>-213.08597829159862</v>
      </c>
      <c r="AH32" s="39">
        <f t="shared" si="16"/>
        <v>180.51016382534672</v>
      </c>
      <c r="AI32" s="39">
        <f t="shared" si="17"/>
        <v>-580.05942421001771</v>
      </c>
      <c r="AJ32" s="39">
        <f t="shared" si="18"/>
        <v>-1747.1966608467312</v>
      </c>
      <c r="AK32" s="37">
        <f t="shared" si="19"/>
        <v>25346.068759443166</v>
      </c>
      <c r="AL32" s="37">
        <f t="shared" si="20"/>
        <v>23833.403077746989</v>
      </c>
      <c r="AM32" s="37">
        <f t="shared" si="21"/>
        <v>10109.671162643068</v>
      </c>
    </row>
    <row r="33" spans="2:39">
      <c r="B33" s="23"/>
      <c r="C33" s="23"/>
      <c r="D33" s="23"/>
      <c r="E33" s="23"/>
      <c r="F33" s="23"/>
      <c r="G33" s="23"/>
      <c r="L33">
        <v>29</v>
      </c>
      <c r="M33" s="37">
        <f t="shared" si="6"/>
        <v>0.18221237390820796</v>
      </c>
      <c r="N33" s="37">
        <f t="shared" si="0"/>
        <v>24917.226024976648</v>
      </c>
      <c r="O33" s="37">
        <f t="shared" si="1"/>
        <v>8406.0288181356864</v>
      </c>
      <c r="R33" s="37">
        <f t="shared" si="2"/>
        <v>-16557.941782516347</v>
      </c>
      <c r="S33" s="37">
        <f t="shared" si="3"/>
        <v>10634.220172694981</v>
      </c>
      <c r="V33" s="37">
        <f t="shared" si="4"/>
        <v>-82.77397502335134</v>
      </c>
      <c r="W33" s="37">
        <f t="shared" si="5"/>
        <v>-14093.971181864314</v>
      </c>
      <c r="Y33" s="37">
        <f t="shared" si="7"/>
        <v>597.78138509711937</v>
      </c>
      <c r="Z33" s="37">
        <f t="shared" si="8"/>
        <v>-3988.1713399098535</v>
      </c>
      <c r="AA33" s="37">
        <f t="shared" si="9"/>
        <v>4767.6475241462485</v>
      </c>
      <c r="AB33" s="37">
        <f t="shared" si="10"/>
        <v>2526.0470919762706</v>
      </c>
      <c r="AC33" s="37">
        <f t="shared" si="11"/>
        <v>-266.97815697482838</v>
      </c>
      <c r="AD33" s="37">
        <f t="shared" si="12"/>
        <v>-890.20130821415648</v>
      </c>
      <c r="AE33" s="39">
        <f t="shared" si="13"/>
        <v>676.92465261180155</v>
      </c>
      <c r="AF33" s="39">
        <f t="shared" si="14"/>
        <v>400.81119318179884</v>
      </c>
      <c r="AG33" s="39">
        <f t="shared" si="15"/>
        <v>-213.81335989715151</v>
      </c>
      <c r="AH33" s="39">
        <f t="shared" si="16"/>
        <v>145.20291564833809</v>
      </c>
      <c r="AI33" s="39">
        <f t="shared" si="17"/>
        <v>-730.08944968947844</v>
      </c>
      <c r="AJ33" s="39">
        <f t="shared" si="18"/>
        <v>-1436.2154170442934</v>
      </c>
      <c r="AK33" s="37">
        <f t="shared" si="19"/>
        <v>22548.263079794197</v>
      </c>
      <c r="AL33" s="37">
        <f t="shared" si="20"/>
        <v>24898.544845491047</v>
      </c>
      <c r="AM33" s="37">
        <f t="shared" si="21"/>
        <v>12352.956199813978</v>
      </c>
    </row>
    <row r="34" spans="2:39">
      <c r="B34" s="23"/>
      <c r="C34" s="23"/>
      <c r="D34" s="23"/>
      <c r="E34" s="23"/>
      <c r="F34" s="23"/>
      <c r="G34" s="23"/>
      <c r="L34">
        <v>30</v>
      </c>
      <c r="M34" s="37">
        <f t="shared" si="6"/>
        <v>0.18849555921538755</v>
      </c>
      <c r="N34" s="37">
        <f t="shared" si="0"/>
        <v>24911.436253643442</v>
      </c>
      <c r="O34" s="37">
        <f t="shared" si="1"/>
        <v>8436.9065729286231</v>
      </c>
      <c r="R34" s="37">
        <f t="shared" si="2"/>
        <v>-16561.994622449591</v>
      </c>
      <c r="S34" s="37">
        <f t="shared" si="3"/>
        <v>10655.834601050035</v>
      </c>
      <c r="V34" s="37">
        <f t="shared" si="4"/>
        <v>-88.563746356556294</v>
      </c>
      <c r="W34" s="37">
        <f t="shared" si="5"/>
        <v>-14063.093427071377</v>
      </c>
      <c r="Y34" s="37">
        <f t="shared" si="7"/>
        <v>2948.2328775483902</v>
      </c>
      <c r="Z34" s="37">
        <f t="shared" si="8"/>
        <v>-2836.422957448488</v>
      </c>
      <c r="AA34" s="37">
        <f t="shared" si="9"/>
        <v>4634.1584456588344</v>
      </c>
      <c r="AB34" s="37">
        <f t="shared" si="10"/>
        <v>2080.9464378691923</v>
      </c>
      <c r="AC34" s="37">
        <f t="shared" si="11"/>
        <v>-158.56612339967489</v>
      </c>
      <c r="AD34" s="37">
        <f t="shared" si="12"/>
        <v>-558.51525269642536</v>
      </c>
      <c r="AE34" s="39">
        <f t="shared" si="13"/>
        <v>804.34375684142651</v>
      </c>
      <c r="AF34" s="39">
        <f t="shared" si="14"/>
        <v>487.57628544839872</v>
      </c>
      <c r="AG34" s="39">
        <f t="shared" si="15"/>
        <v>-204.57221429083279</v>
      </c>
      <c r="AH34" s="39">
        <f t="shared" si="16"/>
        <v>114.43040002213262</v>
      </c>
      <c r="AI34" s="39">
        <f t="shared" si="17"/>
        <v>-758.33766595026862</v>
      </c>
      <c r="AJ34" s="39">
        <f t="shared" si="18"/>
        <v>-1160.5219381669567</v>
      </c>
      <c r="AK34" s="37">
        <f t="shared" si="19"/>
        <v>19940.020099127025</v>
      </c>
      <c r="AL34" s="37">
        <f t="shared" si="20"/>
        <v>26294.393823488372</v>
      </c>
      <c r="AM34" s="37">
        <f t="shared" si="21"/>
        <v>14530.210333846764</v>
      </c>
    </row>
    <row r="35" spans="2:39">
      <c r="B35" s="44" t="s">
        <v>0</v>
      </c>
      <c r="C35" s="44"/>
      <c r="D35" s="44"/>
      <c r="E35" s="44"/>
      <c r="F35" s="45"/>
      <c r="L35">
        <v>31</v>
      </c>
      <c r="M35" s="37">
        <f t="shared" si="6"/>
        <v>0.19477874452256713</v>
      </c>
      <c r="N35" s="37">
        <f t="shared" si="0"/>
        <v>24905.452587216671</v>
      </c>
      <c r="O35" s="37">
        <f t="shared" si="1"/>
        <v>8467.7473402543001</v>
      </c>
      <c r="R35" s="37">
        <f t="shared" si="2"/>
        <v>-16566.183188948329</v>
      </c>
      <c r="S35" s="37">
        <f t="shared" si="3"/>
        <v>10677.42313817801</v>
      </c>
      <c r="V35" s="37">
        <f t="shared" si="4"/>
        <v>-94.547412783329492</v>
      </c>
      <c r="W35" s="37">
        <f t="shared" si="5"/>
        <v>-14032.2526597457</v>
      </c>
      <c r="Y35" s="37">
        <f t="shared" si="7"/>
        <v>5245.4913349528479</v>
      </c>
      <c r="Z35" s="37">
        <f t="shared" si="8"/>
        <v>-1865.7641451009449</v>
      </c>
      <c r="AA35" s="37">
        <f t="shared" si="9"/>
        <v>4554.8753839589972</v>
      </c>
      <c r="AB35" s="37">
        <f t="shared" si="10"/>
        <v>1801.6888115209797</v>
      </c>
      <c r="AC35" s="37">
        <f t="shared" si="11"/>
        <v>24.342955029085147</v>
      </c>
      <c r="AD35" s="37">
        <f t="shared" si="12"/>
        <v>-247.36824862864501</v>
      </c>
      <c r="AE35" s="39">
        <f t="shared" si="13"/>
        <v>946.40443165068643</v>
      </c>
      <c r="AF35" s="39">
        <f t="shared" si="14"/>
        <v>600.75200699272546</v>
      </c>
      <c r="AG35" s="39">
        <f t="shared" si="15"/>
        <v>-190.59652225736752</v>
      </c>
      <c r="AH35" s="39">
        <f t="shared" si="16"/>
        <v>89.583258649088577</v>
      </c>
      <c r="AI35" s="39">
        <f t="shared" si="17"/>
        <v>-731.46495436423379</v>
      </c>
      <c r="AJ35" s="39">
        <f t="shared" si="18"/>
        <v>-937.70351427045898</v>
      </c>
      <c r="AK35" s="37">
        <f t="shared" si="19"/>
        <v>17476.07118229409</v>
      </c>
      <c r="AL35" s="37">
        <f t="shared" si="20"/>
        <v>27895.002984232542</v>
      </c>
      <c r="AM35" s="37">
        <f t="shared" si="21"/>
        <v>16657.678235177609</v>
      </c>
    </row>
    <row r="36" spans="2:39" ht="18">
      <c r="B36" s="28" t="s">
        <v>44</v>
      </c>
      <c r="C36" s="25" t="s">
        <v>45</v>
      </c>
      <c r="D36" s="29">
        <v>20000</v>
      </c>
      <c r="E36" s="30">
        <v>7500</v>
      </c>
      <c r="F36" s="31" t="s">
        <v>36</v>
      </c>
      <c r="L36">
        <v>32</v>
      </c>
      <c r="M36" s="37">
        <f t="shared" si="6"/>
        <v>0.20106192982974672</v>
      </c>
      <c r="N36" s="37">
        <f t="shared" si="0"/>
        <v>24899.275261921233</v>
      </c>
      <c r="O36" s="37">
        <f t="shared" si="1"/>
        <v>8498.5499025720346</v>
      </c>
      <c r="R36" s="37">
        <f t="shared" si="2"/>
        <v>-16570.507316655137</v>
      </c>
      <c r="S36" s="37">
        <f t="shared" si="3"/>
        <v>10698.984931800424</v>
      </c>
      <c r="V36" s="37">
        <f t="shared" si="4"/>
        <v>-100.72473807876577</v>
      </c>
      <c r="W36" s="37">
        <f t="shared" si="5"/>
        <v>-14001.450097427965</v>
      </c>
      <c r="Y36" s="37">
        <f t="shared" si="7"/>
        <v>7525.9718963109817</v>
      </c>
      <c r="Z36" s="37">
        <f t="shared" si="8"/>
        <v>-995.84077041903572</v>
      </c>
      <c r="AA36" s="37">
        <f t="shared" si="9"/>
        <v>4567.04686147354</v>
      </c>
      <c r="AB36" s="37">
        <f t="shared" si="10"/>
        <v>1678.0046872066573</v>
      </c>
      <c r="AC36" s="37">
        <f t="shared" si="11"/>
        <v>245.41226128463825</v>
      </c>
      <c r="AD36" s="37">
        <f t="shared" si="12"/>
        <v>59.027905486397231</v>
      </c>
      <c r="AE36" s="39">
        <f t="shared" si="13"/>
        <v>1100.6020001216418</v>
      </c>
      <c r="AF36" s="39">
        <f t="shared" si="14"/>
        <v>749.60063156125875</v>
      </c>
      <c r="AG36" s="39">
        <f t="shared" si="15"/>
        <v>-174.98586661727859</v>
      </c>
      <c r="AH36" s="39">
        <f t="shared" si="16"/>
        <v>69.901863361825505</v>
      </c>
      <c r="AI36" s="39">
        <f t="shared" si="17"/>
        <v>-680.20387221972499</v>
      </c>
      <c r="AJ36" s="39">
        <f t="shared" si="18"/>
        <v>-760.47458943668698</v>
      </c>
      <c r="AK36" s="37">
        <f t="shared" si="19"/>
        <v>15092.404961699702</v>
      </c>
      <c r="AL36" s="37">
        <f t="shared" si="20"/>
        <v>29640.979118188916</v>
      </c>
      <c r="AM36" s="37">
        <f t="shared" si="21"/>
        <v>18788.731933651889</v>
      </c>
    </row>
    <row r="37" spans="2:39" ht="18">
      <c r="B37" s="21" t="s">
        <v>46</v>
      </c>
      <c r="C37" s="22" t="s">
        <v>47</v>
      </c>
      <c r="D37" s="41">
        <v>5000</v>
      </c>
      <c r="E37" s="41"/>
      <c r="F37" s="32" t="s">
        <v>36</v>
      </c>
      <c r="L37">
        <v>33</v>
      </c>
      <c r="M37" s="37">
        <f t="shared" si="6"/>
        <v>0.2073451151369263</v>
      </c>
      <c r="N37" s="37">
        <f t="shared" si="0"/>
        <v>24892.904521627359</v>
      </c>
      <c r="O37" s="37">
        <f t="shared" si="1"/>
        <v>8529.3130438494063</v>
      </c>
      <c r="R37" s="37">
        <f t="shared" si="2"/>
        <v>-16574.966834860847</v>
      </c>
      <c r="S37" s="37">
        <f t="shared" si="3"/>
        <v>10720.519130694585</v>
      </c>
      <c r="V37" s="37">
        <f t="shared" si="4"/>
        <v>-107.09547837263926</v>
      </c>
      <c r="W37" s="37">
        <f t="shared" si="5"/>
        <v>-13970.686956150594</v>
      </c>
      <c r="Y37" s="37">
        <f t="shared" si="7"/>
        <v>9840.1718597083327</v>
      </c>
      <c r="Z37" s="37">
        <f t="shared" si="8"/>
        <v>-149.45993862990741</v>
      </c>
      <c r="AA37" s="37">
        <f t="shared" si="9"/>
        <v>4689.7529921158593</v>
      </c>
      <c r="AB37" s="37">
        <f t="shared" si="10"/>
        <v>1707.5186399498559</v>
      </c>
      <c r="AC37" s="37">
        <f t="shared" si="11"/>
        <v>479.15964287297891</v>
      </c>
      <c r="AD37" s="37">
        <f t="shared" si="12"/>
        <v>381.69743479746739</v>
      </c>
      <c r="AE37" s="39">
        <f t="shared" si="13"/>
        <v>1256.2871954979166</v>
      </c>
      <c r="AF37" s="39">
        <f t="shared" si="14"/>
        <v>945.87412706955024</v>
      </c>
      <c r="AG37" s="39">
        <f t="shared" si="15"/>
        <v>-159.22558040428984</v>
      </c>
      <c r="AH37" s="39">
        <f t="shared" si="16"/>
        <v>54.156981974373615</v>
      </c>
      <c r="AI37" s="39">
        <f t="shared" si="17"/>
        <v>-617.90197222064796</v>
      </c>
      <c r="AJ37" s="39">
        <f t="shared" si="18"/>
        <v>-618.33367424645644</v>
      </c>
      <c r="AK37" s="37">
        <f t="shared" si="19"/>
        <v>12717.560504788893</v>
      </c>
      <c r="AL37" s="37">
        <f t="shared" si="20"/>
        <v>31519.000518144327</v>
      </c>
      <c r="AM37" s="37">
        <f t="shared" si="21"/>
        <v>20994.505017743028</v>
      </c>
    </row>
    <row r="38" spans="2:39" ht="18.75">
      <c r="B38" s="28" t="s">
        <v>48</v>
      </c>
      <c r="C38" s="25" t="s">
        <v>49</v>
      </c>
      <c r="D38" s="49">
        <v>1</v>
      </c>
      <c r="E38" s="49"/>
      <c r="F38" s="31" t="s">
        <v>50</v>
      </c>
      <c r="L38">
        <v>34</v>
      </c>
      <c r="M38" s="37">
        <f t="shared" si="6"/>
        <v>0.21362830044410588</v>
      </c>
      <c r="N38" s="37">
        <f t="shared" si="0"/>
        <v>24886.340617840968</v>
      </c>
      <c r="O38" s="37">
        <f t="shared" si="1"/>
        <v>8560.0355496102729</v>
      </c>
      <c r="R38" s="37">
        <f t="shared" si="2"/>
        <v>-16579.561567511322</v>
      </c>
      <c r="S38" s="37">
        <f t="shared" si="3"/>
        <v>10742.024884727191</v>
      </c>
      <c r="V38" s="37">
        <f t="shared" si="4"/>
        <v>-113.65938215903225</v>
      </c>
      <c r="W38" s="37">
        <f t="shared" si="5"/>
        <v>-13939.964450389727</v>
      </c>
      <c r="Y38" s="37">
        <f t="shared" si="7"/>
        <v>12244.943311125386</v>
      </c>
      <c r="Z38" s="37">
        <f t="shared" si="8"/>
        <v>752.01156069470392</v>
      </c>
      <c r="AA38" s="37">
        <f t="shared" si="9"/>
        <v>4929.3328135523489</v>
      </c>
      <c r="AB38" s="37">
        <f t="shared" si="10"/>
        <v>1898.3673573485896</v>
      </c>
      <c r="AC38" s="37">
        <f t="shared" si="11"/>
        <v>682.12685643872692</v>
      </c>
      <c r="AD38" s="37">
        <f t="shared" si="12"/>
        <v>736.21606923396212</v>
      </c>
      <c r="AE38" s="39">
        <f t="shared" si="13"/>
        <v>1376.5987598174665</v>
      </c>
      <c r="AF38" s="39">
        <f t="shared" si="14"/>
        <v>1197.8342505396049</v>
      </c>
      <c r="AG38" s="39">
        <f t="shared" si="15"/>
        <v>-143.91532361151002</v>
      </c>
      <c r="AH38" s="39">
        <f t="shared" si="16"/>
        <v>41.275533845919924</v>
      </c>
      <c r="AI38" s="39">
        <f t="shared" si="17"/>
        <v>-550.55657976722955</v>
      </c>
      <c r="AJ38" s="39">
        <f t="shared" si="18"/>
        <v>-502.89371515156262</v>
      </c>
      <c r="AK38" s="37">
        <f t="shared" si="19"/>
        <v>10279.89553568794</v>
      </c>
      <c r="AL38" s="37">
        <f t="shared" si="20"/>
        <v>33544.92002242984</v>
      </c>
      <c r="AM38" s="37">
        <f t="shared" si="21"/>
        <v>23356.239808928745</v>
      </c>
    </row>
    <row r="39" spans="2:39" ht="18.75">
      <c r="B39" s="21" t="s">
        <v>51</v>
      </c>
      <c r="C39" s="22" t="s">
        <v>52</v>
      </c>
      <c r="D39" s="43">
        <f>4/3*PI()*D37^3</f>
        <v>523598775598.29883</v>
      </c>
      <c r="E39" s="43"/>
      <c r="F39" s="32" t="s">
        <v>53</v>
      </c>
      <c r="L39">
        <v>35</v>
      </c>
      <c r="M39" s="37">
        <f t="shared" si="6"/>
        <v>0.21991148575128547</v>
      </c>
      <c r="N39" s="37">
        <f t="shared" si="0"/>
        <v>24879.583809693737</v>
      </c>
      <c r="O39" s="37">
        <f t="shared" si="1"/>
        <v>8590.7162069827118</v>
      </c>
      <c r="R39" s="37">
        <f t="shared" si="2"/>
        <v>-16584.291333214383</v>
      </c>
      <c r="S39" s="37">
        <f t="shared" si="3"/>
        <v>10763.501344887898</v>
      </c>
      <c r="V39" s="37">
        <f t="shared" si="4"/>
        <v>-120.41619030626316</v>
      </c>
      <c r="W39" s="37">
        <f t="shared" si="5"/>
        <v>-13909.283793017288</v>
      </c>
      <c r="Y39" s="37">
        <f t="shared" si="7"/>
        <v>14794.875574956401</v>
      </c>
      <c r="Z39" s="37">
        <f t="shared" si="8"/>
        <v>1793.222248023244</v>
      </c>
      <c r="AA39" s="37">
        <f t="shared" si="9"/>
        <v>5270.3962417717121</v>
      </c>
      <c r="AB39" s="37">
        <f t="shared" si="10"/>
        <v>2266.4753919655705</v>
      </c>
      <c r="AC39" s="37">
        <f t="shared" si="11"/>
        <v>740.19706682645642</v>
      </c>
      <c r="AD39" s="37">
        <f t="shared" si="12"/>
        <v>1103.1591436843355</v>
      </c>
      <c r="AE39" s="39">
        <f t="shared" si="13"/>
        <v>1350.930383187035</v>
      </c>
      <c r="AF39" s="39">
        <f t="shared" si="14"/>
        <v>1481.1287542231285</v>
      </c>
      <c r="AG39" s="39">
        <f t="shared" si="15"/>
        <v>-129.26610902667738</v>
      </c>
      <c r="AH39" s="39">
        <f t="shared" si="16"/>
        <v>30.488921432105652</v>
      </c>
      <c r="AI39" s="39">
        <f t="shared" si="17"/>
        <v>-481.46720733390106</v>
      </c>
      <c r="AJ39" s="39">
        <f t="shared" si="18"/>
        <v>-408.45853197089855</v>
      </c>
      <c r="AK39" s="37">
        <f t="shared" si="19"/>
        <v>7724.0295565619335</v>
      </c>
      <c r="AL39" s="37">
        <f t="shared" si="20"/>
        <v>35749.609331390435</v>
      </c>
      <c r="AM39" s="37">
        <f t="shared" si="21"/>
        <v>25958.609602586737</v>
      </c>
    </row>
    <row r="40" spans="2:39" ht="18.75">
      <c r="B40" s="28" t="s">
        <v>54</v>
      </c>
      <c r="C40" s="25" t="s">
        <v>55</v>
      </c>
      <c r="D40" s="46">
        <f>D38*D39</f>
        <v>523598775598.29883</v>
      </c>
      <c r="E40" s="46"/>
      <c r="F40" s="31" t="s">
        <v>56</v>
      </c>
      <c r="L40">
        <v>36</v>
      </c>
      <c r="M40" s="37">
        <f t="shared" si="6"/>
        <v>0.22619467105846505</v>
      </c>
      <c r="N40" s="37">
        <f t="shared" si="0"/>
        <v>24872.634363932884</v>
      </c>
      <c r="O40" s="37">
        <f t="shared" si="1"/>
        <v>8621.3538047469046</v>
      </c>
      <c r="R40" s="37">
        <f t="shared" si="2"/>
        <v>-16589.155945246981</v>
      </c>
      <c r="S40" s="37">
        <f t="shared" si="3"/>
        <v>10784.947663322833</v>
      </c>
      <c r="V40" s="37">
        <f t="shared" si="4"/>
        <v>-127.36563606711479</v>
      </c>
      <c r="W40" s="37">
        <f t="shared" si="5"/>
        <v>-13878.646195253095</v>
      </c>
      <c r="Y40" s="37">
        <f t="shared" si="7"/>
        <v>17522.598329195564</v>
      </c>
      <c r="Z40" s="37">
        <f t="shared" si="8"/>
        <v>3064.3548369665714</v>
      </c>
      <c r="AA40" s="37">
        <f t="shared" si="9"/>
        <v>5640.4947751849404</v>
      </c>
      <c r="AB40" s="37">
        <f t="shared" si="10"/>
        <v>2818.0549638077382</v>
      </c>
      <c r="AC40" s="37">
        <f t="shared" si="11"/>
        <v>390.37174960738781</v>
      </c>
      <c r="AD40" s="37">
        <f t="shared" si="12"/>
        <v>1335.5262674229382</v>
      </c>
      <c r="AE40" s="39">
        <f t="shared" si="13"/>
        <v>919.19897357016714</v>
      </c>
      <c r="AF40" s="39">
        <f t="shared" si="14"/>
        <v>1645.772879315886</v>
      </c>
      <c r="AG40" s="39">
        <f t="shared" si="15"/>
        <v>-115.41436812639621</v>
      </c>
      <c r="AH40" s="39">
        <f t="shared" si="16"/>
        <v>21.333093647130717</v>
      </c>
      <c r="AI40" s="39">
        <f t="shared" si="17"/>
        <v>-413.41285583638313</v>
      </c>
      <c r="AJ40" s="39">
        <f t="shared" si="18"/>
        <v>-331.57970554007858</v>
      </c>
      <c r="AK40" s="37">
        <f t="shared" si="19"/>
        <v>5080.5971155806546</v>
      </c>
      <c r="AL40" s="37">
        <f t="shared" si="20"/>
        <v>38158.204349807376</v>
      </c>
      <c r="AM40" s="37">
        <f t="shared" si="21"/>
        <v>28871.930160176689</v>
      </c>
    </row>
    <row r="41" spans="2:39" ht="18">
      <c r="B41" s="21" t="s">
        <v>57</v>
      </c>
      <c r="C41" s="26" t="s">
        <v>58</v>
      </c>
      <c r="D41" s="41">
        <f>D37*D16</f>
        <v>10000</v>
      </c>
      <c r="E41" s="41"/>
      <c r="F41" s="32" t="s">
        <v>36</v>
      </c>
      <c r="L41">
        <v>37</v>
      </c>
      <c r="M41" s="37">
        <f t="shared" si="6"/>
        <v>0.23247785636564464</v>
      </c>
      <c r="N41" s="37">
        <f t="shared" si="0"/>
        <v>24865.492554910634</v>
      </c>
      <c r="O41" s="37">
        <f t="shared" si="1"/>
        <v>8651.9471333829533</v>
      </c>
      <c r="R41" s="37">
        <f t="shared" si="2"/>
        <v>-16594.155211562556</v>
      </c>
      <c r="S41" s="37">
        <f t="shared" si="3"/>
        <v>10806.362993368068</v>
      </c>
      <c r="V41" s="37">
        <f t="shared" si="4"/>
        <v>-134.50744508936714</v>
      </c>
      <c r="W41" s="37">
        <f t="shared" si="5"/>
        <v>-13848.052866617047</v>
      </c>
      <c r="Y41" s="37">
        <f t="shared" si="7"/>
        <v>20391.642185488956</v>
      </c>
      <c r="Z41" s="37">
        <f t="shared" si="8"/>
        <v>4640.3231022983082</v>
      </c>
      <c r="AA41" s="37">
        <f t="shared" si="9"/>
        <v>5835.6806499886343</v>
      </c>
      <c r="AB41" s="37">
        <f t="shared" si="10"/>
        <v>3485.8180975192072</v>
      </c>
      <c r="AC41" s="37">
        <f t="shared" si="11"/>
        <v>-634.30741702950922</v>
      </c>
      <c r="AD41" s="37">
        <f t="shared" si="12"/>
        <v>1071.0297485877834</v>
      </c>
      <c r="AE41" s="39">
        <f t="shared" si="13"/>
        <v>-181.86877616465694</v>
      </c>
      <c r="AF41" s="39">
        <f t="shared" si="14"/>
        <v>1327.9619940891575</v>
      </c>
      <c r="AG41" s="39">
        <f t="shared" si="15"/>
        <v>-102.65752136464454</v>
      </c>
      <c r="AH41" s="39">
        <f t="shared" si="16"/>
        <v>13.621905816720451</v>
      </c>
      <c r="AI41" s="39">
        <f t="shared" si="17"/>
        <v>-349.78111950020781</v>
      </c>
      <c r="AJ41" s="39">
        <f t="shared" si="18"/>
        <v>-270.55415131809474</v>
      </c>
      <c r="AK41" s="37">
        <f t="shared" si="19"/>
        <v>2886.370655460476</v>
      </c>
      <c r="AL41" s="37">
        <f t="shared" si="20"/>
        <v>40745.685598457268</v>
      </c>
      <c r="AM41" s="37">
        <f t="shared" si="21"/>
        <v>32101.055815012922</v>
      </c>
    </row>
    <row r="42" spans="2:39">
      <c r="B42" s="28" t="s">
        <v>59</v>
      </c>
      <c r="C42" s="27"/>
      <c r="D42" s="48" t="s">
        <v>60</v>
      </c>
      <c r="E42" s="48"/>
      <c r="F42" s="31" t="s">
        <v>29</v>
      </c>
      <c r="L42">
        <v>38</v>
      </c>
      <c r="M42" s="37">
        <f t="shared" si="6"/>
        <v>0.23876104167282422</v>
      </c>
      <c r="N42" s="37">
        <f t="shared" si="0"/>
        <v>24858.15866457337</v>
      </c>
      <c r="O42" s="37">
        <f t="shared" si="1"/>
        <v>8682.4949851186229</v>
      </c>
      <c r="R42" s="37">
        <f t="shared" si="2"/>
        <v>-16599.288934798642</v>
      </c>
      <c r="S42" s="37">
        <f t="shared" si="3"/>
        <v>10827.746489583036</v>
      </c>
      <c r="V42" s="37">
        <f t="shared" si="4"/>
        <v>-141.84133542663039</v>
      </c>
      <c r="W42" s="37">
        <f t="shared" si="5"/>
        <v>-13817.505014881377</v>
      </c>
      <c r="Y42" s="37">
        <f t="shared" si="7"/>
        <v>23230.194083354585</v>
      </c>
      <c r="Z42" s="37">
        <f t="shared" si="8"/>
        <v>6517.110869631384</v>
      </c>
      <c r="AA42" s="37">
        <f t="shared" si="9"/>
        <v>5518.5269414738796</v>
      </c>
      <c r="AB42" s="37">
        <f t="shared" si="10"/>
        <v>4021.332971813099</v>
      </c>
      <c r="AC42" s="37">
        <f t="shared" si="11"/>
        <v>-1824.769673795543</v>
      </c>
      <c r="AD42" s="37">
        <f t="shared" si="12"/>
        <v>220.4241776798219</v>
      </c>
      <c r="AE42" s="39">
        <f t="shared" si="13"/>
        <v>-1438.4611549708354</v>
      </c>
      <c r="AF42" s="39">
        <f t="shared" si="14"/>
        <v>437.69748726987507</v>
      </c>
      <c r="AG42" s="39">
        <f t="shared" si="15"/>
        <v>-91.569458996502973</v>
      </c>
      <c r="AH42" s="39">
        <f t="shared" si="16"/>
        <v>7.377396289216632</v>
      </c>
      <c r="AI42" s="39">
        <f t="shared" si="17"/>
        <v>-294.73905982820452</v>
      </c>
      <c r="AJ42" s="39">
        <f t="shared" si="18"/>
        <v>-224.65070587926979</v>
      </c>
      <c r="AK42" s="37">
        <f t="shared" si="19"/>
        <v>3376.4219017675714</v>
      </c>
      <c r="AL42" s="37">
        <f t="shared" si="20"/>
        <v>43370.268585506194</v>
      </c>
      <c r="AM42" s="37">
        <f t="shared" si="21"/>
        <v>35495.491518781331</v>
      </c>
    </row>
    <row r="43" spans="2:39">
      <c r="L43">
        <v>39</v>
      </c>
      <c r="M43" s="37">
        <f t="shared" si="6"/>
        <v>0.2450442269800038</v>
      </c>
      <c r="N43" s="37">
        <f t="shared" si="0"/>
        <v>24850.63298245053</v>
      </c>
      <c r="O43" s="37">
        <f t="shared" si="1"/>
        <v>8712.9961539770375</v>
      </c>
      <c r="R43" s="37">
        <f t="shared" si="2"/>
        <v>-16604.556912284628</v>
      </c>
      <c r="S43" s="37">
        <f t="shared" si="3"/>
        <v>10849.097307783926</v>
      </c>
      <c r="V43" s="37">
        <f t="shared" si="4"/>
        <v>-149.3670175494708</v>
      </c>
      <c r="W43" s="37">
        <f t="shared" si="5"/>
        <v>-13787.003846022963</v>
      </c>
      <c r="Y43" s="37">
        <f t="shared" si="7"/>
        <v>25761.36134486708</v>
      </c>
      <c r="Z43" s="37">
        <f t="shared" si="8"/>
        <v>8555.3303777479105</v>
      </c>
      <c r="AA43" s="37">
        <f t="shared" si="9"/>
        <v>4606.1421045761081</v>
      </c>
      <c r="AB43" s="37">
        <f t="shared" si="10"/>
        <v>4131.5450606530103</v>
      </c>
      <c r="AC43" s="37">
        <f t="shared" si="11"/>
        <v>-2272.2176742244569</v>
      </c>
      <c r="AD43" s="37">
        <f t="shared" si="12"/>
        <v>-544.90775074931901</v>
      </c>
      <c r="AE43" s="39">
        <f t="shared" si="13"/>
        <v>-1938.0979909964697</v>
      </c>
      <c r="AF43" s="39">
        <f t="shared" si="14"/>
        <v>-355.0087492382338</v>
      </c>
      <c r="AG43" s="39">
        <f t="shared" si="15"/>
        <v>-82.716710765593078</v>
      </c>
      <c r="AH43" s="39">
        <f t="shared" si="16"/>
        <v>2.611336633871109</v>
      </c>
      <c r="AI43" s="39">
        <f t="shared" si="17"/>
        <v>-251.40297246239408</v>
      </c>
      <c r="AJ43" s="39">
        <f t="shared" si="18"/>
        <v>-192.51033814495636</v>
      </c>
      <c r="AK43" s="37">
        <f t="shared" si="19"/>
        <v>5857.2183459664675</v>
      </c>
      <c r="AL43" s="37">
        <f t="shared" si="20"/>
        <v>45784.159514541192</v>
      </c>
      <c r="AM43" s="37">
        <f t="shared" si="21"/>
        <v>38744.224614700142</v>
      </c>
    </row>
    <row r="44" spans="2:39">
      <c r="L44">
        <v>40</v>
      </c>
      <c r="M44" s="37">
        <f t="shared" si="6"/>
        <v>0.25132741228718342</v>
      </c>
      <c r="N44" s="37">
        <f t="shared" si="0"/>
        <v>24842.915805643155</v>
      </c>
      <c r="O44" s="37">
        <f t="shared" si="1"/>
        <v>8743.4494358242737</v>
      </c>
      <c r="R44" s="37">
        <f t="shared" si="2"/>
        <v>-16609.958936049792</v>
      </c>
      <c r="S44" s="37">
        <f t="shared" si="3"/>
        <v>10870.414605076992</v>
      </c>
      <c r="V44" s="37">
        <f t="shared" si="4"/>
        <v>-157.08419435684482</v>
      </c>
      <c r="W44" s="37">
        <f t="shared" si="5"/>
        <v>-13756.550564175726</v>
      </c>
      <c r="Y44" s="37">
        <f t="shared" si="7"/>
        <v>27780.405187877077</v>
      </c>
      <c r="Z44" s="37">
        <f t="shared" si="8"/>
        <v>10552.989439230751</v>
      </c>
      <c r="AA44" s="37">
        <f t="shared" si="9"/>
        <v>3470.0332674638794</v>
      </c>
      <c r="AB44" s="37">
        <f t="shared" si="10"/>
        <v>3859.0911852783506</v>
      </c>
      <c r="AC44" s="37">
        <f t="shared" si="11"/>
        <v>-2136.152517375268</v>
      </c>
      <c r="AD44" s="37">
        <f t="shared" si="12"/>
        <v>-894.25186347611248</v>
      </c>
      <c r="AE44" s="39">
        <f t="shared" si="13"/>
        <v>-1840.2702697486072</v>
      </c>
      <c r="AF44" s="39">
        <f t="shared" si="14"/>
        <v>-722.11222464698028</v>
      </c>
      <c r="AG44" s="39">
        <f t="shared" si="15"/>
        <v>-76.185709586549123</v>
      </c>
      <c r="AH44" s="39">
        <f t="shared" si="16"/>
        <v>-0.88173996549430456</v>
      </c>
      <c r="AI44" s="39">
        <f t="shared" si="17"/>
        <v>-219.69653804011145</v>
      </c>
      <c r="AJ44" s="39">
        <f t="shared" si="18"/>
        <v>-171.25789886363796</v>
      </c>
      <c r="AK44" s="37">
        <f t="shared" si="19"/>
        <v>8357.9572506443837</v>
      </c>
      <c r="AL44" s="37">
        <f t="shared" si="20"/>
        <v>47783.605109259086</v>
      </c>
      <c r="AM44" s="37">
        <f t="shared" si="21"/>
        <v>41563.327989500991</v>
      </c>
    </row>
    <row r="45" spans="2:39">
      <c r="L45">
        <v>41</v>
      </c>
      <c r="M45" s="37">
        <f t="shared" si="6"/>
        <v>0.257610597594363</v>
      </c>
      <c r="N45" s="37">
        <f t="shared" si="0"/>
        <v>24835.007438812176</v>
      </c>
      <c r="O45" s="37">
        <f t="shared" si="1"/>
        <v>8773.8536284169113</v>
      </c>
      <c r="R45" s="37">
        <f t="shared" si="2"/>
        <v>-16615.494792831476</v>
      </c>
      <c r="S45" s="37">
        <f t="shared" si="3"/>
        <v>10891.697539891837</v>
      </c>
      <c r="V45" s="37">
        <f t="shared" si="4"/>
        <v>-164.99256118782432</v>
      </c>
      <c r="W45" s="37">
        <f t="shared" si="5"/>
        <v>-13726.146371583089</v>
      </c>
      <c r="Y45" s="37">
        <f t="shared" si="7"/>
        <v>29248.402756937106</v>
      </c>
      <c r="Z45" s="37">
        <f t="shared" si="8"/>
        <v>12370.753548935412</v>
      </c>
      <c r="AA45" s="37">
        <f t="shared" si="9"/>
        <v>2401.9570087762454</v>
      </c>
      <c r="AB45" s="37">
        <f t="shared" si="10"/>
        <v>3411.9652535402943</v>
      </c>
      <c r="AC45" s="37">
        <f t="shared" si="11"/>
        <v>-1868.5484558918351</v>
      </c>
      <c r="AD45" s="37">
        <f t="shared" si="12"/>
        <v>-1003.5635532241394</v>
      </c>
      <c r="AE45" s="39">
        <f t="shared" si="13"/>
        <v>-1599.7228995425221</v>
      </c>
      <c r="AF45" s="39">
        <f t="shared" si="14"/>
        <v>-842.50828981419716</v>
      </c>
      <c r="AG45" s="39">
        <f t="shared" si="15"/>
        <v>-71.614445604985363</v>
      </c>
      <c r="AH45" s="39">
        <f t="shared" si="16"/>
        <v>-3.4474255319711036</v>
      </c>
      <c r="AI45" s="39">
        <f t="shared" si="17"/>
        <v>-197.21111074432764</v>
      </c>
      <c r="AJ45" s="39">
        <f t="shared" si="18"/>
        <v>-157.60783787797104</v>
      </c>
      <c r="AK45" s="37">
        <f t="shared" si="19"/>
        <v>10452.616595330988</v>
      </c>
      <c r="AL45" s="37">
        <f t="shared" si="20"/>
        <v>49305.43222099651</v>
      </c>
      <c r="AM45" s="37">
        <f t="shared" si="21"/>
        <v>43841.889115752507</v>
      </c>
    </row>
    <row r="46" spans="2:39">
      <c r="B46" s="47" t="s">
        <v>1</v>
      </c>
      <c r="C46" s="47"/>
      <c r="D46" s="47"/>
      <c r="E46" s="47"/>
      <c r="F46" s="47"/>
      <c r="L46">
        <v>42</v>
      </c>
      <c r="M46" s="37">
        <f t="shared" si="6"/>
        <v>0.26389378290154258</v>
      </c>
      <c r="N46" s="37">
        <f t="shared" si="0"/>
        <v>24826.908194166368</v>
      </c>
      <c r="O46" s="37">
        <f t="shared" si="1"/>
        <v>8804.207531449485</v>
      </c>
      <c r="R46" s="37">
        <f t="shared" si="2"/>
        <v>-16621.164264083542</v>
      </c>
      <c r="S46" s="37">
        <f t="shared" si="3"/>
        <v>10912.945272014638</v>
      </c>
      <c r="V46" s="37">
        <f t="shared" si="4"/>
        <v>-173.09180583363104</v>
      </c>
      <c r="W46" s="37">
        <f t="shared" si="5"/>
        <v>-13695.792468550515</v>
      </c>
      <c r="Y46" s="37">
        <f t="shared" si="7"/>
        <v>30215.81270433875</v>
      </c>
      <c r="Z46" s="37">
        <f t="shared" si="8"/>
        <v>13951.290731552541</v>
      </c>
      <c r="AA46" s="37">
        <f t="shared" si="9"/>
        <v>1467.6827808303278</v>
      </c>
      <c r="AB46" s="37">
        <f t="shared" si="10"/>
        <v>2910.1834769282245</v>
      </c>
      <c r="AC46" s="37">
        <f t="shared" si="11"/>
        <v>-1636.42268118637</v>
      </c>
      <c r="AD46" s="37">
        <f t="shared" si="12"/>
        <v>-1030.0653862048114</v>
      </c>
      <c r="AE46" s="39">
        <f t="shared" si="13"/>
        <v>-1386.4895523431758</v>
      </c>
      <c r="AF46" s="39">
        <f t="shared" si="14"/>
        <v>-875.5688320937096</v>
      </c>
      <c r="AG46" s="39">
        <f t="shared" si="15"/>
        <v>-68.569323456643275</v>
      </c>
      <c r="AH46" s="39">
        <f t="shared" si="16"/>
        <v>-5.3954584751677892</v>
      </c>
      <c r="AI46" s="39">
        <f t="shared" si="17"/>
        <v>-181.36380538655101</v>
      </c>
      <c r="AJ46" s="39">
        <f t="shared" si="18"/>
        <v>-149.10109563593403</v>
      </c>
      <c r="AK46" s="37">
        <f t="shared" si="19"/>
        <v>12082.300332020584</v>
      </c>
      <c r="AL46" s="37">
        <f t="shared" si="20"/>
        <v>50371.028816200313</v>
      </c>
      <c r="AM46" s="37">
        <f t="shared" si="21"/>
        <v>45588.712412722809</v>
      </c>
    </row>
    <row r="47" spans="2:39" ht="18">
      <c r="B47" s="21" t="s">
        <v>61</v>
      </c>
      <c r="C47" s="25" t="s">
        <v>45</v>
      </c>
      <c r="D47" s="34">
        <v>-20000</v>
      </c>
      <c r="E47" s="35">
        <v>10000</v>
      </c>
      <c r="F47" s="32" t="s">
        <v>36</v>
      </c>
      <c r="L47">
        <v>43</v>
      </c>
      <c r="M47" s="37">
        <f t="shared" si="6"/>
        <v>0.27017696820872217</v>
      </c>
      <c r="N47" s="37">
        <f t="shared" si="0"/>
        <v>24818.618391450051</v>
      </c>
      <c r="O47" s="37">
        <f t="shared" si="1"/>
        <v>8834.5099466018783</v>
      </c>
      <c r="R47" s="37">
        <f t="shared" si="2"/>
        <v>-16626.967125984967</v>
      </c>
      <c r="S47" s="37">
        <f t="shared" si="3"/>
        <v>10934.156962621315</v>
      </c>
      <c r="V47" s="37">
        <f t="shared" si="4"/>
        <v>-181.38160854995112</v>
      </c>
      <c r="W47" s="37">
        <f t="shared" si="5"/>
        <v>-13665.490053398122</v>
      </c>
      <c r="Y47" s="37">
        <f t="shared" si="7"/>
        <v>30745.101259605617</v>
      </c>
      <c r="Z47" s="37">
        <f t="shared" si="8"/>
        <v>15277.624296741053</v>
      </c>
      <c r="AA47" s="37">
        <f t="shared" si="9"/>
        <v>649.47144023714282</v>
      </c>
      <c r="AB47" s="37">
        <f t="shared" si="10"/>
        <v>2395.150783825819</v>
      </c>
      <c r="AC47" s="37">
        <f t="shared" si="11"/>
        <v>-1464.372697520776</v>
      </c>
      <c r="AD47" s="37">
        <f t="shared" si="12"/>
        <v>-1039.5754306294641</v>
      </c>
      <c r="AE47" s="39">
        <f t="shared" si="13"/>
        <v>-1227.3452495501792</v>
      </c>
      <c r="AF47" s="39">
        <f t="shared" si="14"/>
        <v>-888.38904378473467</v>
      </c>
      <c r="AG47" s="39">
        <f t="shared" si="15"/>
        <v>-66.733910848600345</v>
      </c>
      <c r="AH47" s="39">
        <f t="shared" si="16"/>
        <v>-6.9405026410200872</v>
      </c>
      <c r="AI47" s="39">
        <f t="shared" si="17"/>
        <v>-170.29353712199654</v>
      </c>
      <c r="AJ47" s="39">
        <f t="shared" si="18"/>
        <v>-144.24588420370932</v>
      </c>
      <c r="AK47" s="37">
        <f t="shared" si="19"/>
        <v>13264.563346768524</v>
      </c>
      <c r="AL47" s="37">
        <f t="shared" si="20"/>
        <v>51018.806533132265</v>
      </c>
      <c r="AM47" s="37">
        <f t="shared" si="21"/>
        <v>46844.922853112519</v>
      </c>
    </row>
    <row r="48" spans="2:39" ht="18.75">
      <c r="B48" s="21" t="s">
        <v>46</v>
      </c>
      <c r="C48" s="22" t="s">
        <v>47</v>
      </c>
      <c r="D48" s="41">
        <v>3500</v>
      </c>
      <c r="E48" s="41"/>
      <c r="F48" s="31" t="s">
        <v>56</v>
      </c>
      <c r="L48">
        <v>44</v>
      </c>
      <c r="M48" s="37">
        <f t="shared" si="6"/>
        <v>0.27646015351590175</v>
      </c>
      <c r="N48" s="37">
        <f t="shared" si="0"/>
        <v>24810.138357930431</v>
      </c>
      <c r="O48" s="37">
        <f t="shared" si="1"/>
        <v>8864.7596775866259</v>
      </c>
      <c r="R48" s="37">
        <f t="shared" si="2"/>
        <v>-16632.903149448699</v>
      </c>
      <c r="S48" s="37">
        <f t="shared" si="3"/>
        <v>10955.331774310638</v>
      </c>
      <c r="V48" s="37">
        <f t="shared" si="4"/>
        <v>-189.86164206957073</v>
      </c>
      <c r="W48" s="37">
        <f t="shared" si="5"/>
        <v>-13635.240322413374</v>
      </c>
      <c r="Y48" s="37">
        <f t="shared" si="7"/>
        <v>30886.790392534094</v>
      </c>
      <c r="Z48" s="37">
        <f t="shared" si="8"/>
        <v>16345.25275982528</v>
      </c>
      <c r="AA48" s="37">
        <f t="shared" si="9"/>
        <v>-82.714908523245185</v>
      </c>
      <c r="AB48" s="37">
        <f t="shared" si="10"/>
        <v>1875.363068511087</v>
      </c>
      <c r="AC48" s="37">
        <f t="shared" si="11"/>
        <v>-1343.772939080673</v>
      </c>
      <c r="AD48" s="37">
        <f t="shared" si="12"/>
        <v>-1056.3730161911585</v>
      </c>
      <c r="AE48" s="39">
        <f t="shared" si="13"/>
        <v>-1115.0360284066739</v>
      </c>
      <c r="AF48" s="39">
        <f t="shared" si="14"/>
        <v>-905.93968947288738</v>
      </c>
      <c r="AG48" s="39">
        <f t="shared" si="15"/>
        <v>-65.918141783745909</v>
      </c>
      <c r="AH48" s="39">
        <f t="shared" si="16"/>
        <v>-8.2195647996151529</v>
      </c>
      <c r="AI48" s="39">
        <f t="shared" si="17"/>
        <v>-162.81876889025307</v>
      </c>
      <c r="AJ48" s="39">
        <f t="shared" si="18"/>
        <v>-142.2137619186561</v>
      </c>
      <c r="AK48" s="37">
        <f t="shared" si="19"/>
        <v>14027.141598920622</v>
      </c>
      <c r="AL48" s="37">
        <f t="shared" si="20"/>
        <v>51280.870400567212</v>
      </c>
      <c r="AM48" s="37">
        <f t="shared" si="21"/>
        <v>47648.573905784542</v>
      </c>
    </row>
    <row r="49" spans="2:39" ht="18.75">
      <c r="B49" s="21" t="s">
        <v>48</v>
      </c>
      <c r="C49" s="25" t="s">
        <v>49</v>
      </c>
      <c r="D49" s="41">
        <v>1</v>
      </c>
      <c r="E49" s="41"/>
      <c r="F49" s="32" t="s">
        <v>53</v>
      </c>
      <c r="L49">
        <v>45</v>
      </c>
      <c r="M49" s="37">
        <f t="shared" si="6"/>
        <v>0.28274333882308134</v>
      </c>
      <c r="N49" s="37">
        <f t="shared" si="0"/>
        <v>24801.468428384716</v>
      </c>
      <c r="O49" s="37">
        <f t="shared" si="1"/>
        <v>8894.9555301961464</v>
      </c>
      <c r="R49" s="37">
        <f t="shared" si="2"/>
        <v>-16638.972100130701</v>
      </c>
      <c r="S49" s="37">
        <f t="shared" si="3"/>
        <v>10976.468871137302</v>
      </c>
      <c r="V49" s="37">
        <f t="shared" si="4"/>
        <v>-198.53157161528452</v>
      </c>
      <c r="W49" s="37">
        <f t="shared" si="5"/>
        <v>-13605.044469803854</v>
      </c>
      <c r="Y49" s="37">
        <f t="shared" si="7"/>
        <v>30677.461320887389</v>
      </c>
      <c r="Z49" s="37">
        <f t="shared" si="8"/>
        <v>17150.88766705693</v>
      </c>
      <c r="AA49" s="37">
        <f t="shared" si="9"/>
        <v>-754.60137806358171</v>
      </c>
      <c r="AB49" s="37">
        <f t="shared" si="10"/>
        <v>1347.1765604155078</v>
      </c>
      <c r="AC49" s="37">
        <f t="shared" si="11"/>
        <v>-1262.8570001649875</v>
      </c>
      <c r="AD49" s="37">
        <f t="shared" si="12"/>
        <v>-1090.6484423916361</v>
      </c>
      <c r="AE49" s="39">
        <f t="shared" si="13"/>
        <v>-1038.5932318641521</v>
      </c>
      <c r="AF49" s="39">
        <f t="shared" si="14"/>
        <v>-938.73874240862324</v>
      </c>
      <c r="AG49" s="39">
        <f t="shared" si="15"/>
        <v>-66.030680775163987</v>
      </c>
      <c r="AH49" s="39">
        <f t="shared" si="16"/>
        <v>-9.3173171760259201</v>
      </c>
      <c r="AI49" s="39">
        <f t="shared" si="17"/>
        <v>-158.23308752567141</v>
      </c>
      <c r="AJ49" s="39">
        <f t="shared" si="18"/>
        <v>-142.59238280698705</v>
      </c>
      <c r="AK49" s="37">
        <f t="shared" si="19"/>
        <v>14392.63051082733</v>
      </c>
      <c r="AL49" s="37">
        <f t="shared" si="20"/>
        <v>51179.490817679158</v>
      </c>
      <c r="AM49" s="37">
        <f t="shared" si="21"/>
        <v>48026.667842805102</v>
      </c>
    </row>
    <row r="50" spans="2:39" ht="18.75">
      <c r="B50" s="21" t="s">
        <v>51</v>
      </c>
      <c r="C50" s="22" t="s">
        <v>52</v>
      </c>
      <c r="D50" s="43">
        <f>4/3*PI()*D48^3</f>
        <v>179594380030.21649</v>
      </c>
      <c r="E50" s="43"/>
      <c r="F50" s="31" t="s">
        <v>50</v>
      </c>
      <c r="L50">
        <v>46</v>
      </c>
      <c r="M50" s="37">
        <f t="shared" si="6"/>
        <v>0.28902652413026092</v>
      </c>
      <c r="N50" s="37">
        <f t="shared" si="0"/>
        <v>24792.608945086879</v>
      </c>
      <c r="O50" s="37">
        <f t="shared" si="1"/>
        <v>8925.0963123498805</v>
      </c>
      <c r="R50" s="37">
        <f t="shared" si="2"/>
        <v>-16645.173738439185</v>
      </c>
      <c r="S50" s="37">
        <f t="shared" si="3"/>
        <v>10997.567418644916</v>
      </c>
      <c r="V50" s="37">
        <f t="shared" si="4"/>
        <v>-207.39105491312057</v>
      </c>
      <c r="W50" s="37">
        <f t="shared" si="5"/>
        <v>-13574.90368765012</v>
      </c>
      <c r="Y50" s="37">
        <f t="shared" si="7"/>
        <v>30142.303506834975</v>
      </c>
      <c r="Z50" s="37">
        <f t="shared" si="8"/>
        <v>17688.14489196573</v>
      </c>
      <c r="AA50" s="37">
        <f t="shared" si="9"/>
        <v>-1386.0298781460756</v>
      </c>
      <c r="AB50" s="37">
        <f t="shared" si="10"/>
        <v>801.85233921968972</v>
      </c>
      <c r="AC50" s="37">
        <f t="shared" si="11"/>
        <v>-1212.0882718131168</v>
      </c>
      <c r="AD50" s="37">
        <f t="shared" si="12"/>
        <v>-1148.8752004014277</v>
      </c>
      <c r="AE50" s="39">
        <f t="shared" si="13"/>
        <v>-988.87118153957829</v>
      </c>
      <c r="AF50" s="39">
        <f t="shared" si="14"/>
        <v>-993.3407011755379</v>
      </c>
      <c r="AG50" s="39">
        <f t="shared" si="15"/>
        <v>-67.059299095090751</v>
      </c>
      <c r="AH50" s="39">
        <f t="shared" si="16"/>
        <v>-10.281968951156124</v>
      </c>
      <c r="AI50" s="39">
        <f t="shared" si="17"/>
        <v>-156.1577911784477</v>
      </c>
      <c r="AJ50" s="39">
        <f t="shared" si="18"/>
        <v>-145.25253027473369</v>
      </c>
      <c r="AK50" s="37">
        <f t="shared" si="19"/>
        <v>14375.834471933947</v>
      </c>
      <c r="AL50" s="37">
        <f t="shared" si="20"/>
        <v>50728.277842357449</v>
      </c>
      <c r="AM50" s="37">
        <f t="shared" si="21"/>
        <v>47994.752965763357</v>
      </c>
    </row>
    <row r="51" spans="2:39" ht="18.75">
      <c r="B51" s="21" t="s">
        <v>54</v>
      </c>
      <c r="C51" s="25" t="s">
        <v>55</v>
      </c>
      <c r="D51" s="43">
        <f>D49*D50</f>
        <v>179594380030.21649</v>
      </c>
      <c r="E51" s="41"/>
      <c r="F51" s="32" t="s">
        <v>56</v>
      </c>
      <c r="L51">
        <v>47</v>
      </c>
      <c r="M51" s="37">
        <f t="shared" si="6"/>
        <v>0.2953097094374405</v>
      </c>
      <c r="N51" s="37">
        <f t="shared" si="0"/>
        <v>24783.560257794154</v>
      </c>
      <c r="O51" s="37">
        <f t="shared" si="1"/>
        <v>8955.1808341413598</v>
      </c>
      <c r="R51" s="37">
        <f t="shared" si="2"/>
        <v>-16651.507819544095</v>
      </c>
      <c r="S51" s="37">
        <f t="shared" si="3"/>
        <v>11018.626583898951</v>
      </c>
      <c r="V51" s="37">
        <f t="shared" si="4"/>
        <v>-216.43974220584732</v>
      </c>
      <c r="W51" s="37">
        <f t="shared" si="5"/>
        <v>-13544.81916585864</v>
      </c>
      <c r="Y51" s="37">
        <f t="shared" si="7"/>
        <v>29297.777533785298</v>
      </c>
      <c r="Z51" s="37">
        <f t="shared" si="8"/>
        <v>17945.461661525394</v>
      </c>
      <c r="AA51" s="37">
        <f t="shared" si="9"/>
        <v>-1992.0740140526341</v>
      </c>
      <c r="AB51" s="37">
        <f t="shared" si="10"/>
        <v>227.41473901897587</v>
      </c>
      <c r="AC51" s="37">
        <f t="shared" si="11"/>
        <v>-1183.643377664933</v>
      </c>
      <c r="AD51" s="37">
        <f t="shared" si="12"/>
        <v>-1237.8073123258591</v>
      </c>
      <c r="AE51" s="39">
        <f t="shared" si="13"/>
        <v>-958.11438610475068</v>
      </c>
      <c r="AF51" s="39">
        <f t="shared" si="14"/>
        <v>-1076.3805706306991</v>
      </c>
      <c r="AG51" s="39">
        <f t="shared" si="15"/>
        <v>-69.064353027683154</v>
      </c>
      <c r="AH51" s="39">
        <f t="shared" si="16"/>
        <v>-11.13129631013158</v>
      </c>
      <c r="AI51" s="39">
        <f t="shared" si="17"/>
        <v>-156.46463853249938</v>
      </c>
      <c r="AJ51" s="39">
        <f t="shared" si="18"/>
        <v>-150.29544538502853</v>
      </c>
      <c r="AK51" s="37">
        <f t="shared" si="19"/>
        <v>13984.145894196023</v>
      </c>
      <c r="AL51" s="37">
        <f t="shared" si="20"/>
        <v>49933.968706536398</v>
      </c>
      <c r="AM51" s="37">
        <f t="shared" si="21"/>
        <v>47557.764748230831</v>
      </c>
    </row>
    <row r="52" spans="2:39" ht="18">
      <c r="B52" s="21" t="s">
        <v>57</v>
      </c>
      <c r="C52" s="26" t="s">
        <v>58</v>
      </c>
      <c r="D52" s="41">
        <f>D48*D16</f>
        <v>7000</v>
      </c>
      <c r="E52" s="41"/>
      <c r="F52" s="32" t="s">
        <v>36</v>
      </c>
      <c r="L52">
        <v>48</v>
      </c>
      <c r="M52" s="37">
        <f t="shared" si="6"/>
        <v>0.30159289474462009</v>
      </c>
      <c r="N52" s="37">
        <f t="shared" si="0"/>
        <v>24774.322723733214</v>
      </c>
      <c r="O52" s="37">
        <f t="shared" si="1"/>
        <v>8985.2079078851748</v>
      </c>
      <c r="R52" s="37">
        <f t="shared" si="2"/>
        <v>-16657.974093386751</v>
      </c>
      <c r="S52" s="37">
        <f t="shared" si="3"/>
        <v>11039.645535519621</v>
      </c>
      <c r="V52" s="37">
        <f t="shared" si="4"/>
        <v>-225.67727626678516</v>
      </c>
      <c r="W52" s="37">
        <f t="shared" si="5"/>
        <v>-13514.792092114825</v>
      </c>
      <c r="Y52" s="37">
        <f t="shared" si="7"/>
        <v>28153.785104550865</v>
      </c>
      <c r="Z52" s="37">
        <f t="shared" si="8"/>
        <v>17904.443116994149</v>
      </c>
      <c r="AA52" s="37">
        <f t="shared" si="9"/>
        <v>-2583.8957028851005</v>
      </c>
      <c r="AB52" s="37">
        <f t="shared" si="10"/>
        <v>-391.4889171439537</v>
      </c>
      <c r="AC52" s="37">
        <f t="shared" si="11"/>
        <v>-1168.9647208663869</v>
      </c>
      <c r="AD52" s="37">
        <f t="shared" si="12"/>
        <v>-1366.213344943176</v>
      </c>
      <c r="AE52" s="39">
        <f t="shared" si="13"/>
        <v>-937.52528735268402</v>
      </c>
      <c r="AF52" s="39">
        <f t="shared" si="14"/>
        <v>-1196.3067946885628</v>
      </c>
      <c r="AG52" s="39">
        <f t="shared" si="15"/>
        <v>-72.184195978183666</v>
      </c>
      <c r="AH52" s="39">
        <f t="shared" si="16"/>
        <v>-11.849034708625371</v>
      </c>
      <c r="AI52" s="39">
        <f t="shared" si="17"/>
        <v>-159.25523753551923</v>
      </c>
      <c r="AJ52" s="39">
        <f t="shared" si="18"/>
        <v>-158.05751554598774</v>
      </c>
      <c r="AK52" s="37">
        <f t="shared" si="19"/>
        <v>13218.799041742124</v>
      </c>
      <c r="AL52" s="37">
        <f t="shared" si="20"/>
        <v>48798.229894997836</v>
      </c>
      <c r="AM52" s="37">
        <f t="shared" si="21"/>
        <v>46710.553878093146</v>
      </c>
    </row>
    <row r="53" spans="2:39">
      <c r="B53" s="21" t="s">
        <v>59</v>
      </c>
      <c r="C53" s="22"/>
      <c r="D53" s="41" t="s">
        <v>60</v>
      </c>
      <c r="E53" s="41"/>
      <c r="F53" s="32" t="s">
        <v>29</v>
      </c>
      <c r="L53">
        <v>49</v>
      </c>
      <c r="M53" s="37">
        <f t="shared" si="6"/>
        <v>0.30787608005179967</v>
      </c>
      <c r="N53" s="37">
        <f t="shared" si="0"/>
        <v>24764.896707586093</v>
      </c>
      <c r="O53" s="37">
        <f t="shared" si="1"/>
        <v>9015.17634816387</v>
      </c>
      <c r="R53" s="37">
        <f t="shared" si="2"/>
        <v>-16664.572304689733</v>
      </c>
      <c r="S53" s="37">
        <f t="shared" si="3"/>
        <v>11060.623443714709</v>
      </c>
      <c r="V53" s="37">
        <f t="shared" si="4"/>
        <v>-235.10329241390536</v>
      </c>
      <c r="W53" s="37">
        <f t="shared" si="5"/>
        <v>-13484.82365183613</v>
      </c>
      <c r="Y53" s="37">
        <f t="shared" si="7"/>
        <v>26715.716663000017</v>
      </c>
      <c r="Z53" s="37">
        <f t="shared" si="8"/>
        <v>17537.921990304272</v>
      </c>
      <c r="AA53" s="37">
        <f t="shared" si="9"/>
        <v>-3168.3780633182942</v>
      </c>
      <c r="AB53" s="37">
        <f t="shared" si="10"/>
        <v>-1074.5955896155417</v>
      </c>
      <c r="AC53" s="37">
        <f t="shared" si="11"/>
        <v>-1153.676942001041</v>
      </c>
      <c r="AD53" s="37">
        <f t="shared" si="12"/>
        <v>-1544.8915632891044</v>
      </c>
      <c r="AE53" s="39">
        <f t="shared" si="13"/>
        <v>-912.13105421294404</v>
      </c>
      <c r="AF53" s="39">
        <f t="shared" si="14"/>
        <v>-1363.3541774577254</v>
      </c>
      <c r="AG53" s="39">
        <f t="shared" si="15"/>
        <v>-76.651546422650924</v>
      </c>
      <c r="AH53" s="39">
        <f t="shared" si="16"/>
        <v>-12.368286706125941</v>
      </c>
      <c r="AI53" s="39">
        <f t="shared" si="17"/>
        <v>-164.89434136544617</v>
      </c>
      <c r="AJ53" s="39">
        <f t="shared" si="18"/>
        <v>-169.16909912525307</v>
      </c>
      <c r="AK53" s="37">
        <f t="shared" si="19"/>
        <v>12077.281489686749</v>
      </c>
      <c r="AL53" s="37">
        <f t="shared" si="20"/>
        <v>47319.958276287711</v>
      </c>
      <c r="AM53" s="37">
        <f t="shared" si="21"/>
        <v>45437.903240519619</v>
      </c>
    </row>
    <row r="54" spans="2:39">
      <c r="L54">
        <v>50</v>
      </c>
      <c r="M54" s="37">
        <f t="shared" si="6"/>
        <v>0.31415926535897926</v>
      </c>
      <c r="N54" s="37">
        <f t="shared" si="0"/>
        <v>24755.282581475767</v>
      </c>
      <c r="O54" s="37">
        <f t="shared" si="1"/>
        <v>9045.0849718747377</v>
      </c>
      <c r="R54" s="37">
        <f t="shared" si="2"/>
        <v>-16671.302192966963</v>
      </c>
      <c r="S54" s="37">
        <f t="shared" si="3"/>
        <v>11081.559480312315</v>
      </c>
      <c r="V54" s="37">
        <f t="shared" si="4"/>
        <v>-244.71741852423202</v>
      </c>
      <c r="W54" s="37">
        <f t="shared" si="5"/>
        <v>-13454.915028125262</v>
      </c>
      <c r="Y54" s="37">
        <f t="shared" si="7"/>
        <v>24987.318013590739</v>
      </c>
      <c r="Z54" s="37">
        <f t="shared" si="8"/>
        <v>16807.512750085363</v>
      </c>
      <c r="AA54" s="37">
        <f t="shared" si="9"/>
        <v>-3745.2165343188144</v>
      </c>
      <c r="AB54" s="37">
        <f t="shared" si="10"/>
        <v>-1847.0413712600939</v>
      </c>
      <c r="AC54" s="37">
        <f t="shared" si="11"/>
        <v>-1105.8976526476977</v>
      </c>
      <c r="AD54" s="37">
        <f t="shared" si="12"/>
        <v>-1781.58548705165</v>
      </c>
      <c r="AE54" s="39">
        <f t="shared" si="13"/>
        <v>-848.96634021373586</v>
      </c>
      <c r="AF54" s="39">
        <f t="shared" si="14"/>
        <v>-1584.3716030138592</v>
      </c>
      <c r="AG54" s="39">
        <f t="shared" si="15"/>
        <v>-82.817976699817308</v>
      </c>
      <c r="AH54" s="39">
        <f t="shared" si="16"/>
        <v>-12.532074753821927</v>
      </c>
      <c r="AI54" s="39">
        <f t="shared" si="17"/>
        <v>-174.11333573414441</v>
      </c>
      <c r="AJ54" s="39">
        <f t="shared" si="18"/>
        <v>-184.68180928396893</v>
      </c>
      <c r="AK54" s="37">
        <f t="shared" si="19"/>
        <v>10559.504465726044</v>
      </c>
      <c r="AL54" s="37">
        <f t="shared" si="20"/>
        <v>45499.461666029863</v>
      </c>
      <c r="AM54" s="37">
        <f t="shared" si="21"/>
        <v>43714.495410505042</v>
      </c>
    </row>
    <row r="55" spans="2:39">
      <c r="B55" s="47" t="s">
        <v>2</v>
      </c>
      <c r="C55" s="47"/>
      <c r="D55" s="47"/>
      <c r="E55" s="47"/>
      <c r="F55" s="47"/>
      <c r="L55">
        <v>51</v>
      </c>
      <c r="M55" s="37">
        <f t="shared" si="6"/>
        <v>0.32044245066615884</v>
      </c>
      <c r="N55" s="37">
        <f t="shared" si="0"/>
        <v>24745.480724951474</v>
      </c>
      <c r="O55" s="37">
        <f t="shared" si="1"/>
        <v>9074.932598276524</v>
      </c>
      <c r="R55" s="37">
        <f t="shared" si="2"/>
        <v>-16678.163492533968</v>
      </c>
      <c r="S55" s="37">
        <f t="shared" si="3"/>
        <v>11102.452818793567</v>
      </c>
      <c r="V55" s="37">
        <f t="shared" si="4"/>
        <v>-254.51927504852665</v>
      </c>
      <c r="W55" s="37">
        <f t="shared" si="5"/>
        <v>-13425.067401723476</v>
      </c>
      <c r="Y55" s="37">
        <f t="shared" si="7"/>
        <v>22976.472539850369</v>
      </c>
      <c r="Z55" s="37">
        <f t="shared" si="8"/>
        <v>15661.293878573861</v>
      </c>
      <c r="AA55" s="37">
        <f t="shared" si="9"/>
        <v>-4298.1653606426635</v>
      </c>
      <c r="AB55" s="37">
        <f t="shared" si="10"/>
        <v>-2737.8341147859192</v>
      </c>
      <c r="AC55" s="37">
        <f t="shared" si="11"/>
        <v>-949.91648176384263</v>
      </c>
      <c r="AD55" s="37">
        <f t="shared" si="12"/>
        <v>-2056.8189113471567</v>
      </c>
      <c r="AE55" s="39">
        <f t="shared" si="13"/>
        <v>-670.51831226302647</v>
      </c>
      <c r="AF55" s="39">
        <f t="shared" si="14"/>
        <v>-1838.5175485674106</v>
      </c>
      <c r="AG55" s="39">
        <f t="shared" si="15"/>
        <v>-91.170364814428453</v>
      </c>
      <c r="AH55" s="39">
        <f t="shared" si="16"/>
        <v>-12.009878841328158</v>
      </c>
      <c r="AI55" s="39">
        <f t="shared" si="17"/>
        <v>-188.22780468638766</v>
      </c>
      <c r="AJ55" s="39">
        <f t="shared" si="18"/>
        <v>-206.291483938418</v>
      </c>
      <c r="AK55" s="37">
        <f t="shared" si="19"/>
        <v>8687.1230308388331</v>
      </c>
      <c r="AL55" s="37">
        <f t="shared" si="20"/>
        <v>43347.750118640419</v>
      </c>
      <c r="AM55" s="37">
        <f t="shared" si="21"/>
        <v>41506.601379554944</v>
      </c>
    </row>
    <row r="56" spans="2:39" ht="18">
      <c r="B56" s="21" t="s">
        <v>61</v>
      </c>
      <c r="C56" s="25" t="s">
        <v>45</v>
      </c>
      <c r="D56" s="34">
        <v>-5000</v>
      </c>
      <c r="E56" s="35">
        <v>-15000</v>
      </c>
      <c r="F56" s="32" t="s">
        <v>36</v>
      </c>
      <c r="L56">
        <v>52</v>
      </c>
      <c r="M56" s="37">
        <f t="shared" si="6"/>
        <v>0.32672563597333842</v>
      </c>
      <c r="N56" s="37">
        <f t="shared" si="0"/>
        <v>24735.491524973721</v>
      </c>
      <c r="O56" s="37">
        <f t="shared" si="1"/>
        <v>9104.7180490360479</v>
      </c>
      <c r="R56" s="37">
        <f t="shared" si="2"/>
        <v>-16685.155932518395</v>
      </c>
      <c r="S56" s="37">
        <f t="shared" si="3"/>
        <v>11123.302634325233</v>
      </c>
      <c r="V56" s="37">
        <f t="shared" si="4"/>
        <v>-264.50847502627857</v>
      </c>
      <c r="W56" s="37">
        <f t="shared" si="5"/>
        <v>-13395.281950963952</v>
      </c>
      <c r="Y56" s="37">
        <f t="shared" si="7"/>
        <v>20708.650299308556</v>
      </c>
      <c r="Z56" s="37">
        <f t="shared" si="8"/>
        <v>14035.274457262505</v>
      </c>
      <c r="AA56" s="37">
        <f t="shared" si="9"/>
        <v>-4773.123601524585</v>
      </c>
      <c r="AB56" s="37">
        <f t="shared" si="10"/>
        <v>-3766.2435704594973</v>
      </c>
      <c r="AC56" s="37">
        <f t="shared" si="11"/>
        <v>-528.31766259611334</v>
      </c>
      <c r="AD56" s="37">
        <f t="shared" si="12"/>
        <v>-2243.4083858149479</v>
      </c>
      <c r="AE56" s="39">
        <f t="shared" si="13"/>
        <v>-216.50179126375133</v>
      </c>
      <c r="AF56" s="39">
        <f t="shared" si="14"/>
        <v>-1996.6104971353529</v>
      </c>
      <c r="AG56" s="39">
        <f t="shared" si="15"/>
        <v>-102.27018770854065</v>
      </c>
      <c r="AH56" s="39">
        <f t="shared" si="16"/>
        <v>-10.137606458711932</v>
      </c>
      <c r="AI56" s="39">
        <f t="shared" si="17"/>
        <v>-209.5456836238213</v>
      </c>
      <c r="AJ56" s="39">
        <f t="shared" si="18"/>
        <v>-236.66028222088289</v>
      </c>
      <c r="AK56" s="37">
        <f t="shared" si="19"/>
        <v>6573.5833058125791</v>
      </c>
      <c r="AL56" s="37">
        <f t="shared" si="20"/>
        <v>40908.161155652429</v>
      </c>
      <c r="AM56" s="37">
        <f t="shared" si="21"/>
        <v>38781.205022803231</v>
      </c>
    </row>
    <row r="57" spans="2:39" ht="18.75">
      <c r="B57" s="21" t="s">
        <v>46</v>
      </c>
      <c r="C57" s="22" t="s">
        <v>47</v>
      </c>
      <c r="D57" s="41">
        <v>5000</v>
      </c>
      <c r="E57" s="41"/>
      <c r="F57" s="31" t="s">
        <v>56</v>
      </c>
      <c r="L57">
        <v>53</v>
      </c>
      <c r="M57" s="37">
        <f t="shared" si="6"/>
        <v>0.33300882128051801</v>
      </c>
      <c r="N57" s="37">
        <f t="shared" si="0"/>
        <v>24725.315375899023</v>
      </c>
      <c r="O57" s="37">
        <f t="shared" si="1"/>
        <v>9134.4401482747126</v>
      </c>
      <c r="R57" s="37">
        <f t="shared" si="2"/>
        <v>-16692.279236870683</v>
      </c>
      <c r="S57" s="37">
        <f t="shared" si="3"/>
        <v>11144.108103792298</v>
      </c>
      <c r="V57" s="37">
        <f t="shared" si="4"/>
        <v>-274.68462410097618</v>
      </c>
      <c r="W57" s="37">
        <f t="shared" si="5"/>
        <v>-13365.559851725287</v>
      </c>
      <c r="Y57" s="37">
        <f t="shared" si="7"/>
        <v>18256.048790721747</v>
      </c>
      <c r="Z57" s="37">
        <f t="shared" si="8"/>
        <v>11871.726623805887</v>
      </c>
      <c r="AA57" s="37">
        <f t="shared" si="9"/>
        <v>-5037.2824328226416</v>
      </c>
      <c r="AB57" s="37">
        <f t="shared" si="10"/>
        <v>-4887.9477633669712</v>
      </c>
      <c r="AC57" s="37">
        <f t="shared" si="11"/>
        <v>317.95687831410532</v>
      </c>
      <c r="AD57" s="37">
        <f t="shared" si="12"/>
        <v>-1980.8069518318209</v>
      </c>
      <c r="AE57" s="39">
        <f t="shared" si="13"/>
        <v>676.35519391409957</v>
      </c>
      <c r="AF57" s="39">
        <f t="shared" si="14"/>
        <v>-1695.4832180238413</v>
      </c>
      <c r="AG57" s="39">
        <f t="shared" si="15"/>
        <v>-116.39431016403509</v>
      </c>
      <c r="AH57" s="39">
        <f t="shared" si="16"/>
        <v>-5.69474203635954</v>
      </c>
      <c r="AI57" s="39">
        <f t="shared" si="17"/>
        <v>-242.0040054359591</v>
      </c>
      <c r="AJ57" s="39">
        <f t="shared" si="18"/>
        <v>-279.62899177162012</v>
      </c>
      <c r="AK57" s="37">
        <f t="shared" si="19"/>
        <v>4706.7355453261134</v>
      </c>
      <c r="AL57" s="37">
        <f t="shared" si="20"/>
        <v>38301.809743566249</v>
      </c>
      <c r="AM57" s="37">
        <f t="shared" si="21"/>
        <v>35537.775635244652</v>
      </c>
    </row>
    <row r="58" spans="2:39" ht="18.75">
      <c r="B58" s="21" t="s">
        <v>48</v>
      </c>
      <c r="C58" s="25" t="s">
        <v>49</v>
      </c>
      <c r="D58" s="41">
        <v>1</v>
      </c>
      <c r="E58" s="41"/>
      <c r="F58" s="32" t="s">
        <v>53</v>
      </c>
      <c r="L58">
        <v>54</v>
      </c>
      <c r="M58" s="37">
        <f t="shared" si="6"/>
        <v>0.33929200658769759</v>
      </c>
      <c r="N58" s="37">
        <f t="shared" si="0"/>
        <v>24714.952679464324</v>
      </c>
      <c r="O58" s="37">
        <f t="shared" si="1"/>
        <v>9164.0977226149334</v>
      </c>
      <c r="R58" s="37">
        <f t="shared" si="2"/>
        <v>-16699.533124374975</v>
      </c>
      <c r="S58" s="37">
        <f t="shared" si="3"/>
        <v>11164.868405830453</v>
      </c>
      <c r="V58" s="37">
        <f t="shared" si="4"/>
        <v>-285.0473205356775</v>
      </c>
      <c r="W58" s="37">
        <f t="shared" si="5"/>
        <v>-13335.902277385067</v>
      </c>
      <c r="Y58" s="37">
        <f t="shared" si="7"/>
        <v>15777.152184099688</v>
      </c>
      <c r="Z58" s="37">
        <f t="shared" si="8"/>
        <v>9180.1518731434244</v>
      </c>
      <c r="AA58" s="37">
        <f t="shared" si="9"/>
        <v>-4878.3039936655887</v>
      </c>
      <c r="AB58" s="37">
        <f t="shared" si="10"/>
        <v>-5878.3512392828816</v>
      </c>
      <c r="AC58" s="37">
        <f t="shared" si="11"/>
        <v>1244.1619772246952</v>
      </c>
      <c r="AD58" s="37">
        <f t="shared" si="12"/>
        <v>-1000.1743367203645</v>
      </c>
      <c r="AE58" s="39">
        <f t="shared" si="13"/>
        <v>1668.338436533302</v>
      </c>
      <c r="AF58" s="39">
        <f t="shared" si="14"/>
        <v>-663.78474228320874</v>
      </c>
      <c r="AG58" s="39">
        <f t="shared" si="15"/>
        <v>-132.5193779759918</v>
      </c>
      <c r="AH58" s="39">
        <f t="shared" si="16"/>
        <v>3.0367359382533659</v>
      </c>
      <c r="AI58" s="39">
        <f t="shared" si="17"/>
        <v>-291.65708133261495</v>
      </c>
      <c r="AJ58" s="39">
        <f t="shared" si="18"/>
        <v>-339.42633037540918</v>
      </c>
      <c r="AK58" s="37">
        <f t="shared" si="19"/>
        <v>4544.8161671382695</v>
      </c>
      <c r="AL58" s="37">
        <f t="shared" si="20"/>
        <v>35786.544529408522</v>
      </c>
      <c r="AM58" s="37">
        <f t="shared" si="21"/>
        <v>31880.555162818604</v>
      </c>
    </row>
    <row r="59" spans="2:39" ht="18.75">
      <c r="B59" s="21" t="s">
        <v>51</v>
      </c>
      <c r="C59" s="22" t="s">
        <v>52</v>
      </c>
      <c r="D59" s="43">
        <f>4/3*PI()*D57^3</f>
        <v>523598775598.29883</v>
      </c>
      <c r="E59" s="43"/>
      <c r="F59" s="31" t="s">
        <v>50</v>
      </c>
      <c r="L59">
        <v>55</v>
      </c>
      <c r="M59" s="37">
        <f t="shared" si="6"/>
        <v>0.34557519189487718</v>
      </c>
      <c r="N59" s="37">
        <f t="shared" si="0"/>
        <v>24704.403844771128</v>
      </c>
      <c r="O59" s="37">
        <f t="shared" si="1"/>
        <v>9193.6896012264569</v>
      </c>
      <c r="R59" s="37">
        <f t="shared" si="2"/>
        <v>-16706.91730866021</v>
      </c>
      <c r="S59" s="37">
        <f t="shared" si="3"/>
        <v>11185.58272085852</v>
      </c>
      <c r="V59" s="37">
        <f t="shared" si="4"/>
        <v>-295.5961552288727</v>
      </c>
      <c r="W59" s="37">
        <f t="shared" si="5"/>
        <v>-13306.310398773543</v>
      </c>
      <c r="Y59" s="37">
        <f t="shared" si="7"/>
        <v>13493.520434419981</v>
      </c>
      <c r="Z59" s="37">
        <f t="shared" si="8"/>
        <v>6115.9544614119377</v>
      </c>
      <c r="AA59" s="37">
        <f t="shared" si="9"/>
        <v>-4256.2230050532407</v>
      </c>
      <c r="AB59" s="37">
        <f t="shared" si="10"/>
        <v>-6378.4384076430642</v>
      </c>
      <c r="AC59" s="37">
        <f t="shared" si="11"/>
        <v>1453.1100753541868</v>
      </c>
      <c r="AD59" s="37">
        <f t="shared" si="12"/>
        <v>17.473536062919266</v>
      </c>
      <c r="AE59" s="39">
        <f t="shared" si="13"/>
        <v>1966.3987943048057</v>
      </c>
      <c r="AF59" s="39">
        <f t="shared" si="14"/>
        <v>418.28848471913955</v>
      </c>
      <c r="AG59" s="39">
        <f t="shared" si="15"/>
        <v>-147.29245172831295</v>
      </c>
      <c r="AH59" s="39">
        <f t="shared" si="16"/>
        <v>17.080634778992547</v>
      </c>
      <c r="AI59" s="39">
        <f t="shared" si="17"/>
        <v>-365.99626722230602</v>
      </c>
      <c r="AJ59" s="39">
        <f t="shared" si="18"/>
        <v>-417.89558343521281</v>
      </c>
      <c r="AK59" s="37">
        <f t="shared" si="19"/>
        <v>6652.0567037718392</v>
      </c>
      <c r="AL59" s="37">
        <f t="shared" si="20"/>
        <v>33717.973261107116</v>
      </c>
      <c r="AM59" s="37">
        <f t="shared" si="21"/>
        <v>28069.446572291588</v>
      </c>
    </row>
    <row r="60" spans="2:39" ht="18.75">
      <c r="B60" s="21" t="s">
        <v>54</v>
      </c>
      <c r="C60" s="25" t="s">
        <v>55</v>
      </c>
      <c r="D60" s="43">
        <f>D58*D59</f>
        <v>523598775598.29883</v>
      </c>
      <c r="E60" s="41"/>
      <c r="F60" s="32" t="s">
        <v>56</v>
      </c>
      <c r="L60">
        <v>56</v>
      </c>
      <c r="M60" s="37">
        <f t="shared" si="6"/>
        <v>0.35185837720205676</v>
      </c>
      <c r="N60" s="37">
        <f t="shared" si="0"/>
        <v>24693.669288269371</v>
      </c>
      <c r="O60" s="37">
        <f t="shared" si="1"/>
        <v>9223.2146158725845</v>
      </c>
      <c r="R60" s="37">
        <f t="shared" si="2"/>
        <v>-16714.431498211441</v>
      </c>
      <c r="S60" s="37">
        <f t="shared" si="3"/>
        <v>11206.250231110809</v>
      </c>
      <c r="V60" s="37">
        <f t="shared" si="4"/>
        <v>-306.33071173062945</v>
      </c>
      <c r="W60" s="37">
        <f t="shared" si="5"/>
        <v>-13276.785384127415</v>
      </c>
      <c r="Y60" s="37">
        <f t="shared" si="7"/>
        <v>11547.047691312633</v>
      </c>
      <c r="Z60" s="37">
        <f t="shared" si="8"/>
        <v>2928.9194495982706</v>
      </c>
      <c r="AA60" s="37">
        <f t="shared" si="9"/>
        <v>-3529.6679673761473</v>
      </c>
      <c r="AB60" s="37">
        <f t="shared" si="10"/>
        <v>-6369.7016396116051</v>
      </c>
      <c r="AC60" s="37">
        <f t="shared" si="11"/>
        <v>1029.9780802799914</v>
      </c>
      <c r="AD60" s="37">
        <f t="shared" si="12"/>
        <v>420.20113474218999</v>
      </c>
      <c r="AE60" s="39">
        <f t="shared" si="13"/>
        <v>1659.1219358202375</v>
      </c>
      <c r="AF60" s="39">
        <f t="shared" si="14"/>
        <v>897.19895896945468</v>
      </c>
      <c r="AG60" s="39">
        <f t="shared" si="15"/>
        <v>-156.52965797514756</v>
      </c>
      <c r="AH60" s="39">
        <f t="shared" si="16"/>
        <v>35.085179155255744</v>
      </c>
      <c r="AI60" s="39">
        <f t="shared" si="17"/>
        <v>-472.61419756509855</v>
      </c>
      <c r="AJ60" s="39">
        <f t="shared" si="18"/>
        <v>-512.08300338252047</v>
      </c>
      <c r="AK60" s="37">
        <f t="shared" si="19"/>
        <v>9609.7440200665114</v>
      </c>
      <c r="AL60" s="37">
        <f t="shared" si="20"/>
        <v>32329.806652502939</v>
      </c>
      <c r="AM60" s="37">
        <f t="shared" si="21"/>
        <v>24397.765060118887</v>
      </c>
    </row>
    <row r="61" spans="2:39" ht="18">
      <c r="B61" s="21" t="s">
        <v>57</v>
      </c>
      <c r="C61" s="26" t="s">
        <v>58</v>
      </c>
      <c r="D61" s="41">
        <f>D57*D16</f>
        <v>10000</v>
      </c>
      <c r="E61" s="41"/>
      <c r="F61" s="32" t="s">
        <v>36</v>
      </c>
      <c r="L61">
        <v>57</v>
      </c>
      <c r="M61" s="37">
        <f t="shared" si="6"/>
        <v>0.35814156250923634</v>
      </c>
      <c r="N61" s="37">
        <f t="shared" si="0"/>
        <v>24682.749433740963</v>
      </c>
      <c r="O61" s="37">
        <f t="shared" si="1"/>
        <v>9252.6716009562952</v>
      </c>
      <c r="R61" s="37">
        <f t="shared" si="2"/>
        <v>-16722.075396381326</v>
      </c>
      <c r="S61" s="37">
        <f t="shared" si="3"/>
        <v>11226.870120669406</v>
      </c>
      <c r="V61" s="37">
        <f t="shared" si="4"/>
        <v>-317.25056625903835</v>
      </c>
      <c r="W61" s="37">
        <f t="shared" si="5"/>
        <v>-13247.328399043705</v>
      </c>
      <c r="Y61" s="37">
        <f t="shared" si="7"/>
        <v>9910.9609676595592</v>
      </c>
      <c r="Z61" s="37">
        <f t="shared" si="8"/>
        <v>-203.40622836475819</v>
      </c>
      <c r="AA61" s="37">
        <f t="shared" si="9"/>
        <v>-3014.6789272361516</v>
      </c>
      <c r="AB61" s="37">
        <f t="shared" si="10"/>
        <v>-6159.6010722405099</v>
      </c>
      <c r="AC61" s="37">
        <f t="shared" si="11"/>
        <v>473.50780885046061</v>
      </c>
      <c r="AD61" s="37">
        <f t="shared" si="12"/>
        <v>394.6654055017849</v>
      </c>
      <c r="AE61" s="39">
        <f t="shared" si="13"/>
        <v>1251.8731861174419</v>
      </c>
      <c r="AF61" s="39">
        <f t="shared" si="14"/>
        <v>955.85790362660612</v>
      </c>
      <c r="AG61" s="39">
        <f t="shared" si="15"/>
        <v>-158.38753792368931</v>
      </c>
      <c r="AH61" s="39">
        <f t="shared" si="16"/>
        <v>54.030105976644755</v>
      </c>
      <c r="AI61" s="39">
        <f t="shared" si="17"/>
        <v>-619.97783934329209</v>
      </c>
      <c r="AJ61" s="39">
        <f t="shared" si="18"/>
        <v>-615.222604101466</v>
      </c>
      <c r="AK61" s="37">
        <f t="shared" si="19"/>
        <v>12693.745551069545</v>
      </c>
      <c r="AL61" s="37">
        <f t="shared" si="20"/>
        <v>31603.403055207305</v>
      </c>
      <c r="AM61" s="37">
        <f t="shared" si="21"/>
        <v>21006.569073074777</v>
      </c>
    </row>
    <row r="62" spans="2:39">
      <c r="B62" s="21" t="s">
        <v>59</v>
      </c>
      <c r="C62" s="22"/>
      <c r="D62" s="41" t="s">
        <v>60</v>
      </c>
      <c r="E62" s="41"/>
      <c r="F62" s="32" t="s">
        <v>29</v>
      </c>
      <c r="L62">
        <v>58</v>
      </c>
      <c r="M62" s="37">
        <f t="shared" si="6"/>
        <v>0.36442474781641593</v>
      </c>
      <c r="N62" s="37">
        <f t="shared" si="0"/>
        <v>24671.644712283061</v>
      </c>
      <c r="O62" s="37">
        <f t="shared" si="1"/>
        <v>9282.0593935662528</v>
      </c>
      <c r="R62" s="37">
        <f t="shared" si="2"/>
        <v>-16729.848701401857</v>
      </c>
      <c r="S62" s="37">
        <f t="shared" si="3"/>
        <v>11247.441575496377</v>
      </c>
      <c r="V62" s="37">
        <f t="shared" si="4"/>
        <v>-328.35528771693953</v>
      </c>
      <c r="W62" s="37">
        <f t="shared" si="5"/>
        <v>-13217.940606433747</v>
      </c>
      <c r="Y62" s="37">
        <f t="shared" si="7"/>
        <v>8462.8099801477911</v>
      </c>
      <c r="Z62" s="37">
        <f t="shared" si="8"/>
        <v>-3233.8735887972898</v>
      </c>
      <c r="AA62" s="37">
        <f t="shared" si="9"/>
        <v>-2777.9250228109213</v>
      </c>
      <c r="AB62" s="37">
        <f t="shared" si="10"/>
        <v>-5962.2683694896177</v>
      </c>
      <c r="AC62" s="37">
        <f t="shared" si="11"/>
        <v>-44.312123668616778</v>
      </c>
      <c r="AD62" s="37">
        <f t="shared" si="12"/>
        <v>219.44847950684004</v>
      </c>
      <c r="AE62" s="39">
        <f t="shared" si="13"/>
        <v>929.23556126694939</v>
      </c>
      <c r="AF62" s="39">
        <f t="shared" si="14"/>
        <v>864.5343477650639</v>
      </c>
      <c r="AG62" s="39">
        <f t="shared" si="15"/>
        <v>-153.68148117982525</v>
      </c>
      <c r="AH62" s="39">
        <f t="shared" si="16"/>
        <v>71.454691096608897</v>
      </c>
      <c r="AI62" s="39">
        <f t="shared" si="17"/>
        <v>-819.86620375574091</v>
      </c>
      <c r="AJ62" s="39">
        <f t="shared" si="18"/>
        <v>-716.54055935483279</v>
      </c>
      <c r="AK62" s="37">
        <f t="shared" si="19"/>
        <v>15758.261191338892</v>
      </c>
      <c r="AL62" s="37">
        <f t="shared" si="20"/>
        <v>31388.962425194419</v>
      </c>
      <c r="AM62" s="37">
        <f t="shared" si="21"/>
        <v>17879.848525252357</v>
      </c>
    </row>
    <row r="63" spans="2:39">
      <c r="L63">
        <v>59</v>
      </c>
      <c r="M63" s="37">
        <f t="shared" si="6"/>
        <v>0.37070793312359551</v>
      </c>
      <c r="N63" s="37">
        <f t="shared" si="0"/>
        <v>24660.355562291054</v>
      </c>
      <c r="O63" s="37">
        <f t="shared" si="1"/>
        <v>9311.3768335227287</v>
      </c>
      <c r="R63" s="37">
        <f t="shared" si="2"/>
        <v>-16737.751106396263</v>
      </c>
      <c r="S63" s="37">
        <f t="shared" si="3"/>
        <v>11267.96378346591</v>
      </c>
      <c r="V63" s="37">
        <f t="shared" si="4"/>
        <v>-339.64443770894559</v>
      </c>
      <c r="W63" s="37">
        <f t="shared" si="5"/>
        <v>-13188.623166477271</v>
      </c>
      <c r="Y63" s="37">
        <f t="shared" si="7"/>
        <v>7068.3084532837529</v>
      </c>
      <c r="Z63" s="37">
        <f t="shared" si="8"/>
        <v>-6187.576713603743</v>
      </c>
      <c r="AA63" s="37">
        <f t="shared" si="9"/>
        <v>-2800.0810846452296</v>
      </c>
      <c r="AB63" s="37">
        <f t="shared" si="10"/>
        <v>-5852.5441297361976</v>
      </c>
      <c r="AC63" s="37">
        <f t="shared" si="11"/>
        <v>-532.55195242444131</v>
      </c>
      <c r="AD63" s="37">
        <f t="shared" si="12"/>
        <v>31.929694395013485</v>
      </c>
      <c r="AE63" s="39">
        <f t="shared" si="13"/>
        <v>698.61959422329721</v>
      </c>
      <c r="AF63" s="39">
        <f t="shared" si="14"/>
        <v>739.45541115124172</v>
      </c>
      <c r="AG63" s="39">
        <f t="shared" si="15"/>
        <v>-144.16870870408277</v>
      </c>
      <c r="AH63" s="39">
        <f t="shared" si="16"/>
        <v>86.216766587991827</v>
      </c>
      <c r="AI63" s="39">
        <f t="shared" si="17"/>
        <v>-1087.0028379436558</v>
      </c>
      <c r="AJ63" s="39">
        <f t="shared" si="18"/>
        <v>-793.74248334422009</v>
      </c>
      <c r="AK63" s="37">
        <f t="shared" si="19"/>
        <v>18830.252323062479</v>
      </c>
      <c r="AL63" s="37">
        <f t="shared" si="20"/>
        <v>31539.355769909424</v>
      </c>
      <c r="AM63" s="37">
        <f t="shared" si="21"/>
        <v>14943.322023640496</v>
      </c>
    </row>
    <row r="64" spans="2:39">
      <c r="L64">
        <v>60</v>
      </c>
      <c r="M64" s="37">
        <f t="shared" si="6"/>
        <v>0.3769911184307751</v>
      </c>
      <c r="N64" s="37">
        <f t="shared" si="0"/>
        <v>24648.882429441255</v>
      </c>
      <c r="O64" s="37">
        <f t="shared" si="1"/>
        <v>9340.6227634233892</v>
      </c>
      <c r="R64" s="37">
        <f t="shared" si="2"/>
        <v>-16745.782299391121</v>
      </c>
      <c r="S64" s="37">
        <f t="shared" si="3"/>
        <v>11288.435934396373</v>
      </c>
      <c r="V64" s="37">
        <f t="shared" si="4"/>
        <v>-351.11757055874295</v>
      </c>
      <c r="W64" s="37">
        <f t="shared" si="5"/>
        <v>-13159.377236576611</v>
      </c>
      <c r="Y64" s="37">
        <f t="shared" si="7"/>
        <v>5601.6989169080825</v>
      </c>
      <c r="Z64" s="37">
        <f t="shared" si="8"/>
        <v>-9109.8575666724646</v>
      </c>
      <c r="AA64" s="37">
        <f t="shared" si="9"/>
        <v>-3066.3570608574501</v>
      </c>
      <c r="AB64" s="37">
        <f t="shared" si="10"/>
        <v>-5836.5792825386907</v>
      </c>
      <c r="AC64" s="37">
        <f t="shared" si="11"/>
        <v>-1025.3452898656583</v>
      </c>
      <c r="AD64" s="37">
        <f t="shared" si="12"/>
        <v>-78.428889021317218</v>
      </c>
      <c r="AE64" s="39">
        <f t="shared" si="13"/>
        <v>535.28532839769741</v>
      </c>
      <c r="AF64" s="39">
        <f t="shared" si="14"/>
        <v>617.5043160235108</v>
      </c>
      <c r="AG64" s="39">
        <f t="shared" si="15"/>
        <v>-131.43436958483665</v>
      </c>
      <c r="AH64" s="39">
        <f t="shared" si="16"/>
        <v>98.106461226790842</v>
      </c>
      <c r="AI64" s="39">
        <f t="shared" si="17"/>
        <v>-1429.1962486785192</v>
      </c>
      <c r="AJ64" s="39">
        <f t="shared" si="18"/>
        <v>-794.0396662716189</v>
      </c>
      <c r="AK64" s="37">
        <f t="shared" si="19"/>
        <v>21981.775234600875</v>
      </c>
      <c r="AL64" s="37">
        <f t="shared" si="20"/>
        <v>31947.357381331582</v>
      </c>
      <c r="AM64" s="37">
        <f t="shared" si="21"/>
        <v>12128.058286867508</v>
      </c>
    </row>
    <row r="65" spans="12:39">
      <c r="L65">
        <v>61</v>
      </c>
      <c r="M65" s="37">
        <f t="shared" si="6"/>
        <v>0.38327430373795468</v>
      </c>
      <c r="N65" s="37">
        <f t="shared" si="0"/>
        <v>24637.225766673306</v>
      </c>
      <c r="O65" s="37">
        <f t="shared" si="1"/>
        <v>9369.7960286890011</v>
      </c>
      <c r="R65" s="37">
        <f t="shared" si="2"/>
        <v>-16753.941963328685</v>
      </c>
      <c r="S65" s="37">
        <f t="shared" si="3"/>
        <v>11308.857220082302</v>
      </c>
      <c r="V65" s="37">
        <f t="shared" si="4"/>
        <v>-362.77423332669332</v>
      </c>
      <c r="W65" s="37">
        <f t="shared" si="5"/>
        <v>-13130.203971310999</v>
      </c>
      <c r="Y65" s="37">
        <f t="shared" si="7"/>
        <v>3940.3522252461503</v>
      </c>
      <c r="Z65" s="37">
        <f t="shared" si="8"/>
        <v>-12037.950819069474</v>
      </c>
      <c r="AA65" s="37">
        <f t="shared" si="9"/>
        <v>-3579.029705790279</v>
      </c>
      <c r="AB65" s="37">
        <f t="shared" si="10"/>
        <v>-5875.7937270493494</v>
      </c>
      <c r="AC65" s="37">
        <f t="shared" si="11"/>
        <v>-1504.4383474840474</v>
      </c>
      <c r="AD65" s="37">
        <f t="shared" si="12"/>
        <v>17.600541706146146</v>
      </c>
      <c r="AE65" s="39">
        <f t="shared" si="13"/>
        <v>418.02350149936029</v>
      </c>
      <c r="AF65" s="39">
        <f t="shared" si="14"/>
        <v>508.56175229128894</v>
      </c>
      <c r="AG65" s="39">
        <f t="shared" si="15"/>
        <v>-116.60692224682288</v>
      </c>
      <c r="AH65" s="39">
        <f t="shared" si="16"/>
        <v>107.34084417223393</v>
      </c>
      <c r="AI65" s="39">
        <f t="shared" si="17"/>
        <v>-1805.8549267365847</v>
      </c>
      <c r="AJ65" s="39">
        <f t="shared" si="18"/>
        <v>-598.30205475737671</v>
      </c>
      <c r="AK65" s="37">
        <f t="shared" si="19"/>
        <v>25291.180455991649</v>
      </c>
      <c r="AL65" s="37">
        <f t="shared" si="20"/>
        <v>32539.387532228899</v>
      </c>
      <c r="AM65" s="37">
        <f t="shared" si="21"/>
        <v>9418.2606282537636</v>
      </c>
    </row>
    <row r="66" spans="12:39">
      <c r="L66">
        <v>62</v>
      </c>
      <c r="M66" s="37">
        <f t="shared" si="6"/>
        <v>0.38955748904513426</v>
      </c>
      <c r="N66" s="37">
        <f t="shared" si="0"/>
        <v>24625.38603417229</v>
      </c>
      <c r="O66" s="37">
        <f t="shared" si="1"/>
        <v>9398.895477609005</v>
      </c>
      <c r="R66" s="37">
        <f t="shared" si="2"/>
        <v>-16762.229776079395</v>
      </c>
      <c r="S66" s="37">
        <f t="shared" si="3"/>
        <v>11329.226834326304</v>
      </c>
      <c r="V66" s="37">
        <f t="shared" si="4"/>
        <v>-374.61396582770976</v>
      </c>
      <c r="W66" s="37">
        <f t="shared" si="5"/>
        <v>-13101.104522390995</v>
      </c>
      <c r="Y66" s="37">
        <f t="shared" si="7"/>
        <v>1962.7825789155049</v>
      </c>
      <c r="Z66" s="37">
        <f t="shared" si="8"/>
        <v>-14973.64761488088</v>
      </c>
      <c r="AA66" s="37">
        <f t="shared" si="9"/>
        <v>-4331.2488795323025</v>
      </c>
      <c r="AB66" s="37">
        <f t="shared" si="10"/>
        <v>-5866.9934561962764</v>
      </c>
      <c r="AC66" s="37">
        <f t="shared" si="11"/>
        <v>-1782.6982363465954</v>
      </c>
      <c r="AD66" s="37">
        <f t="shared" si="12"/>
        <v>521.2613115361014</v>
      </c>
      <c r="AE66" s="39">
        <f t="shared" si="13"/>
        <v>332.78165281799573</v>
      </c>
      <c r="AF66" s="39">
        <f t="shared" si="14"/>
        <v>414.63255797908982</v>
      </c>
      <c r="AG66" s="39">
        <f t="shared" si="15"/>
        <v>-100.48024373159446</v>
      </c>
      <c r="AH66" s="39">
        <f t="shared" si="16"/>
        <v>114.25502165737383</v>
      </c>
      <c r="AI66" s="39">
        <f t="shared" si="17"/>
        <v>-2014.9996454329967</v>
      </c>
      <c r="AJ66" s="39">
        <f t="shared" si="18"/>
        <v>-7.6262681003622301</v>
      </c>
      <c r="AK66" s="37">
        <f t="shared" si="19"/>
        <v>28816.766810544777</v>
      </c>
      <c r="AL66" s="37">
        <f t="shared" si="20"/>
        <v>33257.283319612259</v>
      </c>
      <c r="AM66" s="37">
        <f t="shared" si="21"/>
        <v>6962.8324473198918</v>
      </c>
    </row>
    <row r="67" spans="12:39">
      <c r="L67">
        <v>63</v>
      </c>
      <c r="M67" s="37">
        <f t="shared" si="6"/>
        <v>0.39584067435231385</v>
      </c>
      <c r="N67" s="37">
        <f t="shared" si="0"/>
        <v>24613.363699350575</v>
      </c>
      <c r="O67" s="37">
        <f t="shared" si="1"/>
        <v>9427.9199613869823</v>
      </c>
      <c r="R67" s="37">
        <f t="shared" si="2"/>
        <v>-16770.645410454599</v>
      </c>
      <c r="S67" s="37">
        <f t="shared" si="3"/>
        <v>11349.543972970887</v>
      </c>
      <c r="V67" s="37">
        <f t="shared" si="4"/>
        <v>-386.63630064942572</v>
      </c>
      <c r="W67" s="37">
        <f t="shared" si="5"/>
        <v>-13072.080038613018</v>
      </c>
      <c r="Y67" s="37">
        <f t="shared" si="7"/>
        <v>-425.67914039397073</v>
      </c>
      <c r="Z67" s="37">
        <f t="shared" si="8"/>
        <v>-17841.986679037003</v>
      </c>
      <c r="AA67" s="37">
        <f t="shared" si="9"/>
        <v>-5222.5979977056004</v>
      </c>
      <c r="AB67" s="37">
        <f t="shared" si="10"/>
        <v>-5606.3628004282255</v>
      </c>
      <c r="AC67" s="37">
        <f t="shared" si="11"/>
        <v>-1447.5829892571755</v>
      </c>
      <c r="AD67" s="37">
        <f t="shared" si="12"/>
        <v>1470.915235464297</v>
      </c>
      <c r="AE67" s="39">
        <f t="shared" si="13"/>
        <v>270.9014499480723</v>
      </c>
      <c r="AF67" s="39">
        <f t="shared" si="14"/>
        <v>336.10539403506175</v>
      </c>
      <c r="AG67" s="39">
        <f t="shared" si="15"/>
        <v>-83.799285755930526</v>
      </c>
      <c r="AH67" s="39">
        <f t="shared" si="16"/>
        <v>119.19384659439939</v>
      </c>
      <c r="AI67" s="39">
        <f t="shared" si="17"/>
        <v>-1634.6851534493173</v>
      </c>
      <c r="AJ67" s="39">
        <f t="shared" si="18"/>
        <v>1015.6159948348359</v>
      </c>
      <c r="AK67" s="37">
        <f t="shared" si="19"/>
        <v>32548.804235898042</v>
      </c>
      <c r="AL67" s="37">
        <f t="shared" si="20"/>
        <v>34034.251267663894</v>
      </c>
      <c r="AM67" s="37">
        <f t="shared" si="21"/>
        <v>5385.2854715837129</v>
      </c>
    </row>
    <row r="68" spans="12:39">
      <c r="L68">
        <v>64</v>
      </c>
      <c r="M68" s="37">
        <f t="shared" si="6"/>
        <v>0.40212385965949343</v>
      </c>
      <c r="N68" s="37">
        <f t="shared" si="0"/>
        <v>24601.159236829353</v>
      </c>
      <c r="O68" s="37">
        <f t="shared" si="1"/>
        <v>9456.8683341860124</v>
      </c>
      <c r="R68" s="37">
        <f t="shared" si="2"/>
        <v>-16779.188534219455</v>
      </c>
      <c r="S68" s="37">
        <f t="shared" si="3"/>
        <v>11369.807833930208</v>
      </c>
      <c r="V68" s="37">
        <f t="shared" si="4"/>
        <v>-398.84076317064773</v>
      </c>
      <c r="W68" s="37">
        <f t="shared" si="5"/>
        <v>-13043.131665813988</v>
      </c>
      <c r="Y68" s="37">
        <f t="shared" si="7"/>
        <v>-3217.9260129039176</v>
      </c>
      <c r="Z68" s="37">
        <f t="shared" si="8"/>
        <v>-20461.303674818082</v>
      </c>
      <c r="AA68" s="37">
        <f t="shared" si="9"/>
        <v>-5946.3894923341886</v>
      </c>
      <c r="AB68" s="37">
        <f t="shared" si="10"/>
        <v>-4870.9051826960767</v>
      </c>
      <c r="AC68" s="37">
        <f t="shared" si="11"/>
        <v>-448.8629842360059</v>
      </c>
      <c r="AD68" s="37">
        <f t="shared" si="12"/>
        <v>2260.1470438328251</v>
      </c>
      <c r="AE68" s="39">
        <f t="shared" si="13"/>
        <v>226.97276684530652</v>
      </c>
      <c r="AF68" s="39">
        <f t="shared" si="14"/>
        <v>273.34286689293879</v>
      </c>
      <c r="AG68" s="39">
        <f t="shared" si="15"/>
        <v>-67.506177626500318</v>
      </c>
      <c r="AH68" s="39">
        <f t="shared" si="16"/>
        <v>122.53111136252693</v>
      </c>
      <c r="AI68" s="39">
        <f t="shared" si="17"/>
        <v>-608.32957345481213</v>
      </c>
      <c r="AJ68" s="39">
        <f t="shared" si="18"/>
        <v>1864.2730655773596</v>
      </c>
      <c r="AK68" s="37">
        <f t="shared" si="19"/>
        <v>36344.278663031349</v>
      </c>
      <c r="AL68" s="37">
        <f t="shared" si="20"/>
        <v>34778.283869073421</v>
      </c>
      <c r="AM68" s="37">
        <f t="shared" si="21"/>
        <v>5744.7041285053156</v>
      </c>
    </row>
    <row r="69" spans="12:39">
      <c r="L69">
        <v>65</v>
      </c>
      <c r="M69" s="37">
        <f t="shared" si="6"/>
        <v>0.40840704496667302</v>
      </c>
      <c r="N69" s="37">
        <f t="shared" ref="N69:N132" si="22">COS(M69)*$D$37+$D$36</f>
        <v>24588.773128419904</v>
      </c>
      <c r="O69" s="37">
        <f t="shared" ref="O69:O132" si="23">SIN(M69)*$D$37+$E$36</f>
        <v>9485.7394531739028</v>
      </c>
      <c r="R69" s="37">
        <f t="shared" ref="R69:R132" si="24">COS(M69)*$D$48+$D$47</f>
        <v>-16787.858810106067</v>
      </c>
      <c r="S69" s="37">
        <f t="shared" ref="S69:S132" si="25">SIN(M69)*$D$48+$E$47</f>
        <v>11390.017617221733</v>
      </c>
      <c r="V69" s="37">
        <f t="shared" ref="V69:V132" si="26">COS(M69)*$D$57+$D$56</f>
        <v>-411.22687158009467</v>
      </c>
      <c r="W69" s="37">
        <f t="shared" ref="W69:W132" si="27">SIN(M69)*$D$57+$E$56</f>
        <v>-13014.260546826097</v>
      </c>
      <c r="Y69" s="37">
        <f t="shared" si="7"/>
        <v>-6247.2286321005122</v>
      </c>
      <c r="Z69" s="37">
        <f t="shared" si="8"/>
        <v>-22614.23788568702</v>
      </c>
      <c r="AA69" s="37">
        <f t="shared" si="9"/>
        <v>-6170.8209844521916</v>
      </c>
      <c r="AB69" s="37">
        <f t="shared" si="10"/>
        <v>-3740.8316607796642</v>
      </c>
      <c r="AC69" s="37">
        <f t="shared" si="11"/>
        <v>468.31144157514001</v>
      </c>
      <c r="AD69" s="37">
        <f t="shared" si="12"/>
        <v>2329.0712400284965</v>
      </c>
      <c r="AE69" s="39">
        <f t="shared" si="13"/>
        <v>196.80047766972183</v>
      </c>
      <c r="AF69" s="39">
        <f t="shared" si="14"/>
        <v>225.79512997858751</v>
      </c>
      <c r="AG69" s="39">
        <f t="shared" si="15"/>
        <v>-52.583917381693823</v>
      </c>
      <c r="AH69" s="39">
        <f t="shared" si="16"/>
        <v>124.70100349743622</v>
      </c>
      <c r="AI69" s="39">
        <f t="shared" si="17"/>
        <v>324.094881287112</v>
      </c>
      <c r="AJ69" s="39">
        <f t="shared" si="18"/>
        <v>1978.5751065524728</v>
      </c>
      <c r="AK69" s="37">
        <f t="shared" si="19"/>
        <v>39947.269422346057</v>
      </c>
      <c r="AL69" s="37">
        <f t="shared" si="20"/>
        <v>35395.299591356743</v>
      </c>
      <c r="AM69" s="37">
        <f t="shared" si="21"/>
        <v>7715.7111040112732</v>
      </c>
    </row>
    <row r="70" spans="12:39">
      <c r="L70">
        <v>66</v>
      </c>
      <c r="M70" s="37">
        <f t="shared" ref="M70:M133" si="28">M69+$J$3</f>
        <v>0.4146902302738526</v>
      </c>
      <c r="N70" s="37">
        <f t="shared" si="22"/>
        <v>24576.205863104587</v>
      </c>
      <c r="O70" s="37">
        <f t="shared" si="23"/>
        <v>9514.5321785683136</v>
      </c>
      <c r="R70" s="37">
        <f t="shared" si="24"/>
        <v>-16796.655895826789</v>
      </c>
      <c r="S70" s="37">
        <f t="shared" si="25"/>
        <v>11410.172524997819</v>
      </c>
      <c r="V70" s="37">
        <f t="shared" si="26"/>
        <v>-423.79413689541161</v>
      </c>
      <c r="W70" s="37">
        <f t="shared" si="27"/>
        <v>-12985.467821431686</v>
      </c>
      <c r="Y70" s="37">
        <f t="shared" ref="Y70:Y133" si="29">Y69+(AA69*$D$14)+((1/2)*AC69)*$D$14^2</f>
        <v>-9274.1001941297163</v>
      </c>
      <c r="Z70" s="37">
        <f t="shared" ref="Z70:Z133" si="30">Z69+(AB69*$D$14)+((1/2)*AD69)*$D$14^2</f>
        <v>-24193.519811073293</v>
      </c>
      <c r="AA70" s="37">
        <f t="shared" ref="AA70:AA133" si="31">AA69+(AC69*$D$14)</f>
        <v>-5936.6652636646213</v>
      </c>
      <c r="AB70" s="37">
        <f t="shared" ref="AB70:AB133" si="32">AB69+(AD69*$D$14)</f>
        <v>-2576.2960407654159</v>
      </c>
      <c r="AC70" s="37">
        <f t="shared" ref="AC70:AC133" si="33">AE70+AG70+AI70</f>
        <v>911.83473911863052</v>
      </c>
      <c r="AD70" s="37">
        <f t="shared" ref="AD70:AD133" si="34">AF70+AH70+AJ70</f>
        <v>1984.0960643035505</v>
      </c>
      <c r="AE70" s="39">
        <f t="shared" ref="AE70:AE133" si="35">$D$40*($D$36-Y70)/(AK70^2+$D$41^2)^(3/2)</f>
        <v>176.44753827845344</v>
      </c>
      <c r="AF70" s="39">
        <f t="shared" ref="AF70:AF133" si="36">$D$40*($E$36-Z70)/(AK70^2+$D$41^2)^(3/2)</f>
        <v>191.03041640762984</v>
      </c>
      <c r="AG70" s="39">
        <f t="shared" ref="AG70:AG133" si="37">$D$51*($D$47-Y70)/(AL70^2+$D$52^2)^(3/2)</f>
        <v>-39.569734243219301</v>
      </c>
      <c r="AH70" s="39">
        <f t="shared" ref="AH70:AH133" si="38">$D$51*($E$47-Z70)/(AL70^2+$D$52^2)^(3/2)</f>
        <v>126.14591934039063</v>
      </c>
      <c r="AI70" s="39">
        <f t="shared" ref="AI70:AI133" si="39">$D$60*($D$56-Y70)/(AM70^2+$D$61^2)^(3/2)</f>
        <v>774.95693508339639</v>
      </c>
      <c r="AJ70" s="39">
        <f t="shared" ref="AJ70:AJ133" si="40">$D$60*($E$56-Z70)/(AM70^2+$D$61^2)^(3/2)</f>
        <v>1666.9197285555299</v>
      </c>
      <c r="AK70" s="37">
        <f t="shared" ref="AK70:AK133" si="41">SQRT(($D$36-Y70)^2+($E$36-Z70)^2)</f>
        <v>43144.549368267144</v>
      </c>
      <c r="AL70" s="37">
        <f t="shared" ref="AL70:AL133" si="42">SQRT(($D$47-Y70)^2+($E$47-Z70)^2)</f>
        <v>35836.318501149493</v>
      </c>
      <c r="AM70" s="37">
        <f t="shared" ref="AM70:AM133" si="43">SQRT(($D$56-Y70)^2+($E$56-Z70)^2)</f>
        <v>10138.478139546231</v>
      </c>
    </row>
    <row r="71" spans="12:39">
      <c r="L71">
        <v>67</v>
      </c>
      <c r="M71" s="37">
        <f t="shared" si="28"/>
        <v>0.42097341558103218</v>
      </c>
      <c r="N71" s="37">
        <f t="shared" si="22"/>
        <v>24563.457937017512</v>
      </c>
      <c r="O71" s="37">
        <f t="shared" si="23"/>
        <v>9543.2453736817442</v>
      </c>
      <c r="R71" s="37">
        <f t="shared" si="24"/>
        <v>-16805.57944408774</v>
      </c>
      <c r="S71" s="37">
        <f t="shared" si="25"/>
        <v>11430.271761577222</v>
      </c>
      <c r="V71" s="37">
        <f t="shared" si="26"/>
        <v>-436.54206298248573</v>
      </c>
      <c r="W71" s="37">
        <f t="shared" si="27"/>
        <v>-12956.754626318256</v>
      </c>
      <c r="Y71" s="37">
        <f t="shared" si="29"/>
        <v>-12128.453483572199</v>
      </c>
      <c r="Z71" s="37">
        <f t="shared" si="30"/>
        <v>-25233.655823418056</v>
      </c>
      <c r="AA71" s="37">
        <f t="shared" si="31"/>
        <v>-5480.7478941053059</v>
      </c>
      <c r="AB71" s="37">
        <f t="shared" si="32"/>
        <v>-1584.2480086136406</v>
      </c>
      <c r="AC71" s="37">
        <f t="shared" si="33"/>
        <v>1047.8762818831913</v>
      </c>
      <c r="AD71" s="37">
        <f t="shared" si="34"/>
        <v>1604.6095477424642</v>
      </c>
      <c r="AE71" s="39">
        <f t="shared" si="35"/>
        <v>162.61138261507404</v>
      </c>
      <c r="AF71" s="39">
        <f t="shared" si="36"/>
        <v>165.67448645524277</v>
      </c>
      <c r="AG71" s="39">
        <f t="shared" si="37"/>
        <v>-28.425536793626343</v>
      </c>
      <c r="AH71" s="39">
        <f t="shared" si="38"/>
        <v>127.23491856299739</v>
      </c>
      <c r="AI71" s="39">
        <f t="shared" si="39"/>
        <v>913.69043606174353</v>
      </c>
      <c r="AJ71" s="39">
        <f t="shared" si="40"/>
        <v>1311.700142724224</v>
      </c>
      <c r="AK71" s="37">
        <f t="shared" si="41"/>
        <v>45866.433770373442</v>
      </c>
      <c r="AL71" s="37">
        <f t="shared" si="42"/>
        <v>36102.240197020568</v>
      </c>
      <c r="AM71" s="37">
        <f t="shared" si="43"/>
        <v>12471.670320355286</v>
      </c>
    </row>
    <row r="72" spans="12:39">
      <c r="L72">
        <v>68</v>
      </c>
      <c r="M72" s="37">
        <f t="shared" si="28"/>
        <v>0.42725660088821177</v>
      </c>
      <c r="N72" s="37">
        <f t="shared" si="22"/>
        <v>24550.529853424978</v>
      </c>
      <c r="O72" s="37">
        <f t="shared" si="23"/>
        <v>9571.8779049664208</v>
      </c>
      <c r="R72" s="37">
        <f t="shared" si="24"/>
        <v>-16814.629102602514</v>
      </c>
      <c r="S72" s="37">
        <f t="shared" si="25"/>
        <v>11450.314533476494</v>
      </c>
      <c r="V72" s="37">
        <f t="shared" si="26"/>
        <v>-449.47014657502132</v>
      </c>
      <c r="W72" s="37">
        <f t="shared" si="27"/>
        <v>-12928.122095033579</v>
      </c>
      <c r="Y72" s="37">
        <f t="shared" si="29"/>
        <v>-14737.842895389453</v>
      </c>
      <c r="Z72" s="37">
        <f t="shared" si="30"/>
        <v>-25825.203634257068</v>
      </c>
      <c r="AA72" s="37">
        <f t="shared" si="31"/>
        <v>-4956.8097531637104</v>
      </c>
      <c r="AB72" s="37">
        <f t="shared" si="32"/>
        <v>-781.94323474240855</v>
      </c>
      <c r="AC72" s="37">
        <f t="shared" si="33"/>
        <v>1059.3410949880438</v>
      </c>
      <c r="AD72" s="37">
        <f t="shared" si="34"/>
        <v>1303.5269042653208</v>
      </c>
      <c r="AE72" s="39">
        <f t="shared" si="35"/>
        <v>153.04148256873899</v>
      </c>
      <c r="AF72" s="39">
        <f t="shared" si="36"/>
        <v>146.81794106935581</v>
      </c>
      <c r="AG72" s="39">
        <f t="shared" si="37"/>
        <v>-18.840103411330588</v>
      </c>
      <c r="AH72" s="39">
        <f t="shared" si="38"/>
        <v>128.26499243247747</v>
      </c>
      <c r="AI72" s="39">
        <f t="shared" si="39"/>
        <v>925.1397158306354</v>
      </c>
      <c r="AJ72" s="39">
        <f t="shared" si="40"/>
        <v>1028.4439707634876</v>
      </c>
      <c r="AK72" s="37">
        <f t="shared" si="41"/>
        <v>48138.206513012716</v>
      </c>
      <c r="AL72" s="37">
        <f t="shared" si="42"/>
        <v>36209.605256472889</v>
      </c>
      <c r="AM72" s="37">
        <f t="shared" si="43"/>
        <v>14560.584396871551</v>
      </c>
    </row>
    <row r="73" spans="12:39">
      <c r="L73">
        <v>69</v>
      </c>
      <c r="M73" s="37">
        <f t="shared" si="28"/>
        <v>0.43353978619539135</v>
      </c>
      <c r="N73" s="37">
        <f t="shared" si="22"/>
        <v>24537.422122705586</v>
      </c>
      <c r="O73" s="37">
        <f t="shared" si="23"/>
        <v>9600.4286420590306</v>
      </c>
      <c r="R73" s="37">
        <f t="shared" si="24"/>
        <v>-16823.80451410609</v>
      </c>
      <c r="S73" s="37">
        <f t="shared" si="25"/>
        <v>11470.300049441321</v>
      </c>
      <c r="V73" s="37">
        <f t="shared" si="26"/>
        <v>-462.57787729441498</v>
      </c>
      <c r="W73" s="37">
        <f t="shared" si="27"/>
        <v>-12899.571357940969</v>
      </c>
      <c r="Y73" s="37">
        <f t="shared" si="29"/>
        <v>-17083.8301350978</v>
      </c>
      <c r="Z73" s="37">
        <f t="shared" si="30"/>
        <v>-26053.234388595109</v>
      </c>
      <c r="AA73" s="37">
        <f t="shared" si="31"/>
        <v>-4427.1392056696886</v>
      </c>
      <c r="AB73" s="37">
        <f t="shared" si="32"/>
        <v>-130.17978260974814</v>
      </c>
      <c r="AC73" s="37">
        <f t="shared" si="33"/>
        <v>1031.4518037136295</v>
      </c>
      <c r="AD73" s="37">
        <f t="shared" si="34"/>
        <v>1081.0906081467306</v>
      </c>
      <c r="AE73" s="39">
        <f t="shared" si="35"/>
        <v>146.37441236190716</v>
      </c>
      <c r="AF73" s="39">
        <f t="shared" si="36"/>
        <v>132.43871920941729</v>
      </c>
      <c r="AG73" s="39">
        <f t="shared" si="37"/>
        <v>-10.473038629230137</v>
      </c>
      <c r="AH73" s="39">
        <f t="shared" si="38"/>
        <v>129.48042602213371</v>
      </c>
      <c r="AI73" s="39">
        <f t="shared" si="39"/>
        <v>895.55042998095234</v>
      </c>
      <c r="AJ73" s="39">
        <f t="shared" si="40"/>
        <v>819.17146291517963</v>
      </c>
      <c r="AK73" s="37">
        <f t="shared" si="41"/>
        <v>50010.298893575804</v>
      </c>
      <c r="AL73" s="37">
        <f t="shared" si="42"/>
        <v>36170.97948023997</v>
      </c>
      <c r="AM73" s="37">
        <f t="shared" si="43"/>
        <v>16376.597362795459</v>
      </c>
    </row>
    <row r="74" spans="12:39">
      <c r="L74">
        <v>70</v>
      </c>
      <c r="M74" s="37">
        <f t="shared" si="28"/>
        <v>0.43982297150257094</v>
      </c>
      <c r="N74" s="37">
        <f t="shared" si="22"/>
        <v>24524.135262330099</v>
      </c>
      <c r="O74" s="37">
        <f t="shared" si="23"/>
        <v>9628.8964578253617</v>
      </c>
      <c r="R74" s="37">
        <f t="shared" si="24"/>
        <v>-16833.105316368932</v>
      </c>
      <c r="S74" s="37">
        <f t="shared" si="25"/>
        <v>11490.227520477754</v>
      </c>
      <c r="V74" s="37">
        <f t="shared" si="26"/>
        <v>-475.86473766990184</v>
      </c>
      <c r="W74" s="37">
        <f t="shared" si="27"/>
        <v>-12871.103542174638</v>
      </c>
      <c r="Y74" s="37">
        <f t="shared" si="29"/>
        <v>-19168.468262468439</v>
      </c>
      <c r="Z74" s="37">
        <f t="shared" si="30"/>
        <v>-25983.187953881639</v>
      </c>
      <c r="AA74" s="37">
        <f t="shared" si="31"/>
        <v>-3911.4133038128739</v>
      </c>
      <c r="AB74" s="37">
        <f t="shared" si="32"/>
        <v>410.36552146361714</v>
      </c>
      <c r="AC74" s="37">
        <f t="shared" si="33"/>
        <v>996.43669808537697</v>
      </c>
      <c r="AD74" s="37">
        <f t="shared" si="34"/>
        <v>917.15522905393868</v>
      </c>
      <c r="AE74" s="39">
        <f t="shared" si="35"/>
        <v>141.80239919341199</v>
      </c>
      <c r="AF74" s="39">
        <f t="shared" si="36"/>
        <v>121.21986370996129</v>
      </c>
      <c r="AG74" s="39">
        <f t="shared" si="37"/>
        <v>-3.0292801719617626</v>
      </c>
      <c r="AH74" s="39">
        <f t="shared" si="38"/>
        <v>131.08718870580665</v>
      </c>
      <c r="AI74" s="39">
        <f t="shared" si="39"/>
        <v>857.6635790639267</v>
      </c>
      <c r="AJ74" s="39">
        <f t="shared" si="40"/>
        <v>664.84817663817068</v>
      </c>
      <c r="AK74" s="37">
        <f t="shared" si="41"/>
        <v>51529.533100766224</v>
      </c>
      <c r="AL74" s="37">
        <f t="shared" si="42"/>
        <v>35992.794561618794</v>
      </c>
      <c r="AM74" s="37">
        <f t="shared" si="43"/>
        <v>17926.960437700145</v>
      </c>
    </row>
    <row r="75" spans="12:39">
      <c r="L75">
        <v>71</v>
      </c>
      <c r="M75" s="37">
        <f t="shared" si="28"/>
        <v>0.44610615680975052</v>
      </c>
      <c r="N75" s="37">
        <f t="shared" si="22"/>
        <v>24510.669796841015</v>
      </c>
      <c r="O75" s="37">
        <f t="shared" si="23"/>
        <v>9657.2802284047939</v>
      </c>
      <c r="R75" s="37">
        <f t="shared" si="24"/>
        <v>-16842.53114221129</v>
      </c>
      <c r="S75" s="37">
        <f t="shared" si="25"/>
        <v>11510.096159883356</v>
      </c>
      <c r="V75" s="37">
        <f t="shared" si="26"/>
        <v>-489.33020315898557</v>
      </c>
      <c r="W75" s="37">
        <f t="shared" si="27"/>
        <v>-12842.719771595206</v>
      </c>
      <c r="Y75" s="37">
        <f t="shared" si="29"/>
        <v>-20999.620327114204</v>
      </c>
      <c r="Z75" s="37">
        <f t="shared" si="30"/>
        <v>-25663.36078951809</v>
      </c>
      <c r="AA75" s="37">
        <f t="shared" si="31"/>
        <v>-3413.1949547701852</v>
      </c>
      <c r="AB75" s="37">
        <f t="shared" si="32"/>
        <v>868.94313599058648</v>
      </c>
      <c r="AC75" s="37">
        <f t="shared" si="33"/>
        <v>965.54566368215865</v>
      </c>
      <c r="AD75" s="37">
        <f t="shared" si="34"/>
        <v>794.06241656197676</v>
      </c>
      <c r="AE75" s="39">
        <f t="shared" si="35"/>
        <v>138.83977880632537</v>
      </c>
      <c r="AF75" s="39">
        <f t="shared" si="36"/>
        <v>112.30332475654758</v>
      </c>
      <c r="AG75" s="39">
        <f t="shared" si="37"/>
        <v>3.7354459996392002</v>
      </c>
      <c r="AH75" s="39">
        <f t="shared" si="38"/>
        <v>133.26915708035119</v>
      </c>
      <c r="AI75" s="39">
        <f t="shared" si="39"/>
        <v>822.97043887619407</v>
      </c>
      <c r="AJ75" s="39">
        <f t="shared" si="40"/>
        <v>548.489934725078</v>
      </c>
      <c r="AK75" s="37">
        <f t="shared" si="41"/>
        <v>52733.076582191396</v>
      </c>
      <c r="AL75" s="37">
        <f t="shared" si="42"/>
        <v>35677.367386085483</v>
      </c>
      <c r="AM75" s="37">
        <f t="shared" si="43"/>
        <v>19227.457292612507</v>
      </c>
    </row>
    <row r="76" spans="12:39">
      <c r="L76">
        <v>72</v>
      </c>
      <c r="M76" s="37">
        <f t="shared" si="28"/>
        <v>0.4523893421169301</v>
      </c>
      <c r="N76" s="37">
        <f t="shared" si="22"/>
        <v>24497.026257831854</v>
      </c>
      <c r="O76" s="37">
        <f t="shared" si="23"/>
        <v>9685.5788332546636</v>
      </c>
      <c r="R76" s="37">
        <f t="shared" si="24"/>
        <v>-16852.081619517703</v>
      </c>
      <c r="S76" s="37">
        <f t="shared" si="25"/>
        <v>11529.905183278264</v>
      </c>
      <c r="V76" s="37">
        <f t="shared" si="26"/>
        <v>-502.97374216814478</v>
      </c>
      <c r="W76" s="37">
        <f t="shared" si="27"/>
        <v>-12814.421166745336</v>
      </c>
      <c r="Y76" s="37">
        <f t="shared" si="29"/>
        <v>-22585.524596539028</v>
      </c>
      <c r="Z76" s="37">
        <f t="shared" si="30"/>
        <v>-25129.631419452551</v>
      </c>
      <c r="AA76" s="37">
        <f t="shared" si="31"/>
        <v>-2930.4221229291061</v>
      </c>
      <c r="AB76" s="37">
        <f t="shared" si="32"/>
        <v>1265.9743442715749</v>
      </c>
      <c r="AC76" s="37">
        <f t="shared" si="33"/>
        <v>942.325284870102</v>
      </c>
      <c r="AD76" s="37">
        <f t="shared" si="34"/>
        <v>699.32310202262761</v>
      </c>
      <c r="AE76" s="39">
        <f t="shared" si="35"/>
        <v>137.19096612530186</v>
      </c>
      <c r="AF76" s="39">
        <f t="shared" si="36"/>
        <v>105.11765913788953</v>
      </c>
      <c r="AG76" s="39">
        <f t="shared" si="37"/>
        <v>10.024668236540641</v>
      </c>
      <c r="AH76" s="39">
        <f t="shared" si="38"/>
        <v>136.20558888643711</v>
      </c>
      <c r="AI76" s="39">
        <f t="shared" si="39"/>
        <v>795.10965050825951</v>
      </c>
      <c r="AJ76" s="39">
        <f t="shared" si="40"/>
        <v>457.99985399830092</v>
      </c>
      <c r="AK76" s="37">
        <f t="shared" si="41"/>
        <v>53649.042412066927</v>
      </c>
      <c r="AL76" s="37">
        <f t="shared" si="42"/>
        <v>35224.649623607271</v>
      </c>
      <c r="AM76" s="37">
        <f t="shared" si="43"/>
        <v>20294.336846259339</v>
      </c>
    </row>
    <row r="77" spans="12:39">
      <c r="L77">
        <v>73</v>
      </c>
      <c r="M77" s="37">
        <f t="shared" si="28"/>
        <v>0.45867252742410969</v>
      </c>
      <c r="N77" s="37">
        <f t="shared" si="22"/>
        <v>24483.20518392618</v>
      </c>
      <c r="O77" s="37">
        <f t="shared" si="23"/>
        <v>9713.7911551945072</v>
      </c>
      <c r="R77" s="37">
        <f t="shared" si="24"/>
        <v>-16861.756371251675</v>
      </c>
      <c r="S77" s="37">
        <f t="shared" si="25"/>
        <v>11549.653808636154</v>
      </c>
      <c r="V77" s="37">
        <f t="shared" si="26"/>
        <v>-516.79481607382058</v>
      </c>
      <c r="W77" s="37">
        <f t="shared" si="27"/>
        <v>-12786.208844805493</v>
      </c>
      <c r="Y77" s="37">
        <f t="shared" si="29"/>
        <v>-23932.944997394818</v>
      </c>
      <c r="Z77" s="37">
        <f t="shared" si="30"/>
        <v>-24409.228859563933</v>
      </c>
      <c r="AA77" s="37">
        <f t="shared" si="31"/>
        <v>-2459.259480494055</v>
      </c>
      <c r="AB77" s="37">
        <f t="shared" si="32"/>
        <v>1615.6358952828887</v>
      </c>
      <c r="AC77" s="37">
        <f t="shared" si="33"/>
        <v>927.59474687262093</v>
      </c>
      <c r="AD77" s="37">
        <f t="shared" si="34"/>
        <v>624.47019291753247</v>
      </c>
      <c r="AE77" s="39">
        <f t="shared" si="35"/>
        <v>136.67901380487717</v>
      </c>
      <c r="AF77" s="39">
        <f t="shared" si="36"/>
        <v>99.272241641391119</v>
      </c>
      <c r="AG77" s="39">
        <f t="shared" si="37"/>
        <v>16.012054359425512</v>
      </c>
      <c r="AH77" s="39">
        <f t="shared" si="38"/>
        <v>140.08902828038745</v>
      </c>
      <c r="AI77" s="39">
        <f t="shared" si="39"/>
        <v>774.90367870831824</v>
      </c>
      <c r="AJ77" s="39">
        <f t="shared" si="40"/>
        <v>385.10892299575391</v>
      </c>
      <c r="AK77" s="37">
        <f t="shared" si="41"/>
        <v>54298.273845087802</v>
      </c>
      <c r="AL77" s="37">
        <f t="shared" si="42"/>
        <v>34633.265613603064</v>
      </c>
      <c r="AM77" s="37">
        <f t="shared" si="43"/>
        <v>21142.137876904224</v>
      </c>
    </row>
    <row r="78" spans="12:39">
      <c r="L78">
        <v>74</v>
      </c>
      <c r="M78" s="37">
        <f t="shared" si="28"/>
        <v>0.46495571273128927</v>
      </c>
      <c r="N78" s="37">
        <f t="shared" si="22"/>
        <v>24469.20712075632</v>
      </c>
      <c r="O78" s="37">
        <f t="shared" si="23"/>
        <v>9741.9160804501607</v>
      </c>
      <c r="R78" s="37">
        <f t="shared" si="24"/>
        <v>-16871.555015470578</v>
      </c>
      <c r="S78" s="37">
        <f t="shared" si="25"/>
        <v>11569.341256315112</v>
      </c>
      <c r="V78" s="37">
        <f t="shared" si="26"/>
        <v>-530.79287924368055</v>
      </c>
      <c r="W78" s="37">
        <f t="shared" si="27"/>
        <v>-12758.083919549839</v>
      </c>
      <c r="Y78" s="37">
        <f t="shared" si="29"/>
        <v>-25046.625394282768</v>
      </c>
      <c r="Z78" s="37">
        <f t="shared" si="30"/>
        <v>-23523.352137807797</v>
      </c>
      <c r="AA78" s="37">
        <f t="shared" si="31"/>
        <v>-1995.4621070577446</v>
      </c>
      <c r="AB78" s="37">
        <f t="shared" si="32"/>
        <v>1927.870991741655</v>
      </c>
      <c r="AC78" s="37">
        <f t="shared" si="33"/>
        <v>921.29080124160066</v>
      </c>
      <c r="AD78" s="37">
        <f t="shared" si="34"/>
        <v>563.72198508135875</v>
      </c>
      <c r="AE78" s="39">
        <f t="shared" si="35"/>
        <v>137.2069363325827</v>
      </c>
      <c r="AF78" s="39">
        <f t="shared" si="36"/>
        <v>94.493628864277355</v>
      </c>
      <c r="AG78" s="39">
        <f t="shared" si="37"/>
        <v>21.850149161868334</v>
      </c>
      <c r="AH78" s="39">
        <f t="shared" si="38"/>
        <v>145.14456441462116</v>
      </c>
      <c r="AI78" s="39">
        <f t="shared" si="39"/>
        <v>762.23371574714963</v>
      </c>
      <c r="AJ78" s="39">
        <f t="shared" si="40"/>
        <v>324.08379180246021</v>
      </c>
      <c r="AK78" s="37">
        <f t="shared" si="41"/>
        <v>54695.949002455971</v>
      </c>
      <c r="AL78" s="37">
        <f t="shared" si="42"/>
        <v>33901.085033162031</v>
      </c>
      <c r="AM78" s="37">
        <f t="shared" si="43"/>
        <v>21783.358817312252</v>
      </c>
    </row>
    <row r="79" spans="12:39">
      <c r="L79">
        <v>75</v>
      </c>
      <c r="M79" s="37">
        <f t="shared" si="28"/>
        <v>0.47123889803846886</v>
      </c>
      <c r="N79" s="37">
        <f t="shared" si="22"/>
        <v>24455.032620941842</v>
      </c>
      <c r="O79" s="37">
        <f t="shared" si="23"/>
        <v>9769.952498697734</v>
      </c>
      <c r="R79" s="37">
        <f t="shared" si="24"/>
        <v>-16881.477165340712</v>
      </c>
      <c r="S79" s="37">
        <f t="shared" si="25"/>
        <v>11588.966749088413</v>
      </c>
      <c r="V79" s="37">
        <f t="shared" si="26"/>
        <v>-544.96737905816008</v>
      </c>
      <c r="W79" s="37">
        <f t="shared" si="27"/>
        <v>-12730.047501302266</v>
      </c>
      <c r="Y79" s="37">
        <f t="shared" si="29"/>
        <v>-25929.19509765644</v>
      </c>
      <c r="Z79" s="37">
        <f t="shared" si="30"/>
        <v>-22488.951393801799</v>
      </c>
      <c r="AA79" s="37">
        <f t="shared" si="31"/>
        <v>-1534.8167064369443</v>
      </c>
      <c r="AB79" s="37">
        <f t="shared" si="32"/>
        <v>2209.7319842823345</v>
      </c>
      <c r="AC79" s="37">
        <f t="shared" si="33"/>
        <v>923.15000166614436</v>
      </c>
      <c r="AD79" s="37">
        <f t="shared" si="34"/>
        <v>513.01727168422099</v>
      </c>
      <c r="AE79" s="39">
        <f t="shared" si="35"/>
        <v>138.73702562518571</v>
      </c>
      <c r="AF79" s="39">
        <f t="shared" si="36"/>
        <v>90.586780568393308</v>
      </c>
      <c r="AG79" s="39">
        <f t="shared" si="37"/>
        <v>27.67641985079641</v>
      </c>
      <c r="AH79" s="39">
        <f t="shared" si="38"/>
        <v>151.65260115026115</v>
      </c>
      <c r="AI79" s="39">
        <f t="shared" si="39"/>
        <v>756.73655619016222</v>
      </c>
      <c r="AJ79" s="39">
        <f t="shared" si="40"/>
        <v>270.77788996556649</v>
      </c>
      <c r="AK79" s="37">
        <f t="shared" si="41"/>
        <v>54852.786328666982</v>
      </c>
      <c r="AL79" s="37">
        <f t="shared" si="42"/>
        <v>33025.555516522189</v>
      </c>
      <c r="AM79" s="37">
        <f t="shared" si="43"/>
        <v>22228.711173041327</v>
      </c>
    </row>
    <row r="80" spans="12:39">
      <c r="L80">
        <v>76</v>
      </c>
      <c r="M80" s="37">
        <f t="shared" si="28"/>
        <v>0.47752208334564844</v>
      </c>
      <c r="N80" s="37">
        <f t="shared" si="22"/>
        <v>24440.682244067724</v>
      </c>
      <c r="O80" s="37">
        <f t="shared" si="23"/>
        <v>9797.8993031074388</v>
      </c>
      <c r="R80" s="37">
        <f t="shared" si="24"/>
        <v>-16891.522429152596</v>
      </c>
      <c r="S80" s="37">
        <f t="shared" si="25"/>
        <v>11608.529512175208</v>
      </c>
      <c r="V80" s="37">
        <f t="shared" si="26"/>
        <v>-559.31775593227667</v>
      </c>
      <c r="W80" s="37">
        <f t="shared" si="27"/>
        <v>-12702.100696892561</v>
      </c>
      <c r="Y80" s="37">
        <f t="shared" si="29"/>
        <v>-26581.209700666644</v>
      </c>
      <c r="Z80" s="37">
        <f t="shared" si="30"/>
        <v>-21319.958242700104</v>
      </c>
      <c r="AA80" s="37">
        <f t="shared" si="31"/>
        <v>-1073.2417056038721</v>
      </c>
      <c r="AB80" s="37">
        <f t="shared" si="32"/>
        <v>2466.2406201244448</v>
      </c>
      <c r="AC80" s="37">
        <f t="shared" si="33"/>
        <v>932.94748147331995</v>
      </c>
      <c r="AD80" s="37">
        <f t="shared" si="34"/>
        <v>469.38095830760739</v>
      </c>
      <c r="AE80" s="39">
        <f t="shared" si="35"/>
        <v>141.28074747942642</v>
      </c>
      <c r="AF80" s="39">
        <f t="shared" si="36"/>
        <v>87.410895273427286</v>
      </c>
      <c r="AG80" s="39">
        <f t="shared" si="37"/>
        <v>33.615985508580913</v>
      </c>
      <c r="AH80" s="39">
        <f t="shared" si="38"/>
        <v>159.97837940178644</v>
      </c>
      <c r="AI80" s="39">
        <f t="shared" si="39"/>
        <v>758.05074848531262</v>
      </c>
      <c r="AJ80" s="39">
        <f t="shared" si="40"/>
        <v>221.99168363239366</v>
      </c>
      <c r="AK80" s="37">
        <f t="shared" si="41"/>
        <v>54775.89880858604</v>
      </c>
      <c r="AL80" s="37">
        <f t="shared" si="42"/>
        <v>32003.938905213323</v>
      </c>
      <c r="AM80" s="37">
        <f t="shared" si="43"/>
        <v>22487.562881148795</v>
      </c>
    </row>
    <row r="81" spans="12:39">
      <c r="L81">
        <v>77</v>
      </c>
      <c r="M81" s="37">
        <f t="shared" si="28"/>
        <v>0.48380526865282802</v>
      </c>
      <c r="N81" s="37">
        <f t="shared" si="22"/>
        <v>24426.156556662278</v>
      </c>
      <c r="O81" s="37">
        <f t="shared" si="23"/>
        <v>9825.7553903872904</v>
      </c>
      <c r="R81" s="37">
        <f t="shared" si="24"/>
        <v>-16901.690410336407</v>
      </c>
      <c r="S81" s="37">
        <f t="shared" si="25"/>
        <v>11628.028773271104</v>
      </c>
      <c r="V81" s="37">
        <f t="shared" si="26"/>
        <v>-573.84344333772333</v>
      </c>
      <c r="W81" s="37">
        <f t="shared" si="27"/>
        <v>-12674.24460961271</v>
      </c>
      <c r="Y81" s="37">
        <f t="shared" si="29"/>
        <v>-27001.212118284413</v>
      </c>
      <c r="Z81" s="37">
        <f t="shared" si="30"/>
        <v>-20028.165312849429</v>
      </c>
      <c r="AA81" s="37">
        <f t="shared" si="31"/>
        <v>-606.76796486721219</v>
      </c>
      <c r="AB81" s="37">
        <f t="shared" si="32"/>
        <v>2700.9310992782484</v>
      </c>
      <c r="AC81" s="37">
        <f t="shared" si="33"/>
        <v>950.55395946000897</v>
      </c>
      <c r="AD81" s="37">
        <f t="shared" si="34"/>
        <v>430.51125193857575</v>
      </c>
      <c r="AE81" s="39">
        <f t="shared" si="35"/>
        <v>144.89564096845675</v>
      </c>
      <c r="AF81" s="39">
        <f t="shared" si="36"/>
        <v>84.864006222921788</v>
      </c>
      <c r="AG81" s="39">
        <f t="shared" si="37"/>
        <v>39.779235595580325</v>
      </c>
      <c r="AH81" s="39">
        <f t="shared" si="38"/>
        <v>170.61295134356988</v>
      </c>
      <c r="AI81" s="39">
        <f t="shared" si="39"/>
        <v>765.87908289597192</v>
      </c>
      <c r="AJ81" s="39">
        <f t="shared" si="40"/>
        <v>175.0342943720841</v>
      </c>
      <c r="AK81" s="37">
        <f t="shared" si="41"/>
        <v>54469.384300536498</v>
      </c>
      <c r="AL81" s="37">
        <f t="shared" si="42"/>
        <v>30833.548014800799</v>
      </c>
      <c r="AM81" s="37">
        <f t="shared" si="43"/>
        <v>22568.468735983995</v>
      </c>
    </row>
    <row r="82" spans="12:39">
      <c r="L82">
        <v>78</v>
      </c>
      <c r="M82" s="37">
        <f t="shared" si="28"/>
        <v>0.49008845396000761</v>
      </c>
      <c r="N82" s="37">
        <f t="shared" si="22"/>
        <v>24411.456132174768</v>
      </c>
      <c r="O82" s="37">
        <f t="shared" si="23"/>
        <v>9853.5196608266633</v>
      </c>
      <c r="R82" s="37">
        <f t="shared" si="24"/>
        <v>-16911.980707477662</v>
      </c>
      <c r="S82" s="37">
        <f t="shared" si="25"/>
        <v>11647.463762578664</v>
      </c>
      <c r="V82" s="37">
        <f t="shared" si="26"/>
        <v>-588.54386782523306</v>
      </c>
      <c r="W82" s="37">
        <f t="shared" si="27"/>
        <v>-12646.480339173337</v>
      </c>
      <c r="Y82" s="37">
        <f t="shared" si="29"/>
        <v>-27185.77685578552</v>
      </c>
      <c r="Z82" s="37">
        <f t="shared" si="30"/>
        <v>-18623.885856717981</v>
      </c>
      <c r="AA82" s="37">
        <f t="shared" si="31"/>
        <v>-131.4909851372077</v>
      </c>
      <c r="AB82" s="37">
        <f t="shared" si="32"/>
        <v>2916.1867252475363</v>
      </c>
      <c r="AC82" s="37">
        <f t="shared" si="33"/>
        <v>975.89866403943267</v>
      </c>
      <c r="AD82" s="37">
        <f t="shared" si="34"/>
        <v>394.50647324142284</v>
      </c>
      <c r="AE82" s="39">
        <f t="shared" si="35"/>
        <v>149.68773042009741</v>
      </c>
      <c r="AF82" s="39">
        <f t="shared" si="36"/>
        <v>82.872963935663861</v>
      </c>
      <c r="AG82" s="39">
        <f t="shared" si="37"/>
        <v>46.24997184286574</v>
      </c>
      <c r="AH82" s="39">
        <f t="shared" si="38"/>
        <v>184.23253901082785</v>
      </c>
      <c r="AI82" s="39">
        <f t="shared" si="39"/>
        <v>779.9609617764695</v>
      </c>
      <c r="AJ82" s="39">
        <f t="shared" si="40"/>
        <v>127.40097029493116</v>
      </c>
      <c r="AK82" s="37">
        <f t="shared" si="41"/>
        <v>53934.728605406126</v>
      </c>
      <c r="AL82" s="37">
        <f t="shared" si="42"/>
        <v>29512.069235476571</v>
      </c>
      <c r="AM82" s="37">
        <f t="shared" si="43"/>
        <v>22479.796337983782</v>
      </c>
    </row>
    <row r="83" spans="12:39">
      <c r="L83">
        <v>79</v>
      </c>
      <c r="M83" s="37">
        <f t="shared" si="28"/>
        <v>0.49637163926718719</v>
      </c>
      <c r="N83" s="37">
        <f t="shared" si="22"/>
        <v>24396.581550952782</v>
      </c>
      <c r="O83" s="37">
        <f t="shared" si="23"/>
        <v>9881.191018339694</v>
      </c>
      <c r="R83" s="37">
        <f t="shared" si="24"/>
        <v>-16922.392914333053</v>
      </c>
      <c r="S83" s="37">
        <f t="shared" si="25"/>
        <v>11666.833712837786</v>
      </c>
      <c r="V83" s="37">
        <f t="shared" si="26"/>
        <v>-603.41844904721802</v>
      </c>
      <c r="W83" s="37">
        <f t="shared" si="27"/>
        <v>-12618.808981660306</v>
      </c>
      <c r="Y83" s="37">
        <f t="shared" si="29"/>
        <v>-27129.535015349193</v>
      </c>
      <c r="Z83" s="37">
        <f t="shared" si="30"/>
        <v>-17116.479184939035</v>
      </c>
      <c r="AA83" s="37">
        <f t="shared" si="31"/>
        <v>356.45834688250864</v>
      </c>
      <c r="AB83" s="37">
        <f t="shared" si="32"/>
        <v>3113.4399618682478</v>
      </c>
      <c r="AC83" s="37">
        <f t="shared" si="33"/>
        <v>1008.8487196824117</v>
      </c>
      <c r="AD83" s="37">
        <f t="shared" si="34"/>
        <v>359.68326338299784</v>
      </c>
      <c r="AE83" s="39">
        <f t="shared" si="35"/>
        <v>155.81927095170428</v>
      </c>
      <c r="AF83" s="39">
        <f t="shared" si="36"/>
        <v>81.386795748054425</v>
      </c>
      <c r="AG83" s="39">
        <f t="shared" si="37"/>
        <v>53.054218909061412</v>
      </c>
      <c r="AH83" s="39">
        <f t="shared" si="38"/>
        <v>201.78645867135842</v>
      </c>
      <c r="AI83" s="39">
        <f t="shared" si="39"/>
        <v>799.97522982164605</v>
      </c>
      <c r="AJ83" s="39">
        <f t="shared" si="40"/>
        <v>76.510008963584994</v>
      </c>
      <c r="AK83" s="37">
        <f t="shared" si="41"/>
        <v>53171.083478010507</v>
      </c>
      <c r="AL83" s="37">
        <f t="shared" si="42"/>
        <v>28038.076127336593</v>
      </c>
      <c r="AM83" s="37">
        <f t="shared" si="43"/>
        <v>22230.515156780471</v>
      </c>
    </row>
    <row r="84" spans="12:39">
      <c r="L84">
        <v>80</v>
      </c>
      <c r="M84" s="37">
        <f t="shared" si="28"/>
        <v>0.50265482457436683</v>
      </c>
      <c r="N84" s="37">
        <f t="shared" si="22"/>
        <v>24381.533400219319</v>
      </c>
      <c r="O84" s="37">
        <f t="shared" si="23"/>
        <v>9908.7683705085765</v>
      </c>
      <c r="R84" s="37">
        <f t="shared" si="24"/>
        <v>-16932.926619846476</v>
      </c>
      <c r="S84" s="37">
        <f t="shared" si="25"/>
        <v>11686.137859356004</v>
      </c>
      <c r="V84" s="37">
        <f t="shared" si="26"/>
        <v>-618.46659978068237</v>
      </c>
      <c r="W84" s="37">
        <f t="shared" si="27"/>
        <v>-12591.231629491424</v>
      </c>
      <c r="Y84" s="37">
        <f t="shared" si="29"/>
        <v>-26825.199751947639</v>
      </c>
      <c r="Z84" s="37">
        <f t="shared" si="30"/>
        <v>-15514.798796082037</v>
      </c>
      <c r="AA84" s="37">
        <f t="shared" si="31"/>
        <v>860.88270672371448</v>
      </c>
      <c r="AB84" s="37">
        <f t="shared" si="32"/>
        <v>3293.2815935597469</v>
      </c>
      <c r="AC84" s="37">
        <f t="shared" si="33"/>
        <v>1048.9639396332898</v>
      </c>
      <c r="AD84" s="37">
        <f t="shared" si="34"/>
        <v>324.46765522948613</v>
      </c>
      <c r="AE84" s="39">
        <f t="shared" si="35"/>
        <v>163.52269858384912</v>
      </c>
      <c r="AF84" s="39">
        <f t="shared" si="36"/>
        <v>80.372150603439138</v>
      </c>
      <c r="AG84" s="39">
        <f t="shared" si="37"/>
        <v>60.087803821288801</v>
      </c>
      <c r="AH84" s="39">
        <f t="shared" si="38"/>
        <v>224.62759777267178</v>
      </c>
      <c r="AI84" s="39">
        <f t="shared" si="39"/>
        <v>825.35343722815185</v>
      </c>
      <c r="AJ84" s="39">
        <f t="shared" si="40"/>
        <v>19.46790685337519</v>
      </c>
      <c r="AK84" s="37">
        <f t="shared" si="41"/>
        <v>52175.475996237321</v>
      </c>
      <c r="AL84" s="37">
        <f t="shared" si="42"/>
        <v>26411.897115855492</v>
      </c>
      <c r="AM84" s="37">
        <f t="shared" si="43"/>
        <v>21831.270279414864</v>
      </c>
    </row>
    <row r="85" spans="12:39">
      <c r="L85">
        <v>81</v>
      </c>
      <c r="M85" s="37">
        <f t="shared" si="28"/>
        <v>0.50893800988154647</v>
      </c>
      <c r="N85" s="37">
        <f t="shared" si="22"/>
        <v>24366.3122740496</v>
      </c>
      <c r="O85" s="37">
        <f t="shared" si="23"/>
        <v>9936.2506286266616</v>
      </c>
      <c r="R85" s="37">
        <f t="shared" si="24"/>
        <v>-16943.581408165279</v>
      </c>
      <c r="S85" s="37">
        <f t="shared" si="25"/>
        <v>11705.375440038662</v>
      </c>
      <c r="V85" s="37">
        <f t="shared" si="26"/>
        <v>-633.687725950399</v>
      </c>
      <c r="W85" s="37">
        <f t="shared" si="27"/>
        <v>-12563.749371373338</v>
      </c>
      <c r="Y85" s="37">
        <f t="shared" si="29"/>
        <v>-26263.637906131622</v>
      </c>
      <c r="Z85" s="37">
        <f t="shared" si="30"/>
        <v>-13827.599542398479</v>
      </c>
      <c r="AA85" s="37">
        <f t="shared" si="31"/>
        <v>1385.3646765403594</v>
      </c>
      <c r="AB85" s="37">
        <f t="shared" si="32"/>
        <v>3455.5154211744898</v>
      </c>
      <c r="AC85" s="37">
        <f t="shared" si="33"/>
        <v>1095.0251596258488</v>
      </c>
      <c r="AD85" s="37">
        <f t="shared" si="34"/>
        <v>287.37138396438547</v>
      </c>
      <c r="AE85" s="39">
        <f t="shared" si="35"/>
        <v>173.12275502535235</v>
      </c>
      <c r="AF85" s="39">
        <f t="shared" si="36"/>
        <v>79.80982382641605</v>
      </c>
      <c r="AG85" s="39">
        <f t="shared" si="37"/>
        <v>66.953900349416244</v>
      </c>
      <c r="AH85" s="39">
        <f t="shared" si="38"/>
        <v>254.70034335251364</v>
      </c>
      <c r="AI85" s="39">
        <f t="shared" si="39"/>
        <v>854.94850425108029</v>
      </c>
      <c r="AJ85" s="39">
        <f t="shared" si="40"/>
        <v>-47.138783214544191</v>
      </c>
      <c r="AK85" s="37">
        <f t="shared" si="41"/>
        <v>50943.014187919573</v>
      </c>
      <c r="AL85" s="37">
        <f t="shared" si="42"/>
        <v>24637.119551035932</v>
      </c>
      <c r="AM85" s="37">
        <f t="shared" si="43"/>
        <v>21295.934349919044</v>
      </c>
    </row>
    <row r="86" spans="12:39">
      <c r="L86">
        <v>82</v>
      </c>
      <c r="M86" s="37">
        <f t="shared" si="28"/>
        <v>0.51522119518872611</v>
      </c>
      <c r="N86" s="37">
        <f t="shared" si="22"/>
        <v>24350.918773347628</v>
      </c>
      <c r="O86" s="37">
        <f t="shared" si="23"/>
        <v>9963.6367077414579</v>
      </c>
      <c r="R86" s="37">
        <f t="shared" si="24"/>
        <v>-16954.356858656662</v>
      </c>
      <c r="S86" s="37">
        <f t="shared" si="25"/>
        <v>11724.545695419019</v>
      </c>
      <c r="V86" s="37">
        <f t="shared" si="26"/>
        <v>-649.0812266523717</v>
      </c>
      <c r="W86" s="37">
        <f t="shared" si="27"/>
        <v>-12536.363292258542</v>
      </c>
      <c r="Y86" s="37">
        <f t="shared" si="29"/>
        <v>-25434.077422908209</v>
      </c>
      <c r="Z86" s="37">
        <f t="shared" si="30"/>
        <v>-12063.920408815686</v>
      </c>
      <c r="AA86" s="37">
        <f t="shared" si="31"/>
        <v>1932.8772563532839</v>
      </c>
      <c r="AB86" s="37">
        <f t="shared" si="32"/>
        <v>3599.2011131566824</v>
      </c>
      <c r="AC86" s="37">
        <f t="shared" si="33"/>
        <v>1144.1376472607503</v>
      </c>
      <c r="AD86" s="37">
        <f t="shared" si="34"/>
        <v>247.1031869503804</v>
      </c>
      <c r="AE86" s="39">
        <f t="shared" si="35"/>
        <v>185.07012218235124</v>
      </c>
      <c r="AF86" s="39">
        <f t="shared" si="36"/>
        <v>79.691221783227633</v>
      </c>
      <c r="AG86" s="39">
        <f t="shared" si="37"/>
        <v>72.601790372878696</v>
      </c>
      <c r="AH86" s="39">
        <f t="shared" si="38"/>
        <v>294.78419235834554</v>
      </c>
      <c r="AI86" s="39">
        <f t="shared" si="39"/>
        <v>886.4657347055205</v>
      </c>
      <c r="AJ86" s="39">
        <f t="shared" si="40"/>
        <v>-127.37222719119278</v>
      </c>
      <c r="AK86" s="37">
        <f t="shared" si="41"/>
        <v>49467.184810066683</v>
      </c>
      <c r="AL86" s="37">
        <f t="shared" si="42"/>
        <v>22723.243193802991</v>
      </c>
      <c r="AM86" s="37">
        <f t="shared" si="43"/>
        <v>20643.935755838225</v>
      </c>
    </row>
    <row r="87" spans="12:39">
      <c r="L87">
        <v>83</v>
      </c>
      <c r="M87" s="37">
        <f t="shared" si="28"/>
        <v>0.52150438049590575</v>
      </c>
      <c r="N87" s="37">
        <f t="shared" si="22"/>
        <v>24335.353505822452</v>
      </c>
      <c r="O87" s="37">
        <f t="shared" si="23"/>
        <v>9990.9255266974542</v>
      </c>
      <c r="R87" s="37">
        <f t="shared" si="24"/>
        <v>-16965.252545924286</v>
      </c>
      <c r="S87" s="37">
        <f t="shared" si="25"/>
        <v>11743.647868688218</v>
      </c>
      <c r="V87" s="37">
        <f t="shared" si="26"/>
        <v>-664.64649417755027</v>
      </c>
      <c r="W87" s="37">
        <f t="shared" si="27"/>
        <v>-12509.074473302546</v>
      </c>
      <c r="Y87" s="37">
        <f t="shared" si="29"/>
        <v>-24324.621588823975</v>
      </c>
      <c r="Z87" s="37">
        <f t="shared" si="30"/>
        <v>-10233.431953868547</v>
      </c>
      <c r="AA87" s="37">
        <f t="shared" si="31"/>
        <v>2504.9460799836588</v>
      </c>
      <c r="AB87" s="37">
        <f t="shared" si="32"/>
        <v>3722.7527066318726</v>
      </c>
      <c r="AC87" s="37">
        <f t="shared" si="33"/>
        <v>1190.0583313273023</v>
      </c>
      <c r="AD87" s="37">
        <f t="shared" si="34"/>
        <v>202.89214994116452</v>
      </c>
      <c r="AE87" s="39">
        <f t="shared" si="35"/>
        <v>199.99163436963667</v>
      </c>
      <c r="AF87" s="39">
        <f t="shared" si="36"/>
        <v>80.012821594649211</v>
      </c>
      <c r="AG87" s="39">
        <f t="shared" si="37"/>
        <v>74.53062403558377</v>
      </c>
      <c r="AH87" s="39">
        <f t="shared" si="38"/>
        <v>348.70341345019915</v>
      </c>
      <c r="AI87" s="39">
        <f t="shared" si="39"/>
        <v>915.53607292208198</v>
      </c>
      <c r="AJ87" s="39">
        <f t="shared" si="40"/>
        <v>-225.82408510368384</v>
      </c>
      <c r="AK87" s="37">
        <f t="shared" si="41"/>
        <v>47740.409380889549</v>
      </c>
      <c r="AL87" s="37">
        <f t="shared" si="42"/>
        <v>20690.435484018963</v>
      </c>
      <c r="AM87" s="37">
        <f t="shared" si="43"/>
        <v>19903.797891097143</v>
      </c>
    </row>
    <row r="88" spans="12:39">
      <c r="L88">
        <v>84</v>
      </c>
      <c r="M88" s="37">
        <f t="shared" si="28"/>
        <v>0.52778756580308539</v>
      </c>
      <c r="N88" s="37">
        <f t="shared" si="22"/>
        <v>24319.617085964175</v>
      </c>
      <c r="O88" s="37">
        <f t="shared" si="23"/>
        <v>10018.116008178804</v>
      </c>
      <c r="R88" s="37">
        <f t="shared" si="24"/>
        <v>-16976.268039825078</v>
      </c>
      <c r="S88" s="37">
        <f t="shared" si="25"/>
        <v>11762.681205725163</v>
      </c>
      <c r="V88" s="37">
        <f t="shared" si="26"/>
        <v>-680.38291403582389</v>
      </c>
      <c r="W88" s="37">
        <f t="shared" si="27"/>
        <v>-12481.883991821196</v>
      </c>
      <c r="Y88" s="37">
        <f t="shared" si="29"/>
        <v>-22923.391257416231</v>
      </c>
      <c r="Z88" s="37">
        <f t="shared" si="30"/>
        <v>-8346.6940818099647</v>
      </c>
      <c r="AA88" s="37">
        <f t="shared" si="31"/>
        <v>3099.9752456473097</v>
      </c>
      <c r="AB88" s="37">
        <f t="shared" si="32"/>
        <v>3824.1987816024548</v>
      </c>
      <c r="AC88" s="37">
        <f t="shared" si="33"/>
        <v>1220.2295908728706</v>
      </c>
      <c r="AD88" s="37">
        <f t="shared" si="34"/>
        <v>154.99672722329859</v>
      </c>
      <c r="AE88" s="39">
        <f t="shared" si="35"/>
        <v>218.76393587895433</v>
      </c>
      <c r="AF88" s="39">
        <f t="shared" si="36"/>
        <v>80.764475183621755</v>
      </c>
      <c r="AG88" s="39">
        <f t="shared" si="37"/>
        <v>67.095236305507342</v>
      </c>
      <c r="AH88" s="39">
        <f t="shared" si="38"/>
        <v>421.07801058824418</v>
      </c>
      <c r="AI88" s="39">
        <f t="shared" si="39"/>
        <v>934.3704186884089</v>
      </c>
      <c r="AJ88" s="39">
        <f t="shared" si="40"/>
        <v>-346.84575854856735</v>
      </c>
      <c r="AK88" s="37">
        <f t="shared" si="41"/>
        <v>45755.166160333276</v>
      </c>
      <c r="AL88" s="37">
        <f t="shared" si="42"/>
        <v>18578.143076622549</v>
      </c>
      <c r="AM88" s="37">
        <f t="shared" si="43"/>
        <v>19118.431782116626</v>
      </c>
    </row>
    <row r="89" spans="12:39">
      <c r="L89">
        <v>85</v>
      </c>
      <c r="M89" s="37">
        <f t="shared" si="28"/>
        <v>0.53407075111026503</v>
      </c>
      <c r="N89" s="37">
        <f t="shared" si="22"/>
        <v>24303.710135019719</v>
      </c>
      <c r="O89" s="37">
        <f t="shared" si="23"/>
        <v>10045.207078751857</v>
      </c>
      <c r="R89" s="37">
        <f t="shared" si="24"/>
        <v>-16987.402905486197</v>
      </c>
      <c r="S89" s="37">
        <f t="shared" si="25"/>
        <v>11781.644955126299</v>
      </c>
      <c r="V89" s="37">
        <f t="shared" si="26"/>
        <v>-696.28986498028189</v>
      </c>
      <c r="W89" s="37">
        <f t="shared" si="27"/>
        <v>-12454.792921248143</v>
      </c>
      <c r="Y89" s="37">
        <f t="shared" si="29"/>
        <v>-21220.874935733467</v>
      </c>
      <c r="Z89" s="37">
        <f t="shared" si="30"/>
        <v>-6415.2201001058247</v>
      </c>
      <c r="AA89" s="37">
        <f t="shared" si="31"/>
        <v>3710.0900410837448</v>
      </c>
      <c r="AB89" s="37">
        <f t="shared" si="32"/>
        <v>3901.6971452141042</v>
      </c>
      <c r="AC89" s="37">
        <f t="shared" si="33"/>
        <v>1211.2369963692365</v>
      </c>
      <c r="AD89" s="37">
        <f t="shared" si="34"/>
        <v>104.67333499051676</v>
      </c>
      <c r="AE89" s="39">
        <f t="shared" si="35"/>
        <v>242.61757441146068</v>
      </c>
      <c r="AF89" s="39">
        <f t="shared" si="36"/>
        <v>81.902117637067221</v>
      </c>
      <c r="AG89" s="39">
        <f t="shared" si="37"/>
        <v>38.31252505359393</v>
      </c>
      <c r="AH89" s="39">
        <f t="shared" si="38"/>
        <v>515.1293657836726</v>
      </c>
      <c r="AI89" s="39">
        <f t="shared" si="39"/>
        <v>930.30689690418194</v>
      </c>
      <c r="AJ89" s="39">
        <f t="shared" si="40"/>
        <v>-492.35814843022308</v>
      </c>
      <c r="AK89" s="37">
        <f t="shared" si="41"/>
        <v>43506.251055472116</v>
      </c>
      <c r="AL89" s="37">
        <f t="shared" si="42"/>
        <v>16460.558512505595</v>
      </c>
      <c r="AM89" s="37">
        <f t="shared" si="43"/>
        <v>18352.526518447896</v>
      </c>
    </row>
    <row r="90" spans="12:39">
      <c r="L90">
        <v>86</v>
      </c>
      <c r="M90" s="37">
        <f t="shared" si="28"/>
        <v>0.54035393641744467</v>
      </c>
      <c r="N90" s="37">
        <f t="shared" si="22"/>
        <v>24287.633280968261</v>
      </c>
      <c r="O90" s="37">
        <f t="shared" si="23"/>
        <v>10072.197668907533</v>
      </c>
      <c r="R90" s="37">
        <f t="shared" si="24"/>
        <v>-16998.656703322216</v>
      </c>
      <c r="S90" s="37">
        <f t="shared" si="25"/>
        <v>11800.538368235273</v>
      </c>
      <c r="V90" s="37">
        <f t="shared" si="26"/>
        <v>-712.36671903173919</v>
      </c>
      <c r="W90" s="37">
        <f t="shared" si="27"/>
        <v>-12427.802331092467</v>
      </c>
      <c r="Y90" s="37">
        <f t="shared" si="29"/>
        <v>-19214.425290645442</v>
      </c>
      <c r="Z90" s="37">
        <f t="shared" si="30"/>
        <v>-4451.2873606249577</v>
      </c>
      <c r="AA90" s="37">
        <f t="shared" si="31"/>
        <v>4315.708539268363</v>
      </c>
      <c r="AB90" s="37">
        <f t="shared" si="32"/>
        <v>3954.0338127093628</v>
      </c>
      <c r="AC90" s="37">
        <f t="shared" si="33"/>
        <v>1125.023250175997</v>
      </c>
      <c r="AD90" s="37">
        <f t="shared" si="34"/>
        <v>50.611235954688937</v>
      </c>
      <c r="AE90" s="39">
        <f t="shared" si="35"/>
        <v>273.27084900301583</v>
      </c>
      <c r="AF90" s="39">
        <f t="shared" si="36"/>
        <v>83.284108322660543</v>
      </c>
      <c r="AG90" s="39">
        <f t="shared" si="37"/>
        <v>-33.954567709114947</v>
      </c>
      <c r="AH90" s="39">
        <f t="shared" si="38"/>
        <v>624.62196061960094</v>
      </c>
      <c r="AI90" s="39">
        <f t="shared" si="39"/>
        <v>885.70696888209602</v>
      </c>
      <c r="AJ90" s="39">
        <f t="shared" si="40"/>
        <v>-657.29483298757259</v>
      </c>
      <c r="AK90" s="37">
        <f t="shared" si="41"/>
        <v>40995.175575326502</v>
      </c>
      <c r="AL90" s="37">
        <f t="shared" si="42"/>
        <v>14472.623604700571</v>
      </c>
      <c r="AM90" s="37">
        <f t="shared" si="43"/>
        <v>17700.995019813196</v>
      </c>
    </row>
    <row r="91" spans="12:39">
      <c r="L91">
        <v>87</v>
      </c>
      <c r="M91" s="37">
        <f t="shared" si="28"/>
        <v>0.54663712172462431</v>
      </c>
      <c r="N91" s="37">
        <f t="shared" si="22"/>
        <v>24271.387158496476</v>
      </c>
      <c r="O91" s="37">
        <f t="shared" si="23"/>
        <v>10099.086713103548</v>
      </c>
      <c r="R91" s="37">
        <f t="shared" si="24"/>
        <v>-17010.028989052465</v>
      </c>
      <c r="S91" s="37">
        <f t="shared" si="25"/>
        <v>11819.360699172485</v>
      </c>
      <c r="V91" s="37">
        <f t="shared" si="26"/>
        <v>-728.61284150352458</v>
      </c>
      <c r="W91" s="37">
        <f t="shared" si="27"/>
        <v>-12400.913286896452</v>
      </c>
      <c r="Y91" s="37">
        <f t="shared" si="29"/>
        <v>-16915.943114739261</v>
      </c>
      <c r="Z91" s="37">
        <f t="shared" si="30"/>
        <v>-2467.9440497759401</v>
      </c>
      <c r="AA91" s="37">
        <f t="shared" si="31"/>
        <v>4878.2201643563612</v>
      </c>
      <c r="AB91" s="37">
        <f t="shared" si="32"/>
        <v>3979.3394306867071</v>
      </c>
      <c r="AC91" s="37">
        <f t="shared" si="33"/>
        <v>918.7926245257695</v>
      </c>
      <c r="AD91" s="37">
        <f t="shared" si="34"/>
        <v>-23.183864882604098</v>
      </c>
      <c r="AE91" s="39">
        <f t="shared" si="35"/>
        <v>313.06162837512767</v>
      </c>
      <c r="AF91" s="39">
        <f t="shared" si="36"/>
        <v>84.532062097827875</v>
      </c>
      <c r="AG91" s="39">
        <f t="shared" si="37"/>
        <v>-176.97547438442888</v>
      </c>
      <c r="AH91" s="39">
        <f t="shared" si="38"/>
        <v>715.46031571368565</v>
      </c>
      <c r="AI91" s="39">
        <f t="shared" si="39"/>
        <v>782.70647053507071</v>
      </c>
      <c r="AJ91" s="39">
        <f t="shared" si="40"/>
        <v>-823.1762426941176</v>
      </c>
      <c r="AK91" s="37">
        <f t="shared" si="41"/>
        <v>38238.027729344627</v>
      </c>
      <c r="AL91" s="37">
        <f t="shared" si="42"/>
        <v>12843.715805788739</v>
      </c>
      <c r="AM91" s="37">
        <f t="shared" si="43"/>
        <v>17292.834546518054</v>
      </c>
    </row>
    <row r="92" spans="12:39">
      <c r="L92">
        <v>88</v>
      </c>
      <c r="M92" s="37">
        <f t="shared" si="28"/>
        <v>0.55292030703180395</v>
      </c>
      <c r="N92" s="37">
        <f t="shared" si="22"/>
        <v>24254.972408973459</v>
      </c>
      <c r="O92" s="37">
        <f t="shared" si="23"/>
        <v>10125.873149806481</v>
      </c>
      <c r="R92" s="37">
        <f t="shared" si="24"/>
        <v>-17021.519313718578</v>
      </c>
      <c r="S92" s="37">
        <f t="shared" si="25"/>
        <v>11838.111204864535</v>
      </c>
      <c r="V92" s="37">
        <f t="shared" si="26"/>
        <v>-745.02759102654181</v>
      </c>
      <c r="W92" s="37">
        <f t="shared" si="27"/>
        <v>-12374.126850193519</v>
      </c>
      <c r="Y92" s="37">
        <f t="shared" si="29"/>
        <v>-14361.983954495359</v>
      </c>
      <c r="Z92" s="37">
        <f t="shared" si="30"/>
        <v>-481.17231754291208</v>
      </c>
      <c r="AA92" s="37">
        <f t="shared" si="31"/>
        <v>5337.616476619246</v>
      </c>
      <c r="AB92" s="37">
        <f t="shared" si="32"/>
        <v>3967.747498245405</v>
      </c>
      <c r="AC92" s="37">
        <f t="shared" si="33"/>
        <v>596.63766480476488</v>
      </c>
      <c r="AD92" s="37">
        <f t="shared" si="34"/>
        <v>-155.94646924360961</v>
      </c>
      <c r="AE92" s="39">
        <f t="shared" si="35"/>
        <v>364.97428538348885</v>
      </c>
      <c r="AF92" s="39">
        <f t="shared" si="36"/>
        <v>84.771667054359042</v>
      </c>
      <c r="AG92" s="39">
        <f t="shared" si="37"/>
        <v>-384.67192852976501</v>
      </c>
      <c r="AH92" s="39">
        <f t="shared" si="38"/>
        <v>715.11197132131326</v>
      </c>
      <c r="AI92" s="39">
        <f t="shared" si="39"/>
        <v>616.33530795104105</v>
      </c>
      <c r="AJ92" s="39">
        <f t="shared" si="40"/>
        <v>-955.83010761928188</v>
      </c>
      <c r="AK92" s="37">
        <f t="shared" si="41"/>
        <v>35276.692770883579</v>
      </c>
      <c r="AL92" s="37">
        <f t="shared" si="42"/>
        <v>11901.352783587068</v>
      </c>
      <c r="AM92" s="37">
        <f t="shared" si="43"/>
        <v>17275.505805536079</v>
      </c>
    </row>
    <row r="93" spans="12:39">
      <c r="L93">
        <v>89</v>
      </c>
      <c r="M93" s="37">
        <f t="shared" si="28"/>
        <v>0.55920349233898359</v>
      </c>
      <c r="N93" s="37">
        <f t="shared" si="22"/>
        <v>24238.389680425415</v>
      </c>
      <c r="O93" s="37">
        <f t="shared" si="23"/>
        <v>10152.555921533673</v>
      </c>
      <c r="R93" s="37">
        <f t="shared" si="24"/>
        <v>-17033.127223702209</v>
      </c>
      <c r="S93" s="37">
        <f t="shared" si="25"/>
        <v>11856.78914507357</v>
      </c>
      <c r="V93" s="37">
        <f t="shared" si="26"/>
        <v>-761.61031957458454</v>
      </c>
      <c r="W93" s="37">
        <f t="shared" si="27"/>
        <v>-12347.444078466327</v>
      </c>
      <c r="Y93" s="37">
        <f t="shared" si="29"/>
        <v>-11618.596008085142</v>
      </c>
      <c r="Z93" s="37">
        <f t="shared" si="30"/>
        <v>1483.2081229243392</v>
      </c>
      <c r="AA93" s="37">
        <f t="shared" si="31"/>
        <v>5635.9353090216282</v>
      </c>
      <c r="AB93" s="37">
        <f t="shared" si="32"/>
        <v>3889.7742636236003</v>
      </c>
      <c r="AC93" s="37">
        <f t="shared" si="33"/>
        <v>274.84415769889489</v>
      </c>
      <c r="AD93" s="37">
        <f t="shared" si="34"/>
        <v>-360.82262456074716</v>
      </c>
      <c r="AE93" s="39">
        <f t="shared" si="35"/>
        <v>432.42381812278194</v>
      </c>
      <c r="AF93" s="39">
        <f t="shared" si="36"/>
        <v>82.287148856005302</v>
      </c>
      <c r="AG93" s="39">
        <f t="shared" si="37"/>
        <v>-566.75068845770465</v>
      </c>
      <c r="AH93" s="39">
        <f t="shared" si="38"/>
        <v>575.90561968375414</v>
      </c>
      <c r="AI93" s="39">
        <f t="shared" si="39"/>
        <v>409.17102803381761</v>
      </c>
      <c r="AJ93" s="39">
        <f t="shared" si="40"/>
        <v>-1019.0153931005066</v>
      </c>
      <c r="AK93" s="37">
        <f t="shared" si="41"/>
        <v>32185.98138964449</v>
      </c>
      <c r="AL93" s="37">
        <f t="shared" si="42"/>
        <v>11949.212390492867</v>
      </c>
      <c r="AM93" s="37">
        <f t="shared" si="43"/>
        <v>17762.374929661841</v>
      </c>
    </row>
    <row r="94" spans="12:39">
      <c r="L94">
        <v>90</v>
      </c>
      <c r="M94" s="37">
        <f t="shared" si="28"/>
        <v>0.56548667764616323</v>
      </c>
      <c r="N94" s="37">
        <f t="shared" si="22"/>
        <v>24221.639627510074</v>
      </c>
      <c r="O94" s="37">
        <f t="shared" si="23"/>
        <v>10179.133974894985</v>
      </c>
      <c r="R94" s="37">
        <f t="shared" si="24"/>
        <v>-17044.852260742948</v>
      </c>
      <c r="S94" s="37">
        <f t="shared" si="25"/>
        <v>11875.39378242649</v>
      </c>
      <c r="V94" s="37">
        <f t="shared" si="26"/>
        <v>-778.36037248992579</v>
      </c>
      <c r="W94" s="37">
        <f t="shared" si="27"/>
        <v>-12320.866025105015</v>
      </c>
      <c r="Y94" s="37">
        <f t="shared" si="29"/>
        <v>-8766.2728338619654</v>
      </c>
      <c r="Z94" s="37">
        <f t="shared" si="30"/>
        <v>3382.992426666046</v>
      </c>
      <c r="AA94" s="37">
        <f t="shared" si="31"/>
        <v>5773.3573878710758</v>
      </c>
      <c r="AB94" s="37">
        <f t="shared" si="32"/>
        <v>3709.3629513432265</v>
      </c>
      <c r="AC94" s="37">
        <f t="shared" si="33"/>
        <v>101.47312560732558</v>
      </c>
      <c r="AD94" s="37">
        <f t="shared" si="34"/>
        <v>-560.23605674362148</v>
      </c>
      <c r="AE94" s="39">
        <f t="shared" si="35"/>
        <v>518.9374337620626</v>
      </c>
      <c r="AF94" s="39">
        <f t="shared" si="36"/>
        <v>74.269939565127558</v>
      </c>
      <c r="AG94" s="39">
        <f t="shared" si="37"/>
        <v>-622.59514093347389</v>
      </c>
      <c r="AH94" s="39">
        <f t="shared" si="38"/>
        <v>366.72750742031826</v>
      </c>
      <c r="AI94" s="39">
        <f t="shared" si="39"/>
        <v>205.13083277873687</v>
      </c>
      <c r="AJ94" s="39">
        <f t="shared" si="40"/>
        <v>-1001.2335037290674</v>
      </c>
      <c r="AK94" s="37">
        <f t="shared" si="41"/>
        <v>29059.390979700071</v>
      </c>
      <c r="AL94" s="37">
        <f t="shared" si="42"/>
        <v>13037.692099017624</v>
      </c>
      <c r="AM94" s="37">
        <f t="shared" si="43"/>
        <v>18764.840037099912</v>
      </c>
    </row>
    <row r="95" spans="12:39">
      <c r="L95">
        <v>91</v>
      </c>
      <c r="M95" s="37">
        <f t="shared" si="28"/>
        <v>0.57176986295334287</v>
      </c>
      <c r="N95" s="37">
        <f t="shared" si="22"/>
        <v>24204.722911490844</v>
      </c>
      <c r="O95" s="37">
        <f t="shared" si="23"/>
        <v>10205.60626063438</v>
      </c>
      <c r="R95" s="37">
        <f t="shared" si="24"/>
        <v>-17056.693961956407</v>
      </c>
      <c r="S95" s="37">
        <f t="shared" si="25"/>
        <v>11893.924382444067</v>
      </c>
      <c r="V95" s="37">
        <f t="shared" si="26"/>
        <v>-795.27708850915587</v>
      </c>
      <c r="W95" s="37">
        <f t="shared" si="27"/>
        <v>-12294.39373936562</v>
      </c>
      <c r="Y95" s="37">
        <f t="shared" si="29"/>
        <v>-5866.9099992255115</v>
      </c>
      <c r="Z95" s="37">
        <f t="shared" si="30"/>
        <v>5167.6443952447071</v>
      </c>
      <c r="AA95" s="37">
        <f t="shared" si="31"/>
        <v>5824.0939506747391</v>
      </c>
      <c r="AB95" s="37">
        <f t="shared" si="32"/>
        <v>3429.2449229714157</v>
      </c>
      <c r="AC95" s="37">
        <f t="shared" si="33"/>
        <v>102.50439645358921</v>
      </c>
      <c r="AD95" s="37">
        <f t="shared" si="34"/>
        <v>-673.658585009543</v>
      </c>
      <c r="AE95" s="39">
        <f t="shared" si="35"/>
        <v>628.31870925070154</v>
      </c>
      <c r="AF95" s="39">
        <f t="shared" si="36"/>
        <v>56.653951443653803</v>
      </c>
      <c r="AG95" s="39">
        <f t="shared" si="37"/>
        <v>-565.51858949281416</v>
      </c>
      <c r="AH95" s="39">
        <f t="shared" si="38"/>
        <v>193.36089456581345</v>
      </c>
      <c r="AI95" s="39">
        <f t="shared" si="39"/>
        <v>39.704276695701815</v>
      </c>
      <c r="AJ95" s="39">
        <f t="shared" si="40"/>
        <v>-923.6734310190102</v>
      </c>
      <c r="AK95" s="37">
        <f t="shared" si="41"/>
        <v>25971.848520562915</v>
      </c>
      <c r="AL95" s="37">
        <f t="shared" si="42"/>
        <v>14936.394935217861</v>
      </c>
      <c r="AM95" s="37">
        <f t="shared" si="43"/>
        <v>20186.267941345734</v>
      </c>
    </row>
    <row r="96" spans="12:39">
      <c r="L96">
        <v>92</v>
      </c>
      <c r="M96" s="37">
        <f t="shared" si="28"/>
        <v>0.57805304826052251</v>
      </c>
      <c r="N96" s="37">
        <f t="shared" si="22"/>
        <v>24187.640200210706</v>
      </c>
      <c r="O96" s="37">
        <f t="shared" si="23"/>
        <v>10231.971733671347</v>
      </c>
      <c r="R96" s="37">
        <f t="shared" si="24"/>
        <v>-17068.651859852504</v>
      </c>
      <c r="S96" s="37">
        <f t="shared" si="25"/>
        <v>11912.380213569944</v>
      </c>
      <c r="V96" s="37">
        <f t="shared" si="26"/>
        <v>-812.35979978929299</v>
      </c>
      <c r="W96" s="37">
        <f t="shared" si="27"/>
        <v>-12268.028266328653</v>
      </c>
      <c r="Y96" s="37">
        <f t="shared" si="29"/>
        <v>-2942.0499743314431</v>
      </c>
      <c r="Z96" s="37">
        <f t="shared" si="30"/>
        <v>6798.0595336042225</v>
      </c>
      <c r="AA96" s="37">
        <f t="shared" si="31"/>
        <v>5875.3461489015335</v>
      </c>
      <c r="AB96" s="37">
        <f t="shared" si="32"/>
        <v>3092.415630466644</v>
      </c>
      <c r="AC96" s="37">
        <f t="shared" si="33"/>
        <v>220.75793724714259</v>
      </c>
      <c r="AD96" s="37">
        <f t="shared" si="34"/>
        <v>-707.23176336268466</v>
      </c>
      <c r="AE96" s="39">
        <f t="shared" si="35"/>
        <v>765.43054870490903</v>
      </c>
      <c r="AF96" s="39">
        <f t="shared" si="36"/>
        <v>23.419296747790163</v>
      </c>
      <c r="AG96" s="39">
        <f t="shared" si="37"/>
        <v>-467.408764692445</v>
      </c>
      <c r="AH96" s="39">
        <f t="shared" si="38"/>
        <v>87.737098289344075</v>
      </c>
      <c r="AI96" s="39">
        <f t="shared" si="39"/>
        <v>-77.263846765321418</v>
      </c>
      <c r="AJ96" s="39">
        <f t="shared" si="40"/>
        <v>-818.38815839981896</v>
      </c>
      <c r="AK96" s="37">
        <f t="shared" si="41"/>
        <v>22952.785831856778</v>
      </c>
      <c r="AL96" s="37">
        <f t="shared" si="42"/>
        <v>17355.865919871263</v>
      </c>
      <c r="AM96" s="37">
        <f t="shared" si="43"/>
        <v>21894.989329495078</v>
      </c>
    </row>
    <row r="97" spans="12:39">
      <c r="L97">
        <v>93</v>
      </c>
      <c r="M97" s="37">
        <f t="shared" si="28"/>
        <v>0.58433623356770215</v>
      </c>
      <c r="N97" s="37">
        <f t="shared" si="22"/>
        <v>24170.392168065853</v>
      </c>
      <c r="O97" s="37">
        <f t="shared" si="23"/>
        <v>10258.229353142153</v>
      </c>
      <c r="R97" s="37">
        <f t="shared" si="24"/>
        <v>-17080.725482353904</v>
      </c>
      <c r="S97" s="37">
        <f t="shared" si="25"/>
        <v>11930.760547199508</v>
      </c>
      <c r="V97" s="37">
        <f t="shared" si="26"/>
        <v>-829.60783193414591</v>
      </c>
      <c r="W97" s="37">
        <f t="shared" si="27"/>
        <v>-12241.770646857847</v>
      </c>
      <c r="Y97" s="37">
        <f t="shared" si="29"/>
        <v>23.217842275216505</v>
      </c>
      <c r="Z97" s="37">
        <f t="shared" si="30"/>
        <v>8255.8633784172089</v>
      </c>
      <c r="AA97" s="37">
        <f t="shared" si="31"/>
        <v>5985.7251175251049</v>
      </c>
      <c r="AB97" s="37">
        <f t="shared" si="32"/>
        <v>2738.7997487853017</v>
      </c>
      <c r="AC97" s="37">
        <f t="shared" si="33"/>
        <v>410.54289145196663</v>
      </c>
      <c r="AD97" s="37">
        <f t="shared" si="34"/>
        <v>-711.30415115293863</v>
      </c>
      <c r="AE97" s="39">
        <f t="shared" si="35"/>
        <v>936.55706256767644</v>
      </c>
      <c r="AF97" s="39">
        <f t="shared" si="36"/>
        <v>-35.436597336030971</v>
      </c>
      <c r="AG97" s="39">
        <f t="shared" si="37"/>
        <v>-373.0101376210871</v>
      </c>
      <c r="AH97" s="39">
        <f t="shared" si="38"/>
        <v>32.491313153123549</v>
      </c>
      <c r="AI97" s="39">
        <f t="shared" si="39"/>
        <v>-153.00403349462275</v>
      </c>
      <c r="AJ97" s="39">
        <f t="shared" si="40"/>
        <v>-708.35886697003116</v>
      </c>
      <c r="AK97" s="37">
        <f t="shared" si="41"/>
        <v>19991.076880048848</v>
      </c>
      <c r="AL97" s="37">
        <f t="shared" si="42"/>
        <v>20099.03642749957</v>
      </c>
      <c r="AM97" s="37">
        <f t="shared" si="43"/>
        <v>23792.181467166032</v>
      </c>
    </row>
    <row r="98" spans="12:39">
      <c r="L98">
        <v>94</v>
      </c>
      <c r="M98" s="37">
        <f t="shared" si="28"/>
        <v>0.59061941887488179</v>
      </c>
      <c r="N98" s="37">
        <f t="shared" si="22"/>
        <v>24152.97949597906</v>
      </c>
      <c r="O98" s="37">
        <f t="shared" si="23"/>
        <v>10284.378082440942</v>
      </c>
      <c r="R98" s="37">
        <f t="shared" si="24"/>
        <v>-17092.914352814656</v>
      </c>
      <c r="S98" s="37">
        <f t="shared" si="25"/>
        <v>11949.064657708659</v>
      </c>
      <c r="V98" s="37">
        <f t="shared" si="26"/>
        <v>-847.02050402093846</v>
      </c>
      <c r="W98" s="37">
        <f t="shared" si="27"/>
        <v>-12215.621917559058</v>
      </c>
      <c r="Y98" s="37">
        <f t="shared" si="29"/>
        <v>3067.3982624692644</v>
      </c>
      <c r="Z98" s="37">
        <f t="shared" si="30"/>
        <v>9536.3502339157421</v>
      </c>
      <c r="AA98" s="37">
        <f t="shared" si="31"/>
        <v>6190.9965632510884</v>
      </c>
      <c r="AB98" s="37">
        <f t="shared" si="32"/>
        <v>2383.1476732088322</v>
      </c>
      <c r="AC98" s="37">
        <f t="shared" si="33"/>
        <v>652.94988301187152</v>
      </c>
      <c r="AD98" s="37">
        <f t="shared" si="34"/>
        <v>-736.70889288802732</v>
      </c>
      <c r="AE98" s="39">
        <f t="shared" si="35"/>
        <v>1147.3368295627897</v>
      </c>
      <c r="AF98" s="39">
        <f t="shared" si="36"/>
        <v>-137.98113588662511</v>
      </c>
      <c r="AG98" s="39">
        <f t="shared" si="37"/>
        <v>-295.57564450605724</v>
      </c>
      <c r="AH98" s="39">
        <f t="shared" si="38"/>
        <v>5.9410071684767143</v>
      </c>
      <c r="AI98" s="39">
        <f t="shared" si="39"/>
        <v>-198.81130204486101</v>
      </c>
      <c r="AJ98" s="39">
        <f t="shared" si="40"/>
        <v>-604.66876416987895</v>
      </c>
      <c r="AK98" s="37">
        <f t="shared" si="41"/>
        <v>17054.610047638074</v>
      </c>
      <c r="AL98" s="37">
        <f t="shared" si="42"/>
        <v>23072.057422452814</v>
      </c>
      <c r="AM98" s="37">
        <f t="shared" si="43"/>
        <v>25828.577148706219</v>
      </c>
    </row>
    <row r="99" spans="12:39">
      <c r="L99">
        <v>95</v>
      </c>
      <c r="M99" s="37">
        <f t="shared" si="28"/>
        <v>0.59690260418206142</v>
      </c>
      <c r="N99" s="37">
        <f t="shared" si="22"/>
        <v>24135.402871372808</v>
      </c>
      <c r="O99" s="37">
        <f t="shared" si="23"/>
        <v>10310.416889260656</v>
      </c>
      <c r="R99" s="37">
        <f t="shared" si="24"/>
        <v>-17105.217990039037</v>
      </c>
      <c r="S99" s="37">
        <f t="shared" si="25"/>
        <v>11967.291822482459</v>
      </c>
      <c r="V99" s="37">
        <f t="shared" si="26"/>
        <v>-864.59712862719334</v>
      </c>
      <c r="W99" s="37">
        <f t="shared" si="27"/>
        <v>-12189.583110739344</v>
      </c>
      <c r="Y99" s="37">
        <f t="shared" si="29"/>
        <v>6244.5152794712922</v>
      </c>
      <c r="Z99" s="37">
        <f t="shared" si="30"/>
        <v>10635.835458909156</v>
      </c>
      <c r="AA99" s="37">
        <f t="shared" si="31"/>
        <v>6517.4715047570244</v>
      </c>
      <c r="AB99" s="37">
        <f t="shared" si="32"/>
        <v>2014.7932267648184</v>
      </c>
      <c r="AC99" s="37">
        <f t="shared" si="33"/>
        <v>933.5693571619679</v>
      </c>
      <c r="AD99" s="37">
        <f t="shared" si="34"/>
        <v>-834.21171524763099</v>
      </c>
      <c r="AE99" s="39">
        <f t="shared" si="35"/>
        <v>1392.7261489623945</v>
      </c>
      <c r="AF99" s="39">
        <f t="shared" si="36"/>
        <v>-317.49953790784389</v>
      </c>
      <c r="AG99" s="39">
        <f t="shared" si="37"/>
        <v>-235.0113757790152</v>
      </c>
      <c r="AH99" s="39">
        <f t="shared" si="38"/>
        <v>-5.6937064516564586</v>
      </c>
      <c r="AI99" s="39">
        <f t="shared" si="39"/>
        <v>-224.14541602141139</v>
      </c>
      <c r="AJ99" s="39">
        <f t="shared" si="40"/>
        <v>-511.01847088813071</v>
      </c>
      <c r="AK99" s="37">
        <f t="shared" si="41"/>
        <v>14108.395511965588</v>
      </c>
      <c r="AL99" s="37">
        <f t="shared" si="42"/>
        <v>26252.216458524192</v>
      </c>
      <c r="AM99" s="37">
        <f t="shared" si="43"/>
        <v>27993.484662444709</v>
      </c>
    </row>
    <row r="100" spans="12:39">
      <c r="L100">
        <v>96</v>
      </c>
      <c r="M100" s="37">
        <f t="shared" si="28"/>
        <v>0.60318578948924106</v>
      </c>
      <c r="N100" s="37">
        <f t="shared" si="22"/>
        <v>24117.662988142136</v>
      </c>
      <c r="O100" s="37">
        <f t="shared" si="23"/>
        <v>10336.344745633785</v>
      </c>
      <c r="R100" s="37">
        <f t="shared" si="24"/>
        <v>-17117.635908300505</v>
      </c>
      <c r="S100" s="37">
        <f t="shared" si="25"/>
        <v>11985.44132194365</v>
      </c>
      <c r="V100" s="37">
        <f t="shared" si="26"/>
        <v>-882.33701185786504</v>
      </c>
      <c r="W100" s="37">
        <f t="shared" si="27"/>
        <v>-12163.655254366215</v>
      </c>
      <c r="Y100" s="37">
        <f t="shared" si="29"/>
        <v>9619.9472014950497</v>
      </c>
      <c r="Z100" s="37">
        <f t="shared" si="30"/>
        <v>11538.955607885611</v>
      </c>
      <c r="AA100" s="37">
        <f t="shared" si="31"/>
        <v>6984.2561833380087</v>
      </c>
      <c r="AB100" s="37">
        <f t="shared" si="32"/>
        <v>1597.6873691410028</v>
      </c>
      <c r="AC100" s="37">
        <f t="shared" si="33"/>
        <v>1196.9085441347956</v>
      </c>
      <c r="AD100" s="37">
        <f t="shared" si="34"/>
        <v>-1068.106194879748</v>
      </c>
      <c r="AE100" s="39">
        <f t="shared" si="35"/>
        <v>1620.5244494125402</v>
      </c>
      <c r="AF100" s="39">
        <f t="shared" si="36"/>
        <v>-630.5580944263827</v>
      </c>
      <c r="AG100" s="39">
        <f t="shared" si="37"/>
        <v>-187.95638365000826</v>
      </c>
      <c r="AH100" s="39">
        <f t="shared" si="38"/>
        <v>-9.7655991311652155</v>
      </c>
      <c r="AI100" s="39">
        <f t="shared" si="39"/>
        <v>-235.65952162773624</v>
      </c>
      <c r="AJ100" s="39">
        <f t="shared" si="40"/>
        <v>-427.78250132220006</v>
      </c>
      <c r="AK100" s="37">
        <f t="shared" si="41"/>
        <v>11138.16225874902</v>
      </c>
      <c r="AL100" s="37">
        <f t="shared" si="42"/>
        <v>29659.899807356011</v>
      </c>
      <c r="AM100" s="37">
        <f t="shared" si="43"/>
        <v>30299.488789942086</v>
      </c>
    </row>
    <row r="101" spans="12:39">
      <c r="L101">
        <v>97</v>
      </c>
      <c r="M101" s="37">
        <f t="shared" si="28"/>
        <v>0.6094689747964207</v>
      </c>
      <c r="N101" s="37">
        <f t="shared" si="22"/>
        <v>24099.760546627258</v>
      </c>
      <c r="O101" s="37">
        <f t="shared" si="23"/>
        <v>10362.160627972957</v>
      </c>
      <c r="R101" s="37">
        <f t="shared" si="24"/>
        <v>-17130.167617360919</v>
      </c>
      <c r="S101" s="37">
        <f t="shared" si="25"/>
        <v>12003.512439581071</v>
      </c>
      <c r="V101" s="37">
        <f t="shared" si="26"/>
        <v>-900.23945337274108</v>
      </c>
      <c r="W101" s="37">
        <f t="shared" si="27"/>
        <v>-12137.839372027043</v>
      </c>
      <c r="Y101" s="37">
        <f t="shared" si="29"/>
        <v>13261.688861180904</v>
      </c>
      <c r="Z101" s="37">
        <f t="shared" si="30"/>
        <v>12204.286018096145</v>
      </c>
      <c r="AA101" s="37">
        <f t="shared" si="31"/>
        <v>7582.7104554054067</v>
      </c>
      <c r="AB101" s="37">
        <f t="shared" si="32"/>
        <v>1063.6342717011289</v>
      </c>
      <c r="AC101" s="37">
        <f t="shared" si="33"/>
        <v>1238.0141713424234</v>
      </c>
      <c r="AD101" s="37">
        <f t="shared" si="34"/>
        <v>-1500.2046662372732</v>
      </c>
      <c r="AE101" s="39">
        <f t="shared" si="35"/>
        <v>1627.0121573930885</v>
      </c>
      <c r="AF101" s="39">
        <f t="shared" si="36"/>
        <v>-1135.882624832032</v>
      </c>
      <c r="AG101" s="39">
        <f t="shared" si="37"/>
        <v>-151.16053084603732</v>
      </c>
      <c r="AH101" s="39">
        <f t="shared" si="38"/>
        <v>-10.017562428129853</v>
      </c>
      <c r="AI101" s="39">
        <f t="shared" si="39"/>
        <v>-237.8374552046277</v>
      </c>
      <c r="AJ101" s="39">
        <f t="shared" si="40"/>
        <v>-354.30447897711144</v>
      </c>
      <c r="AK101" s="37">
        <f t="shared" si="41"/>
        <v>8217.9768765547378</v>
      </c>
      <c r="AL101" s="37">
        <f t="shared" si="42"/>
        <v>33334.648981916398</v>
      </c>
      <c r="AM101" s="37">
        <f t="shared" si="43"/>
        <v>32765.262974939789</v>
      </c>
    </row>
    <row r="102" spans="12:39">
      <c r="L102">
        <v>98</v>
      </c>
      <c r="M102" s="37">
        <f t="shared" si="28"/>
        <v>0.61575216010360034</v>
      </c>
      <c r="N102" s="37">
        <f t="shared" si="22"/>
        <v>24081.696253585917</v>
      </c>
      <c r="O102" s="37">
        <f t="shared" si="23"/>
        <v>10387.863517111342</v>
      </c>
      <c r="R102" s="37">
        <f t="shared" si="24"/>
        <v>-17142.812622489859</v>
      </c>
      <c r="S102" s="37">
        <f t="shared" si="25"/>
        <v>12021.504461977938</v>
      </c>
      <c r="V102" s="37">
        <f t="shared" si="26"/>
        <v>-918.30374641408253</v>
      </c>
      <c r="W102" s="37">
        <f t="shared" si="27"/>
        <v>-12112.136482888658</v>
      </c>
      <c r="Y102" s="37">
        <f t="shared" si="29"/>
        <v>17207.795860301412</v>
      </c>
      <c r="Z102" s="37">
        <f t="shared" si="30"/>
        <v>12548.57757066705</v>
      </c>
      <c r="AA102" s="37">
        <f t="shared" si="31"/>
        <v>8201.7175410766176</v>
      </c>
      <c r="AB102" s="37">
        <f t="shared" si="32"/>
        <v>313.53193858249233</v>
      </c>
      <c r="AC102" s="37">
        <f t="shared" si="33"/>
        <v>593.94023368174066</v>
      </c>
      <c r="AD102" s="37">
        <f t="shared" si="34"/>
        <v>-2016.398677337947</v>
      </c>
      <c r="AE102" s="39">
        <f t="shared" si="35"/>
        <v>950.11489254535661</v>
      </c>
      <c r="AF102" s="39">
        <f t="shared" si="36"/>
        <v>-1717.9004456955709</v>
      </c>
      <c r="AG102" s="39">
        <f t="shared" si="37"/>
        <v>-122.29853573234665</v>
      </c>
      <c r="AH102" s="39">
        <f t="shared" si="38"/>
        <v>-8.3769354751119227</v>
      </c>
      <c r="AI102" s="39">
        <f t="shared" si="39"/>
        <v>-233.87612313126925</v>
      </c>
      <c r="AJ102" s="39">
        <f t="shared" si="40"/>
        <v>-290.12129616726423</v>
      </c>
      <c r="AK102" s="37">
        <f t="shared" si="41"/>
        <v>5769.2754696575503</v>
      </c>
      <c r="AL102" s="37">
        <f t="shared" si="42"/>
        <v>37294.977147272395</v>
      </c>
      <c r="AM102" s="37">
        <f t="shared" si="43"/>
        <v>35385.170949705476</v>
      </c>
    </row>
    <row r="103" spans="12:39">
      <c r="L103">
        <v>99</v>
      </c>
      <c r="M103" s="37">
        <f t="shared" si="28"/>
        <v>0.62203534541077998</v>
      </c>
      <c r="N103" s="37">
        <f t="shared" si="22"/>
        <v>24063.470822165466</v>
      </c>
      <c r="O103" s="37">
        <f t="shared" si="23"/>
        <v>10413.452398342884</v>
      </c>
      <c r="R103" s="37">
        <f t="shared" si="24"/>
        <v>-17155.570424484173</v>
      </c>
      <c r="S103" s="37">
        <f t="shared" si="25"/>
        <v>12039.416678840018</v>
      </c>
      <c r="V103" s="37">
        <f t="shared" si="26"/>
        <v>-936.52917783453313</v>
      </c>
      <c r="W103" s="37">
        <f t="shared" si="27"/>
        <v>-12086.547601657116</v>
      </c>
      <c r="Y103" s="37">
        <f t="shared" si="29"/>
        <v>21382.897160049939</v>
      </c>
      <c r="Z103" s="37">
        <f t="shared" si="30"/>
        <v>12453.293705291053</v>
      </c>
      <c r="AA103" s="37">
        <f t="shared" si="31"/>
        <v>8498.6876579174877</v>
      </c>
      <c r="AB103" s="37">
        <f t="shared" si="32"/>
        <v>-694.66740008648117</v>
      </c>
      <c r="AC103" s="37">
        <f t="shared" si="33"/>
        <v>-835.68170170755775</v>
      </c>
      <c r="AD103" s="37">
        <f t="shared" si="34"/>
        <v>-2065.5548533757956</v>
      </c>
      <c r="AE103" s="39">
        <f t="shared" si="35"/>
        <v>-509.24059530524761</v>
      </c>
      <c r="AF103" s="39">
        <f t="shared" si="36"/>
        <v>-1824.0099900943192</v>
      </c>
      <c r="AG103" s="39">
        <f t="shared" si="37"/>
        <v>-100.01182326250122</v>
      </c>
      <c r="AH103" s="39">
        <f t="shared" si="38"/>
        <v>-5.9289801657830443</v>
      </c>
      <c r="AI103" s="39">
        <f t="shared" si="39"/>
        <v>-226.42928313980894</v>
      </c>
      <c r="AJ103" s="39">
        <f t="shared" si="40"/>
        <v>-235.61588311569326</v>
      </c>
      <c r="AK103" s="37">
        <f t="shared" si="41"/>
        <v>5142.7155361880705</v>
      </c>
      <c r="AL103" s="37">
        <f t="shared" si="42"/>
        <v>41455.552431051859</v>
      </c>
      <c r="AM103" s="37">
        <f t="shared" si="43"/>
        <v>38075.459259564348</v>
      </c>
    </row>
    <row r="104" spans="12:39">
      <c r="L104">
        <v>100</v>
      </c>
      <c r="M104" s="37">
        <f t="shared" si="28"/>
        <v>0.62831853071795962</v>
      </c>
      <c r="N104" s="37">
        <f t="shared" si="22"/>
        <v>24045.084971874734</v>
      </c>
      <c r="O104" s="37">
        <f t="shared" si="23"/>
        <v>10438.926261462369</v>
      </c>
      <c r="R104" s="37">
        <f t="shared" si="24"/>
        <v>-17168.440519687687</v>
      </c>
      <c r="S104" s="37">
        <f t="shared" si="25"/>
        <v>12057.24838302366</v>
      </c>
      <c r="V104" s="37">
        <f t="shared" si="26"/>
        <v>-954.91502812526551</v>
      </c>
      <c r="W104" s="37">
        <f t="shared" si="27"/>
        <v>-12061.073738537631</v>
      </c>
      <c r="Y104" s="37">
        <f t="shared" si="29"/>
        <v>25527.780776295236</v>
      </c>
      <c r="Z104" s="37">
        <f t="shared" si="30"/>
        <v>11847.765648575838</v>
      </c>
      <c r="AA104" s="37">
        <f t="shared" si="31"/>
        <v>8080.8468070637091</v>
      </c>
      <c r="AB104" s="37">
        <f t="shared" si="32"/>
        <v>-1727.444826774379</v>
      </c>
      <c r="AC104" s="37">
        <f t="shared" si="33"/>
        <v>-1885.3210685858332</v>
      </c>
      <c r="AD104" s="37">
        <f t="shared" si="34"/>
        <v>-1440.8474809543436</v>
      </c>
      <c r="AE104" s="39">
        <f t="shared" si="35"/>
        <v>-1584.0338812481118</v>
      </c>
      <c r="AF104" s="39">
        <f t="shared" si="36"/>
        <v>-1245.8902358437103</v>
      </c>
      <c r="AG104" s="39">
        <f t="shared" si="37"/>
        <v>-83.458704714525624</v>
      </c>
      <c r="AH104" s="39">
        <f t="shared" si="38"/>
        <v>-3.3872094140469899</v>
      </c>
      <c r="AI104" s="39">
        <f t="shared" si="39"/>
        <v>-217.82848262319595</v>
      </c>
      <c r="AJ104" s="39">
        <f t="shared" si="40"/>
        <v>-191.57003569658627</v>
      </c>
      <c r="AK104" s="37">
        <f t="shared" si="41"/>
        <v>7032.7396116815835</v>
      </c>
      <c r="AL104" s="37">
        <f t="shared" si="42"/>
        <v>45565.261552047028</v>
      </c>
      <c r="AM104" s="37">
        <f t="shared" si="43"/>
        <v>40654.002502169322</v>
      </c>
    </row>
    <row r="105" spans="12:39">
      <c r="L105">
        <v>101</v>
      </c>
      <c r="M105" s="37">
        <f t="shared" si="28"/>
        <v>0.63460171602513926</v>
      </c>
      <c r="N105" s="37">
        <f t="shared" si="22"/>
        <v>24026.539428555607</v>
      </c>
      <c r="O105" s="37">
        <f t="shared" si="23"/>
        <v>10464.2841008053</v>
      </c>
      <c r="R105" s="37">
        <f t="shared" si="24"/>
        <v>-17181.422400011077</v>
      </c>
      <c r="S105" s="37">
        <f t="shared" si="25"/>
        <v>12074.998870563712</v>
      </c>
      <c r="V105" s="37">
        <f t="shared" si="26"/>
        <v>-973.46057144439328</v>
      </c>
      <c r="W105" s="37">
        <f t="shared" si="27"/>
        <v>-12035.7158991947</v>
      </c>
      <c r="Y105" s="37">
        <f t="shared" si="29"/>
        <v>29332.539046253863</v>
      </c>
      <c r="Z105" s="37">
        <f t="shared" si="30"/>
        <v>10803.937300069356</v>
      </c>
      <c r="AA105" s="37">
        <f t="shared" si="31"/>
        <v>7138.1862727707921</v>
      </c>
      <c r="AB105" s="37">
        <f t="shared" si="32"/>
        <v>-2447.8685672515508</v>
      </c>
      <c r="AC105" s="37">
        <f t="shared" si="33"/>
        <v>-2034.951051325196</v>
      </c>
      <c r="AD105" s="37">
        <f t="shared" si="34"/>
        <v>-779.58621491934696</v>
      </c>
      <c r="AE105" s="39">
        <f t="shared" si="35"/>
        <v>-1753.7198960975188</v>
      </c>
      <c r="AF105" s="39">
        <f t="shared" si="36"/>
        <v>-620.85789835684284</v>
      </c>
      <c r="AG105" s="39">
        <f t="shared" si="37"/>
        <v>-71.592978894655317</v>
      </c>
      <c r="AH105" s="39">
        <f t="shared" si="38"/>
        <v>-1.16669985509011</v>
      </c>
      <c r="AI105" s="39">
        <f t="shared" si="39"/>
        <v>-209.63817633302179</v>
      </c>
      <c r="AJ105" s="39">
        <f t="shared" si="40"/>
        <v>-157.56161670741403</v>
      </c>
      <c r="AK105" s="37">
        <f t="shared" si="41"/>
        <v>9900.1154908739591</v>
      </c>
      <c r="AL105" s="37">
        <f t="shared" si="42"/>
        <v>49339.089208583944</v>
      </c>
      <c r="AM105" s="37">
        <f t="shared" si="43"/>
        <v>42948.415774606365</v>
      </c>
    </row>
    <row r="106" spans="12:39">
      <c r="L106">
        <v>102</v>
      </c>
      <c r="M106" s="37">
        <f t="shared" si="28"/>
        <v>0.6408849013323189</v>
      </c>
      <c r="N106" s="37">
        <f t="shared" si="22"/>
        <v>24007.834924354378</v>
      </c>
      <c r="O106" s="37">
        <f t="shared" si="23"/>
        <v>10489.524915287599</v>
      </c>
      <c r="R106" s="37">
        <f t="shared" si="24"/>
        <v>-17194.515552951932</v>
      </c>
      <c r="S106" s="37">
        <f t="shared" si="25"/>
        <v>12092.66744070132</v>
      </c>
      <c r="V106" s="37">
        <f t="shared" si="26"/>
        <v>-992.16507564562016</v>
      </c>
      <c r="W106" s="37">
        <f t="shared" si="27"/>
        <v>-12010.475084712401</v>
      </c>
      <c r="Y106" s="37">
        <f t="shared" si="29"/>
        <v>32647.263301223611</v>
      </c>
      <c r="Z106" s="37">
        <f t="shared" si="30"/>
        <v>9482.5547395786634</v>
      </c>
      <c r="AA106" s="37">
        <f t="shared" si="31"/>
        <v>6120.7107471081945</v>
      </c>
      <c r="AB106" s="37">
        <f t="shared" si="32"/>
        <v>-2837.6616747112244</v>
      </c>
      <c r="AC106" s="37">
        <f t="shared" si="33"/>
        <v>-1810.3320987292968</v>
      </c>
      <c r="AD106" s="37">
        <f t="shared" si="34"/>
        <v>-373.17344508080731</v>
      </c>
      <c r="AE106" s="39">
        <f t="shared" si="35"/>
        <v>-1544.813682427442</v>
      </c>
      <c r="AF106" s="39">
        <f t="shared" si="36"/>
        <v>-242.16129726390548</v>
      </c>
      <c r="AG106" s="39">
        <f t="shared" si="37"/>
        <v>-63.104950858364582</v>
      </c>
      <c r="AH106" s="39">
        <f t="shared" si="38"/>
        <v>0.62022896696366714</v>
      </c>
      <c r="AI106" s="39">
        <f t="shared" si="39"/>
        <v>-202.41346544349005</v>
      </c>
      <c r="AJ106" s="39">
        <f t="shared" si="40"/>
        <v>-131.63237678386551</v>
      </c>
      <c r="AK106" s="37">
        <f t="shared" si="41"/>
        <v>12801.71052265686</v>
      </c>
      <c r="AL106" s="37">
        <f t="shared" si="42"/>
        <v>52649.806103212752</v>
      </c>
      <c r="AM106" s="37">
        <f t="shared" si="43"/>
        <v>44907.815808031941</v>
      </c>
    </row>
    <row r="107" spans="12:39">
      <c r="L107">
        <v>103</v>
      </c>
      <c r="M107" s="37">
        <f t="shared" si="28"/>
        <v>0.64716808663949854</v>
      </c>
      <c r="N107" s="37">
        <f t="shared" si="22"/>
        <v>23988.972197692852</v>
      </c>
      <c r="O107" s="37">
        <f t="shared" si="23"/>
        <v>10514.647708445129</v>
      </c>
      <c r="R107" s="37">
        <f t="shared" si="24"/>
        <v>-17207.719461615005</v>
      </c>
      <c r="S107" s="37">
        <f t="shared" si="25"/>
        <v>12110.25339591159</v>
      </c>
      <c r="V107" s="37">
        <f t="shared" si="26"/>
        <v>-1011.0278023071482</v>
      </c>
      <c r="W107" s="37">
        <f t="shared" si="27"/>
        <v>-11985.352291554871</v>
      </c>
      <c r="Y107" s="37">
        <f t="shared" si="29"/>
        <v>35481.327162436552</v>
      </c>
      <c r="Z107" s="37">
        <f t="shared" si="30"/>
        <v>8017.0772215879506</v>
      </c>
      <c r="AA107" s="37">
        <f t="shared" si="31"/>
        <v>5215.5446977435458</v>
      </c>
      <c r="AB107" s="37">
        <f t="shared" si="32"/>
        <v>-3024.2483972516279</v>
      </c>
      <c r="AC107" s="37">
        <f t="shared" si="33"/>
        <v>-1546.3625894324077</v>
      </c>
      <c r="AD107" s="37">
        <f t="shared" si="34"/>
        <v>-152.70514254838213</v>
      </c>
      <c r="AE107" s="39">
        <f t="shared" si="35"/>
        <v>-1293.3188017684374</v>
      </c>
      <c r="AF107" s="39">
        <f t="shared" si="36"/>
        <v>-43.196922694619261</v>
      </c>
      <c r="AG107" s="39">
        <f t="shared" si="37"/>
        <v>-56.871170826516725</v>
      </c>
      <c r="AH107" s="39">
        <f t="shared" si="38"/>
        <v>2.0325962956274446</v>
      </c>
      <c r="AI107" s="39">
        <f t="shared" si="39"/>
        <v>-196.17261683745366</v>
      </c>
      <c r="AJ107" s="39">
        <f t="shared" si="40"/>
        <v>-111.54081614939031</v>
      </c>
      <c r="AK107" s="37">
        <f t="shared" si="41"/>
        <v>15489.959960034786</v>
      </c>
      <c r="AL107" s="37">
        <f t="shared" si="42"/>
        <v>55516.751043720717</v>
      </c>
      <c r="AM107" s="37">
        <f t="shared" si="43"/>
        <v>46567.410199159305</v>
      </c>
    </row>
    <row r="108" spans="12:39">
      <c r="L108">
        <v>104</v>
      </c>
      <c r="M108" s="37">
        <f t="shared" si="28"/>
        <v>0.65345127194667818</v>
      </c>
      <c r="N108" s="37">
        <f t="shared" si="22"/>
        <v>23969.951993239174</v>
      </c>
      <c r="O108" s="37">
        <f t="shared" si="23"/>
        <v>10539.651488473031</v>
      </c>
      <c r="R108" s="37">
        <f t="shared" si="24"/>
        <v>-17221.03360473258</v>
      </c>
      <c r="S108" s="37">
        <f t="shared" si="25"/>
        <v>12127.756041931123</v>
      </c>
      <c r="V108" s="37">
        <f t="shared" si="26"/>
        <v>-1030.0480067608269</v>
      </c>
      <c r="W108" s="37">
        <f t="shared" si="27"/>
        <v>-11960.348511526969</v>
      </c>
      <c r="Y108" s="37">
        <f t="shared" si="29"/>
        <v>37895.804187629277</v>
      </c>
      <c r="Z108" s="37">
        <f t="shared" si="30"/>
        <v>6485.8648801435893</v>
      </c>
      <c r="AA108" s="37">
        <f t="shared" si="31"/>
        <v>4442.3634030273424</v>
      </c>
      <c r="AB108" s="37">
        <f t="shared" si="32"/>
        <v>-3100.6009685258191</v>
      </c>
      <c r="AC108" s="37">
        <f t="shared" si="33"/>
        <v>-1326.5967828425305</v>
      </c>
      <c r="AD108" s="37">
        <f t="shared" si="34"/>
        <v>-31.008918171162065</v>
      </c>
      <c r="AE108" s="39">
        <f t="shared" si="35"/>
        <v>-1083.6293990981815</v>
      </c>
      <c r="AF108" s="39">
        <f t="shared" si="36"/>
        <v>61.408060739400952</v>
      </c>
      <c r="AG108" s="39">
        <f t="shared" si="37"/>
        <v>-52.141466304809853</v>
      </c>
      <c r="AH108" s="39">
        <f t="shared" si="38"/>
        <v>3.1648607444629571</v>
      </c>
      <c r="AI108" s="39">
        <f t="shared" si="39"/>
        <v>-190.8259174395391</v>
      </c>
      <c r="AJ108" s="39">
        <f t="shared" si="40"/>
        <v>-95.581839655025973</v>
      </c>
      <c r="AK108" s="37">
        <f t="shared" si="41"/>
        <v>17924.516104020651</v>
      </c>
      <c r="AL108" s="37">
        <f t="shared" si="42"/>
        <v>58002.355884678684</v>
      </c>
      <c r="AM108" s="37">
        <f t="shared" si="43"/>
        <v>47975.956546495465</v>
      </c>
    </row>
    <row r="109" spans="12:39">
      <c r="L109">
        <v>105</v>
      </c>
      <c r="M109" s="37">
        <f t="shared" si="28"/>
        <v>0.65973445725385782</v>
      </c>
      <c r="N109" s="37">
        <f t="shared" si="22"/>
        <v>23950.775061878448</v>
      </c>
      <c r="O109" s="37">
        <f t="shared" si="23"/>
        <v>10564.535268264888</v>
      </c>
      <c r="R109" s="37">
        <f t="shared" si="24"/>
        <v>-17234.457456685086</v>
      </c>
      <c r="S109" s="37">
        <f t="shared" si="25"/>
        <v>12145.17468778542</v>
      </c>
      <c r="V109" s="37">
        <f t="shared" si="26"/>
        <v>-1049.224938121552</v>
      </c>
      <c r="W109" s="37">
        <f t="shared" si="27"/>
        <v>-11935.464731735112</v>
      </c>
      <c r="Y109" s="37">
        <f t="shared" si="29"/>
        <v>39951.16129128763</v>
      </c>
      <c r="Z109" s="37">
        <f t="shared" si="30"/>
        <v>4931.6882811092846</v>
      </c>
      <c r="AA109" s="37">
        <f t="shared" si="31"/>
        <v>3779.065011606077</v>
      </c>
      <c r="AB109" s="37">
        <f t="shared" si="32"/>
        <v>-3116.1054276114</v>
      </c>
      <c r="AC109" s="37">
        <f t="shared" si="33"/>
        <v>-1156.2235122574721</v>
      </c>
      <c r="AD109" s="37">
        <f t="shared" si="34"/>
        <v>40.116642297902501</v>
      </c>
      <c r="AE109" s="39">
        <f t="shared" si="35"/>
        <v>-921.48391755150874</v>
      </c>
      <c r="AF109" s="39">
        <f t="shared" si="36"/>
        <v>118.6225658578756</v>
      </c>
      <c r="AG109" s="39">
        <f t="shared" si="37"/>
        <v>-48.450587105726122</v>
      </c>
      <c r="AH109" s="39">
        <f t="shared" si="38"/>
        <v>4.0960453997206105</v>
      </c>
      <c r="AI109" s="39">
        <f t="shared" si="39"/>
        <v>-186.28900760023723</v>
      </c>
      <c r="AJ109" s="39">
        <f t="shared" si="40"/>
        <v>-82.601968959693707</v>
      </c>
      <c r="AK109" s="37">
        <f t="shared" si="41"/>
        <v>20115.791357944763</v>
      </c>
      <c r="AL109" s="37">
        <f t="shared" si="42"/>
        <v>60165.019104574618</v>
      </c>
      <c r="AM109" s="37">
        <f t="shared" si="43"/>
        <v>49171.934059691659</v>
      </c>
    </row>
    <row r="110" spans="12:39">
      <c r="L110">
        <v>106</v>
      </c>
      <c r="M110" s="37">
        <f t="shared" si="28"/>
        <v>0.66601764256103746</v>
      </c>
      <c r="N110" s="37">
        <f t="shared" si="22"/>
        <v>23931.442160683091</v>
      </c>
      <c r="O110" s="37">
        <f t="shared" si="23"/>
        <v>10589.298065451676</v>
      </c>
      <c r="R110" s="37">
        <f t="shared" si="24"/>
        <v>-17247.990487521838</v>
      </c>
      <c r="S110" s="37">
        <f t="shared" si="25"/>
        <v>12162.508645816173</v>
      </c>
      <c r="V110" s="37">
        <f t="shared" si="26"/>
        <v>-1068.5578393169094</v>
      </c>
      <c r="W110" s="37">
        <f t="shared" si="27"/>
        <v>-11910.701934548324</v>
      </c>
      <c r="Y110" s="37">
        <f t="shared" si="29"/>
        <v>41696.165858058484</v>
      </c>
      <c r="Z110" s="37">
        <f t="shared" si="30"/>
        <v>3378.6501475908226</v>
      </c>
      <c r="AA110" s="37">
        <f t="shared" si="31"/>
        <v>3200.9532554773409</v>
      </c>
      <c r="AB110" s="37">
        <f t="shared" si="32"/>
        <v>-3096.0471064624489</v>
      </c>
      <c r="AC110" s="37">
        <f t="shared" si="33"/>
        <v>-1025.3308720165724</v>
      </c>
      <c r="AD110" s="37">
        <f t="shared" si="34"/>
        <v>84.516704387782539</v>
      </c>
      <c r="AE110" s="39">
        <f t="shared" si="35"/>
        <v>-797.32971531147712</v>
      </c>
      <c r="AF110" s="39">
        <f t="shared" si="36"/>
        <v>151.45877506738728</v>
      </c>
      <c r="AG110" s="39">
        <f t="shared" si="37"/>
        <v>-45.506953987369613</v>
      </c>
      <c r="AH110" s="39">
        <f t="shared" si="38"/>
        <v>4.8838928461306352</v>
      </c>
      <c r="AI110" s="39">
        <f t="shared" si="39"/>
        <v>-182.4942027177257</v>
      </c>
      <c r="AJ110" s="39">
        <f t="shared" si="40"/>
        <v>-71.825963525735375</v>
      </c>
      <c r="AK110" s="37">
        <f t="shared" si="41"/>
        <v>22084.137690802778</v>
      </c>
      <c r="AL110" s="37">
        <f t="shared" si="42"/>
        <v>62050.456528965689</v>
      </c>
      <c r="AM110" s="37">
        <f t="shared" si="43"/>
        <v>50182.732957570646</v>
      </c>
    </row>
    <row r="111" spans="12:39">
      <c r="L111">
        <v>107</v>
      </c>
      <c r="M111" s="37">
        <f t="shared" si="28"/>
        <v>0.6723008278682171</v>
      </c>
      <c r="N111" s="37">
        <f t="shared" si="22"/>
        <v>23911.954052882938</v>
      </c>
      <c r="O111" s="37">
        <f t="shared" si="23"/>
        <v>10613.938902440568</v>
      </c>
      <c r="R111" s="37">
        <f t="shared" si="24"/>
        <v>-17261.632162981943</v>
      </c>
      <c r="S111" s="37">
        <f t="shared" si="25"/>
        <v>12179.757231708398</v>
      </c>
      <c r="V111" s="37">
        <f t="shared" si="26"/>
        <v>-1088.0459471170634</v>
      </c>
      <c r="W111" s="37">
        <f t="shared" si="27"/>
        <v>-11886.061097559432</v>
      </c>
      <c r="Y111" s="37">
        <f t="shared" si="29"/>
        <v>43168.476126795089</v>
      </c>
      <c r="Z111" s="37">
        <f t="shared" si="30"/>
        <v>1841.191182408071</v>
      </c>
      <c r="AA111" s="37">
        <f t="shared" si="31"/>
        <v>2688.2878194690547</v>
      </c>
      <c r="AB111" s="37">
        <f t="shared" si="32"/>
        <v>-3053.7887542685576</v>
      </c>
      <c r="AC111" s="37">
        <f t="shared" si="33"/>
        <v>-923.88588400910533</v>
      </c>
      <c r="AD111" s="37">
        <f t="shared" si="34"/>
        <v>114.1584735094155</v>
      </c>
      <c r="AE111" s="39">
        <f t="shared" si="35"/>
        <v>-701.37664853938725</v>
      </c>
      <c r="AF111" s="39">
        <f t="shared" si="36"/>
        <v>171.30847715174215</v>
      </c>
      <c r="AG111" s="39">
        <f t="shared" si="37"/>
        <v>-43.121402840693804</v>
      </c>
      <c r="AH111" s="39">
        <f t="shared" si="38"/>
        <v>5.5695388474687295</v>
      </c>
      <c r="AI111" s="39">
        <f t="shared" si="39"/>
        <v>-179.3878326290243</v>
      </c>
      <c r="AJ111" s="39">
        <f t="shared" si="40"/>
        <v>-62.71954248979538</v>
      </c>
      <c r="AK111" s="37">
        <f t="shared" si="41"/>
        <v>23849.53675172602</v>
      </c>
      <c r="AL111" s="37">
        <f t="shared" si="42"/>
        <v>63693.190668261363</v>
      </c>
      <c r="AM111" s="37">
        <f t="shared" si="43"/>
        <v>51027.716123887498</v>
      </c>
    </row>
    <row r="112" spans="12:39">
      <c r="L112">
        <v>108</v>
      </c>
      <c r="M112" s="37">
        <f t="shared" si="28"/>
        <v>0.67858401317539674</v>
      </c>
      <c r="N112" s="37">
        <f t="shared" si="22"/>
        <v>23892.311507835111</v>
      </c>
      <c r="O112" s="37">
        <f t="shared" si="23"/>
        <v>10638.456806453509</v>
      </c>
      <c r="R112" s="37">
        <f t="shared" si="24"/>
        <v>-17275.381944515422</v>
      </c>
      <c r="S112" s="37">
        <f t="shared" si="25"/>
        <v>12196.919764517455</v>
      </c>
      <c r="V112" s="37">
        <f t="shared" si="26"/>
        <v>-1107.6884921648871</v>
      </c>
      <c r="W112" s="37">
        <f t="shared" si="27"/>
        <v>-11861.543193546491</v>
      </c>
      <c r="Y112" s="37">
        <f t="shared" si="29"/>
        <v>44397.134301028476</v>
      </c>
      <c r="Z112" s="37">
        <f t="shared" si="30"/>
        <v>328.56661446246915</v>
      </c>
      <c r="AA112" s="37">
        <f t="shared" si="31"/>
        <v>2226.3448774645021</v>
      </c>
      <c r="AB112" s="37">
        <f t="shared" si="32"/>
        <v>-2996.7095175138497</v>
      </c>
      <c r="AC112" s="37">
        <f t="shared" si="33"/>
        <v>-844.22102722986244</v>
      </c>
      <c r="AD112" s="37">
        <f t="shared" si="34"/>
        <v>135.32684584214695</v>
      </c>
      <c r="AE112" s="39">
        <f t="shared" si="35"/>
        <v>-626.12661883837768</v>
      </c>
      <c r="AF112" s="39">
        <f t="shared" si="36"/>
        <v>184.04724434057755</v>
      </c>
      <c r="AG112" s="39">
        <f t="shared" si="37"/>
        <v>-41.166609017039583</v>
      </c>
      <c r="AH112" s="39">
        <f t="shared" si="38"/>
        <v>6.1825750654623217</v>
      </c>
      <c r="AI112" s="39">
        <f t="shared" si="39"/>
        <v>-176.92779937444519</v>
      </c>
      <c r="AJ112" s="39">
        <f t="shared" si="40"/>
        <v>-54.9029735638929</v>
      </c>
      <c r="AK112" s="37">
        <f t="shared" si="41"/>
        <v>25429.306300125892</v>
      </c>
      <c r="AL112" s="37">
        <f t="shared" si="42"/>
        <v>65119.332996550176</v>
      </c>
      <c r="AM112" s="37">
        <f t="shared" si="43"/>
        <v>51720.806563779122</v>
      </c>
    </row>
    <row r="113" spans="12:39">
      <c r="L113">
        <v>109</v>
      </c>
      <c r="M113" s="37">
        <f t="shared" si="28"/>
        <v>0.68486719848257638</v>
      </c>
      <c r="N113" s="37">
        <f t="shared" si="22"/>
        <v>23872.515300993666</v>
      </c>
      <c r="O113" s="37">
        <f t="shared" si="23"/>
        <v>10662.850809565627</v>
      </c>
      <c r="R113" s="37">
        <f t="shared" si="24"/>
        <v>-17289.239289304434</v>
      </c>
      <c r="S113" s="37">
        <f t="shared" si="25"/>
        <v>12213.995566695939</v>
      </c>
      <c r="V113" s="37">
        <f t="shared" si="26"/>
        <v>-1127.4846990063352</v>
      </c>
      <c r="W113" s="37">
        <f t="shared" si="27"/>
        <v>-11837.149190434373</v>
      </c>
      <c r="Y113" s="37">
        <f t="shared" si="29"/>
        <v>45404.779111356998</v>
      </c>
      <c r="Z113" s="37">
        <f t="shared" si="30"/>
        <v>-1152.8722885641876</v>
      </c>
      <c r="AA113" s="37">
        <f t="shared" si="31"/>
        <v>1804.2343638495709</v>
      </c>
      <c r="AB113" s="37">
        <f t="shared" si="32"/>
        <v>-2929.0460945927762</v>
      </c>
      <c r="AC113" s="37">
        <f t="shared" si="33"/>
        <v>-780.84269542513584</v>
      </c>
      <c r="AD113" s="37">
        <f t="shared" si="34"/>
        <v>151.49648306016792</v>
      </c>
      <c r="AE113" s="39">
        <f t="shared" si="35"/>
        <v>-566.2064753290731</v>
      </c>
      <c r="AF113" s="39">
        <f t="shared" si="36"/>
        <v>192.85002630825241</v>
      </c>
      <c r="AG113" s="39">
        <f t="shared" si="37"/>
        <v>-39.55402705576369</v>
      </c>
      <c r="AH113" s="39">
        <f t="shared" si="38"/>
        <v>6.7447825410474405</v>
      </c>
      <c r="AI113" s="39">
        <f t="shared" si="39"/>
        <v>-175.08219304029913</v>
      </c>
      <c r="AJ113" s="39">
        <f t="shared" si="40"/>
        <v>-48.09832578913192</v>
      </c>
      <c r="AK113" s="37">
        <f t="shared" si="41"/>
        <v>26837.939573280266</v>
      </c>
      <c r="AL113" s="37">
        <f t="shared" si="42"/>
        <v>66348.863523729058</v>
      </c>
      <c r="AM113" s="37">
        <f t="shared" si="43"/>
        <v>52272.217315907925</v>
      </c>
    </row>
    <row r="114" spans="12:39">
      <c r="L114">
        <v>110</v>
      </c>
      <c r="M114" s="37">
        <f t="shared" si="28"/>
        <v>0.69115038378975602</v>
      </c>
      <c r="N114" s="37">
        <f t="shared" si="22"/>
        <v>23852.566213878941</v>
      </c>
      <c r="O114" s="37">
        <f t="shared" si="23"/>
        <v>10687.119948743453</v>
      </c>
      <c r="R114" s="37">
        <f t="shared" si="24"/>
        <v>-17303.20365028474</v>
      </c>
      <c r="S114" s="37">
        <f t="shared" si="25"/>
        <v>12230.983964120418</v>
      </c>
      <c r="V114" s="37">
        <f t="shared" si="26"/>
        <v>-1147.4337861210588</v>
      </c>
      <c r="W114" s="37">
        <f t="shared" si="27"/>
        <v>-11812.880051256547</v>
      </c>
      <c r="Y114" s="37">
        <f t="shared" si="29"/>
        <v>46209.290956353638</v>
      </c>
      <c r="Z114" s="37">
        <f t="shared" si="30"/>
        <v>-2598.4582754780549</v>
      </c>
      <c r="AA114" s="37">
        <f t="shared" si="31"/>
        <v>1413.8130161370029</v>
      </c>
      <c r="AB114" s="37">
        <f t="shared" si="32"/>
        <v>-2853.2978530626924</v>
      </c>
      <c r="AC114" s="37">
        <f t="shared" si="33"/>
        <v>-729.85877141867763</v>
      </c>
      <c r="AD114" s="37">
        <f t="shared" si="34"/>
        <v>164.6884631745985</v>
      </c>
      <c r="AE114" s="39">
        <f t="shared" si="35"/>
        <v>-517.80982956876699</v>
      </c>
      <c r="AF114" s="39">
        <f t="shared" si="36"/>
        <v>199.5124922395112</v>
      </c>
      <c r="AG114" s="39">
        <f t="shared" si="37"/>
        <v>-38.220398460072687</v>
      </c>
      <c r="AH114" s="39">
        <f t="shared" si="38"/>
        <v>7.2726665444702743</v>
      </c>
      <c r="AI114" s="39">
        <f t="shared" si="39"/>
        <v>-173.82854338983788</v>
      </c>
      <c r="AJ114" s="39">
        <f t="shared" si="40"/>
        <v>-42.096695609382984</v>
      </c>
      <c r="AK114" s="37">
        <f t="shared" si="41"/>
        <v>28087.466813088929</v>
      </c>
      <c r="AL114" s="37">
        <f t="shared" si="42"/>
        <v>67397.265225393625</v>
      </c>
      <c r="AM114" s="37">
        <f t="shared" si="43"/>
        <v>52689.559852000479</v>
      </c>
    </row>
    <row r="115" spans="12:39">
      <c r="L115">
        <v>111</v>
      </c>
      <c r="M115" s="37">
        <f t="shared" si="28"/>
        <v>0.69743356909693566</v>
      </c>
      <c r="N115" s="37">
        <f t="shared" si="22"/>
        <v>23832.465034046745</v>
      </c>
      <c r="O115" s="37">
        <f t="shared" si="23"/>
        <v>10711.263265882928</v>
      </c>
      <c r="R115" s="37">
        <f t="shared" si="24"/>
        <v>-17317.27447616728</v>
      </c>
      <c r="S115" s="37">
        <f t="shared" si="25"/>
        <v>12247.884286118049</v>
      </c>
      <c r="V115" s="37">
        <f t="shared" si="26"/>
        <v>-1167.5349659532558</v>
      </c>
      <c r="W115" s="37">
        <f t="shared" si="27"/>
        <v>-11788.736734117072</v>
      </c>
      <c r="Y115" s="37">
        <f t="shared" si="29"/>
        <v>46824.965117994805</v>
      </c>
      <c r="Z115" s="37">
        <f t="shared" si="30"/>
        <v>-4004.5211441125762</v>
      </c>
      <c r="AA115" s="37">
        <f t="shared" si="31"/>
        <v>1048.8836304276642</v>
      </c>
      <c r="AB115" s="37">
        <f t="shared" si="32"/>
        <v>-2770.953621475393</v>
      </c>
      <c r="AC115" s="37">
        <f t="shared" si="33"/>
        <v>-688.493729368598</v>
      </c>
      <c r="AD115" s="37">
        <f t="shared" si="34"/>
        <v>176.13820568408178</v>
      </c>
      <c r="AE115" s="39">
        <f t="shared" si="35"/>
        <v>-478.22070848083041</v>
      </c>
      <c r="AF115" s="39">
        <f t="shared" si="36"/>
        <v>205.09626864638651</v>
      </c>
      <c r="AG115" s="39">
        <f t="shared" si="37"/>
        <v>-37.119571671015741</v>
      </c>
      <c r="AH115" s="39">
        <f t="shared" si="38"/>
        <v>7.7791559697673165</v>
      </c>
      <c r="AI115" s="39">
        <f t="shared" si="39"/>
        <v>-173.15344921675188</v>
      </c>
      <c r="AJ115" s="39">
        <f t="shared" si="40"/>
        <v>-36.737218932072047</v>
      </c>
      <c r="AK115" s="37">
        <f t="shared" si="41"/>
        <v>29187.887219478071</v>
      </c>
      <c r="AL115" s="37">
        <f t="shared" si="42"/>
        <v>68276.662011972425</v>
      </c>
      <c r="AM115" s="37">
        <f t="shared" si="43"/>
        <v>52978.557594102596</v>
      </c>
    </row>
    <row r="116" spans="12:39">
      <c r="L116">
        <v>112</v>
      </c>
      <c r="M116" s="37">
        <f t="shared" si="28"/>
        <v>0.7037167544041153</v>
      </c>
      <c r="N116" s="37">
        <f t="shared" si="22"/>
        <v>23812.212555057235</v>
      </c>
      <c r="O116" s="37">
        <f t="shared" si="23"/>
        <v>10735.279807847228</v>
      </c>
      <c r="R116" s="37">
        <f t="shared" si="24"/>
        <v>-17331.451211459935</v>
      </c>
      <c r="S116" s="37">
        <f t="shared" si="25"/>
        <v>12264.69586549306</v>
      </c>
      <c r="V116" s="37">
        <f t="shared" si="26"/>
        <v>-1187.7874449427659</v>
      </c>
      <c r="W116" s="37">
        <f t="shared" si="27"/>
        <v>-11764.720192152772</v>
      </c>
      <c r="Y116" s="37">
        <f t="shared" si="29"/>
        <v>47263.34521703756</v>
      </c>
      <c r="Z116" s="37">
        <f t="shared" si="30"/>
        <v>-5367.9806791397623</v>
      </c>
      <c r="AA116" s="37">
        <f t="shared" si="31"/>
        <v>704.63676574336523</v>
      </c>
      <c r="AB116" s="37">
        <f t="shared" si="32"/>
        <v>-2682.8845186333519</v>
      </c>
      <c r="AC116" s="37">
        <f t="shared" si="33"/>
        <v>-654.7432615750962</v>
      </c>
      <c r="AD116" s="37">
        <f t="shared" si="34"/>
        <v>186.63980917213249</v>
      </c>
      <c r="AE116" s="39">
        <f t="shared" si="35"/>
        <v>-445.47340013751756</v>
      </c>
      <c r="AF116" s="39">
        <f t="shared" si="36"/>
        <v>210.25824455533007</v>
      </c>
      <c r="AG116" s="39">
        <f t="shared" si="37"/>
        <v>-36.217370602618942</v>
      </c>
      <c r="AH116" s="39">
        <f t="shared" si="38"/>
        <v>8.2747572228880237</v>
      </c>
      <c r="AI116" s="39">
        <f t="shared" si="39"/>
        <v>-173.05249083495974</v>
      </c>
      <c r="AJ116" s="39">
        <f t="shared" si="40"/>
        <v>-31.893192606085595</v>
      </c>
      <c r="AK116" s="37">
        <f t="shared" si="41"/>
        <v>30147.55245757239</v>
      </c>
      <c r="AL116" s="37">
        <f t="shared" si="42"/>
        <v>68996.611800441213</v>
      </c>
      <c r="AM116" s="37">
        <f t="shared" si="43"/>
        <v>53143.513710260704</v>
      </c>
    </row>
    <row r="117" spans="12:39">
      <c r="L117">
        <v>113</v>
      </c>
      <c r="M117" s="37">
        <f t="shared" si="28"/>
        <v>0.70999993971129494</v>
      </c>
      <c r="N117" s="37">
        <f t="shared" si="22"/>
        <v>23791.809576443604</v>
      </c>
      <c r="O117" s="37">
        <f t="shared" si="23"/>
        <v>10759.168626504401</v>
      </c>
      <c r="R117" s="37">
        <f t="shared" si="24"/>
        <v>-17345.733296489478</v>
      </c>
      <c r="S117" s="37">
        <f t="shared" si="25"/>
        <v>12281.41803855308</v>
      </c>
      <c r="V117" s="37">
        <f t="shared" si="26"/>
        <v>-1208.1904235563961</v>
      </c>
      <c r="W117" s="37">
        <f t="shared" si="27"/>
        <v>-11740.831373495599</v>
      </c>
      <c r="Y117" s="37">
        <f t="shared" si="29"/>
        <v>47533.82069221235</v>
      </c>
      <c r="Z117" s="37">
        <f t="shared" si="30"/>
        <v>-6686.0929623099219</v>
      </c>
      <c r="AA117" s="37">
        <f t="shared" si="31"/>
        <v>377.26513495581713</v>
      </c>
      <c r="AB117" s="37">
        <f t="shared" si="32"/>
        <v>-2589.5646140472859</v>
      </c>
      <c r="AC117" s="37">
        <f t="shared" si="33"/>
        <v>-627.13960192167985</v>
      </c>
      <c r="AD117" s="37">
        <f t="shared" si="34"/>
        <v>196.73179643096128</v>
      </c>
      <c r="AE117" s="39">
        <f t="shared" si="35"/>
        <v>-418.12091213128855</v>
      </c>
      <c r="AF117" s="39">
        <f t="shared" si="36"/>
        <v>215.42604621733227</v>
      </c>
      <c r="AG117" s="39">
        <f t="shared" si="37"/>
        <v>-35.488278344061946</v>
      </c>
      <c r="AH117" s="39">
        <f t="shared" si="38"/>
        <v>8.7683579198064336</v>
      </c>
      <c r="AI117" s="39">
        <f t="shared" si="39"/>
        <v>-173.5304114463294</v>
      </c>
      <c r="AJ117" s="39">
        <f t="shared" si="40"/>
        <v>-27.462607706177405</v>
      </c>
      <c r="AK117" s="37">
        <f t="shared" si="41"/>
        <v>30973.480841619981</v>
      </c>
      <c r="AL117" s="37">
        <f t="shared" si="42"/>
        <v>69564.665137084769</v>
      </c>
      <c r="AM117" s="37">
        <f t="shared" si="43"/>
        <v>53187.624187896108</v>
      </c>
    </row>
    <row r="118" spans="12:39">
      <c r="L118">
        <v>114</v>
      </c>
      <c r="M118" s="37">
        <f t="shared" si="28"/>
        <v>0.71628312501847458</v>
      </c>
      <c r="N118" s="37">
        <f t="shared" si="22"/>
        <v>23771.256903680514</v>
      </c>
      <c r="O118" s="37">
        <f t="shared" si="23"/>
        <v>10782.928778764788</v>
      </c>
      <c r="R118" s="37">
        <f t="shared" si="24"/>
        <v>-17360.12016742364</v>
      </c>
      <c r="S118" s="37">
        <f t="shared" si="25"/>
        <v>12298.050145135352</v>
      </c>
      <c r="V118" s="37">
        <f t="shared" si="26"/>
        <v>-1228.7430963194865</v>
      </c>
      <c r="W118" s="37">
        <f t="shared" si="27"/>
        <v>-11717.071221235212</v>
      </c>
      <c r="Y118" s="37">
        <f t="shared" si="29"/>
        <v>47644.060809450049</v>
      </c>
      <c r="Z118" s="37">
        <f t="shared" si="30"/>
        <v>-7956.2837947796943</v>
      </c>
      <c r="AA118" s="37">
        <f t="shared" si="31"/>
        <v>63.695333994977204</v>
      </c>
      <c r="AB118" s="37">
        <f t="shared" si="32"/>
        <v>-2491.1987158318052</v>
      </c>
      <c r="AC118" s="37">
        <f t="shared" si="33"/>
        <v>-604.59348659633929</v>
      </c>
      <c r="AD118" s="37">
        <f t="shared" si="34"/>
        <v>206.80177891759877</v>
      </c>
      <c r="AE118" s="39">
        <f t="shared" si="35"/>
        <v>-395.0786528082844</v>
      </c>
      <c r="AF118" s="39">
        <f t="shared" si="36"/>
        <v>220.89546905411981</v>
      </c>
      <c r="AG118" s="39">
        <f t="shared" si="37"/>
        <v>-34.913242012225034</v>
      </c>
      <c r="AH118" s="39">
        <f t="shared" si="38"/>
        <v>9.2678067263483506</v>
      </c>
      <c r="AI118" s="39">
        <f t="shared" si="39"/>
        <v>-174.60159177582989</v>
      </c>
      <c r="AJ118" s="39">
        <f t="shared" si="40"/>
        <v>-23.361496862869402</v>
      </c>
      <c r="AK118" s="37">
        <f t="shared" si="41"/>
        <v>31671.608844221057</v>
      </c>
      <c r="AL118" s="37">
        <f t="shared" si="42"/>
        <v>69986.763680793549</v>
      </c>
      <c r="AM118" s="37">
        <f t="shared" si="43"/>
        <v>53113.191172144398</v>
      </c>
    </row>
    <row r="119" spans="12:39">
      <c r="L119">
        <v>115</v>
      </c>
      <c r="M119" s="37">
        <f t="shared" si="28"/>
        <v>0.72256631032565422</v>
      </c>
      <c r="N119" s="37">
        <f t="shared" si="22"/>
        <v>23750.555348152291</v>
      </c>
      <c r="O119" s="37">
        <f t="shared" si="23"/>
        <v>10806.559326618266</v>
      </c>
      <c r="R119" s="37">
        <f t="shared" si="24"/>
        <v>-17374.611256293396</v>
      </c>
      <c r="S119" s="37">
        <f t="shared" si="25"/>
        <v>12314.591528632785</v>
      </c>
      <c r="V119" s="37">
        <f t="shared" si="26"/>
        <v>-1249.444651847708</v>
      </c>
      <c r="W119" s="37">
        <f t="shared" si="27"/>
        <v>-11693.440673381734</v>
      </c>
      <c r="Y119" s="37">
        <f t="shared" si="29"/>
        <v>47600.334290622995</v>
      </c>
      <c r="Z119" s="37">
        <f t="shared" si="30"/>
        <v>-9176.0329303308972</v>
      </c>
      <c r="AA119" s="37">
        <f t="shared" si="31"/>
        <v>-238.60140930319244</v>
      </c>
      <c r="AB119" s="37">
        <f t="shared" si="32"/>
        <v>-2387.7978263730056</v>
      </c>
      <c r="AC119" s="37">
        <f t="shared" si="33"/>
        <v>-586.28711572889142</v>
      </c>
      <c r="AD119" s="37">
        <f t="shared" si="34"/>
        <v>217.1480279819136</v>
      </c>
      <c r="AE119" s="39">
        <f t="shared" si="35"/>
        <v>-375.51805310981467</v>
      </c>
      <c r="AF119" s="39">
        <f t="shared" si="36"/>
        <v>226.8867961400212</v>
      </c>
      <c r="AG119" s="39">
        <f t="shared" si="37"/>
        <v>-34.478195508554236</v>
      </c>
      <c r="AH119" s="39">
        <f t="shared" si="38"/>
        <v>9.7803512273774835</v>
      </c>
      <c r="AI119" s="39">
        <f t="shared" si="39"/>
        <v>-176.29086711052256</v>
      </c>
      <c r="AJ119" s="39">
        <f t="shared" si="40"/>
        <v>-19.519119385485087</v>
      </c>
      <c r="AK119" s="37">
        <f t="shared" si="41"/>
        <v>32246.992530275133</v>
      </c>
      <c r="AL119" s="37">
        <f t="shared" si="42"/>
        <v>70267.527600941772</v>
      </c>
      <c r="AM119" s="37">
        <f t="shared" si="43"/>
        <v>52921.770188778457</v>
      </c>
    </row>
    <row r="120" spans="12:39">
      <c r="L120">
        <v>116</v>
      </c>
      <c r="M120" s="37">
        <f t="shared" si="28"/>
        <v>0.72884949563283385</v>
      </c>
      <c r="N120" s="37">
        <f t="shared" si="22"/>
        <v>23729.705727120905</v>
      </c>
      <c r="O120" s="37">
        <f t="shared" si="23"/>
        <v>10830.059337171264</v>
      </c>
      <c r="R120" s="37">
        <f t="shared" si="24"/>
        <v>-17389.205991015366</v>
      </c>
      <c r="S120" s="37">
        <f t="shared" si="25"/>
        <v>12331.041536019886</v>
      </c>
      <c r="V120" s="37">
        <f t="shared" si="26"/>
        <v>-1270.2942728790954</v>
      </c>
      <c r="W120" s="37">
        <f t="shared" si="27"/>
        <v>-11669.940662828736</v>
      </c>
      <c r="Y120" s="37">
        <f t="shared" si="29"/>
        <v>47407.747696505285</v>
      </c>
      <c r="Z120" s="37">
        <f t="shared" si="30"/>
        <v>-10342.788340019661</v>
      </c>
      <c r="AA120" s="37">
        <f t="shared" si="31"/>
        <v>-531.74496716763815</v>
      </c>
      <c r="AB120" s="37">
        <f t="shared" si="32"/>
        <v>-2279.2238123820489</v>
      </c>
      <c r="AC120" s="37">
        <f t="shared" si="33"/>
        <v>-571.60079395654589</v>
      </c>
      <c r="AD120" s="37">
        <f t="shared" si="34"/>
        <v>228.01735747655232</v>
      </c>
      <c r="AE120" s="39">
        <f t="shared" si="35"/>
        <v>-358.79297466080567</v>
      </c>
      <c r="AF120" s="39">
        <f t="shared" si="36"/>
        <v>233.57873750330398</v>
      </c>
      <c r="AG120" s="39">
        <f t="shared" si="37"/>
        <v>-34.173059194422962</v>
      </c>
      <c r="AH120" s="39">
        <f t="shared" si="38"/>
        <v>10.312988252523235</v>
      </c>
      <c r="AI120" s="39">
        <f t="shared" si="39"/>
        <v>-178.63476010131731</v>
      </c>
      <c r="AJ120" s="39">
        <f t="shared" si="40"/>
        <v>-15.874368279274901</v>
      </c>
      <c r="AK120" s="37">
        <f t="shared" si="41"/>
        <v>32703.971158592227</v>
      </c>
      <c r="AL120" s="37">
        <f t="shared" si="42"/>
        <v>70410.464328553848</v>
      </c>
      <c r="AM120" s="37">
        <f t="shared" si="43"/>
        <v>52614.272199341613</v>
      </c>
    </row>
    <row r="121" spans="12:39">
      <c r="L121">
        <v>117</v>
      </c>
      <c r="M121" s="37">
        <f t="shared" si="28"/>
        <v>0.73513268094001349</v>
      </c>
      <c r="N121" s="37">
        <f t="shared" si="22"/>
        <v>23708.70886369369</v>
      </c>
      <c r="O121" s="37">
        <f t="shared" si="23"/>
        <v>10853.427882683607</v>
      </c>
      <c r="R121" s="37">
        <f t="shared" si="24"/>
        <v>-17403.903795414415</v>
      </c>
      <c r="S121" s="37">
        <f t="shared" si="25"/>
        <v>12347.399517878524</v>
      </c>
      <c r="V121" s="37">
        <f t="shared" si="26"/>
        <v>-1291.2911363063099</v>
      </c>
      <c r="W121" s="37">
        <f t="shared" si="27"/>
        <v>-11646.572117316393</v>
      </c>
      <c r="Y121" s="37">
        <f t="shared" si="29"/>
        <v>47070.425113676894</v>
      </c>
      <c r="Z121" s="37">
        <f t="shared" si="30"/>
        <v>-11453.898076526117</v>
      </c>
      <c r="AA121" s="37">
        <f t="shared" si="31"/>
        <v>-817.54536414591109</v>
      </c>
      <c r="AB121" s="37">
        <f t="shared" si="32"/>
        <v>-2165.2151336437728</v>
      </c>
      <c r="AC121" s="37">
        <f t="shared" si="33"/>
        <v>-560.061919112802</v>
      </c>
      <c r="AD121" s="37">
        <f t="shared" si="34"/>
        <v>239.62962508985743</v>
      </c>
      <c r="AE121" s="39">
        <f t="shared" si="35"/>
        <v>-344.38761627656913</v>
      </c>
      <c r="AF121" s="39">
        <f t="shared" si="36"/>
        <v>241.12985851950918</v>
      </c>
      <c r="AG121" s="39">
        <f t="shared" si="37"/>
        <v>-33.991069422666911</v>
      </c>
      <c r="AH121" s="39">
        <f t="shared" si="38"/>
        <v>10.87276452579564</v>
      </c>
      <c r="AI121" s="39">
        <f t="shared" si="39"/>
        <v>-181.68323341356597</v>
      </c>
      <c r="AJ121" s="39">
        <f t="shared" si="40"/>
        <v>-12.372997955447394</v>
      </c>
      <c r="AK121" s="37">
        <f t="shared" si="41"/>
        <v>33046.303395849427</v>
      </c>
      <c r="AL121" s="37">
        <f t="shared" si="42"/>
        <v>70418.120307256933</v>
      </c>
      <c r="AM121" s="37">
        <f t="shared" si="43"/>
        <v>52191.033812051457</v>
      </c>
    </row>
    <row r="122" spans="12:39">
      <c r="L122">
        <v>118</v>
      </c>
      <c r="M122" s="37">
        <f t="shared" si="28"/>
        <v>0.74141586624719313</v>
      </c>
      <c r="N122" s="37">
        <f t="shared" si="22"/>
        <v>23687.565586790864</v>
      </c>
      <c r="O122" s="37">
        <f t="shared" si="23"/>
        <v>10876.66404060513</v>
      </c>
      <c r="R122" s="37">
        <f t="shared" si="24"/>
        <v>-17418.704089246396</v>
      </c>
      <c r="S122" s="37">
        <f t="shared" si="25"/>
        <v>12363.664828423591</v>
      </c>
      <c r="V122" s="37">
        <f t="shared" si="26"/>
        <v>-1312.4344132091369</v>
      </c>
      <c r="W122" s="37">
        <f t="shared" si="27"/>
        <v>-11623.33595939487</v>
      </c>
      <c r="Y122" s="37">
        <f t="shared" si="29"/>
        <v>46591.644691714835</v>
      </c>
      <c r="Z122" s="37">
        <f t="shared" si="30"/>
        <v>-12506.55194021177</v>
      </c>
      <c r="AA122" s="37">
        <f t="shared" si="31"/>
        <v>-1097.576323702312</v>
      </c>
      <c r="AB122" s="37">
        <f t="shared" si="32"/>
        <v>-2045.400321098844</v>
      </c>
      <c r="AC122" s="37">
        <f t="shared" si="33"/>
        <v>-551.3089442384528</v>
      </c>
      <c r="AD122" s="37">
        <f t="shared" si="34"/>
        <v>252.19452784010991</v>
      </c>
      <c r="AE122" s="39">
        <f t="shared" si="35"/>
        <v>-331.87848787352789</v>
      </c>
      <c r="AF122" s="39">
        <f t="shared" si="36"/>
        <v>249.69287467763982</v>
      </c>
      <c r="AG122" s="39">
        <f t="shared" si="37"/>
        <v>-33.928347423746679</v>
      </c>
      <c r="AH122" s="39">
        <f t="shared" si="38"/>
        <v>11.467055920802498</v>
      </c>
      <c r="AI122" s="39">
        <f t="shared" si="39"/>
        <v>-185.50210894117825</v>
      </c>
      <c r="AJ122" s="39">
        <f t="shared" si="40"/>
        <v>-8.9654027583324112</v>
      </c>
      <c r="AK122" s="37">
        <f t="shared" si="41"/>
        <v>33277.284864405585</v>
      </c>
      <c r="AL122" s="37">
        <f t="shared" si="42"/>
        <v>70292.190341353315</v>
      </c>
      <c r="AM122" s="37">
        <f t="shared" si="43"/>
        <v>51651.864295715495</v>
      </c>
    </row>
    <row r="123" spans="12:39">
      <c r="L123">
        <v>119</v>
      </c>
      <c r="M123" s="37">
        <f t="shared" si="28"/>
        <v>0.74769905155437277</v>
      </c>
      <c r="N123" s="37">
        <f t="shared" si="22"/>
        <v>23666.276731112794</v>
      </c>
      <c r="O123" s="37">
        <f t="shared" si="23"/>
        <v>10899.766893612104</v>
      </c>
      <c r="R123" s="37">
        <f t="shared" si="24"/>
        <v>-17433.606288221046</v>
      </c>
      <c r="S123" s="37">
        <f t="shared" si="25"/>
        <v>12379.836825528473</v>
      </c>
      <c r="V123" s="37">
        <f t="shared" si="26"/>
        <v>-1333.7232688872064</v>
      </c>
      <c r="W123" s="37">
        <f t="shared" si="27"/>
        <v>-11600.233106387896</v>
      </c>
      <c r="Y123" s="37">
        <f t="shared" si="29"/>
        <v>45973.942911833874</v>
      </c>
      <c r="Z123" s="37">
        <f t="shared" si="30"/>
        <v>-13497.727784781178</v>
      </c>
      <c r="AA123" s="37">
        <f t="shared" si="31"/>
        <v>-1373.2307958215383</v>
      </c>
      <c r="AB123" s="37">
        <f t="shared" si="32"/>
        <v>-1919.303057178789</v>
      </c>
      <c r="AC123" s="37">
        <f t="shared" si="33"/>
        <v>-545.06547733143202</v>
      </c>
      <c r="AD123" s="37">
        <f t="shared" si="34"/>
        <v>265.92391362585926</v>
      </c>
      <c r="AE123" s="39">
        <f t="shared" si="35"/>
        <v>-320.90546345548182</v>
      </c>
      <c r="AF123" s="39">
        <f t="shared" si="36"/>
        <v>259.4248239152497</v>
      </c>
      <c r="AG123" s="39">
        <f t="shared" si="37"/>
        <v>-33.98365274292734</v>
      </c>
      <c r="AH123" s="39">
        <f t="shared" si="38"/>
        <v>12.103848671785288</v>
      </c>
      <c r="AI123" s="39">
        <f t="shared" si="39"/>
        <v>-190.17636113302291</v>
      </c>
      <c r="AJ123" s="39">
        <f t="shared" si="40"/>
        <v>-5.6047589611757296</v>
      </c>
      <c r="AK123" s="37">
        <f t="shared" si="41"/>
        <v>33399.854528290634</v>
      </c>
      <c r="AL123" s="37">
        <f t="shared" si="42"/>
        <v>70033.594469951291</v>
      </c>
      <c r="AM123" s="37">
        <f t="shared" si="43"/>
        <v>50996.075121400449</v>
      </c>
    </row>
    <row r="124" spans="12:39">
      <c r="L124">
        <v>120</v>
      </c>
      <c r="M124" s="37">
        <f t="shared" si="28"/>
        <v>0.75398223686155241</v>
      </c>
      <c r="N124" s="37">
        <f t="shared" si="22"/>
        <v>23644.843137107051</v>
      </c>
      <c r="O124" s="37">
        <f t="shared" si="23"/>
        <v>10922.735529643451</v>
      </c>
      <c r="R124" s="37">
        <f t="shared" si="24"/>
        <v>-17448.609804025065</v>
      </c>
      <c r="S124" s="37">
        <f t="shared" si="25"/>
        <v>12395.914870750416</v>
      </c>
      <c r="V124" s="37">
        <f t="shared" si="26"/>
        <v>-1355.1568628929494</v>
      </c>
      <c r="W124" s="37">
        <f t="shared" si="27"/>
        <v>-11577.264470356549</v>
      </c>
      <c r="Y124" s="37">
        <f t="shared" si="29"/>
        <v>45219.194329256672</v>
      </c>
      <c r="Z124" s="37">
        <f t="shared" si="30"/>
        <v>-14424.138824167341</v>
      </c>
      <c r="AA124" s="37">
        <f t="shared" si="31"/>
        <v>-1645.7635344872542</v>
      </c>
      <c r="AB124" s="37">
        <f t="shared" si="32"/>
        <v>-1786.3411003658593</v>
      </c>
      <c r="AC124" s="37">
        <f t="shared" si="33"/>
        <v>-541.12130405684331</v>
      </c>
      <c r="AD124" s="37">
        <f t="shared" si="34"/>
        <v>281.0414684822058</v>
      </c>
      <c r="AE124" s="39">
        <f t="shared" si="35"/>
        <v>-311.14843353881201</v>
      </c>
      <c r="AF124" s="39">
        <f t="shared" si="36"/>
        <v>270.49482084022571</v>
      </c>
      <c r="AG124" s="39">
        <f t="shared" si="37"/>
        <v>-34.158290421756533</v>
      </c>
      <c r="AH124" s="39">
        <f t="shared" si="38"/>
        <v>12.792044364199613</v>
      </c>
      <c r="AI124" s="39">
        <f t="shared" si="39"/>
        <v>-195.81458009627474</v>
      </c>
      <c r="AJ124" s="39">
        <f t="shared" si="40"/>
        <v>-2.2453967222195415</v>
      </c>
      <c r="AK124" s="37">
        <f t="shared" si="41"/>
        <v>33416.696811596652</v>
      </c>
      <c r="AL124" s="37">
        <f t="shared" si="42"/>
        <v>69642.529148929854</v>
      </c>
      <c r="AM124" s="37">
        <f t="shared" si="43"/>
        <v>50222.495907446464</v>
      </c>
    </row>
    <row r="125" spans="12:39">
      <c r="L125">
        <v>121</v>
      </c>
      <c r="M125" s="37">
        <f t="shared" si="28"/>
        <v>0.76026542216873205</v>
      </c>
      <c r="N125" s="37">
        <f t="shared" si="22"/>
        <v>23623.265650935227</v>
      </c>
      <c r="O125" s="37">
        <f t="shared" si="23"/>
        <v>10945.569041936749</v>
      </c>
      <c r="R125" s="37">
        <f t="shared" si="24"/>
        <v>-17463.714044345343</v>
      </c>
      <c r="S125" s="37">
        <f t="shared" si="25"/>
        <v>12411.898329355725</v>
      </c>
      <c r="V125" s="37">
        <f t="shared" si="26"/>
        <v>-1376.7343490647736</v>
      </c>
      <c r="W125" s="37">
        <f t="shared" si="27"/>
        <v>-11554.430958063251</v>
      </c>
      <c r="Y125" s="37">
        <f t="shared" si="29"/>
        <v>44328.67239900594</v>
      </c>
      <c r="Z125" s="37">
        <f t="shared" si="30"/>
        <v>-15282.179190789995</v>
      </c>
      <c r="AA125" s="37">
        <f t="shared" si="31"/>
        <v>-1916.3241865156758</v>
      </c>
      <c r="AB125" s="37">
        <f t="shared" si="32"/>
        <v>-1645.8203661247564</v>
      </c>
      <c r="AC125" s="37">
        <f t="shared" si="33"/>
        <v>-539.31816074135054</v>
      </c>
      <c r="AD125" s="37">
        <f t="shared" si="34"/>
        <v>297.79082386103585</v>
      </c>
      <c r="AE125" s="39">
        <f t="shared" si="35"/>
        <v>-302.30697241824544</v>
      </c>
      <c r="AF125" s="39">
        <f t="shared" si="36"/>
        <v>283.09031842358502</v>
      </c>
      <c r="AG125" s="39">
        <f t="shared" si="37"/>
        <v>-34.456158794883812</v>
      </c>
      <c r="AH125" s="39">
        <f t="shared" si="38"/>
        <v>13.541811891831124</v>
      </c>
      <c r="AI125" s="39">
        <f t="shared" si="39"/>
        <v>-202.55502952822133</v>
      </c>
      <c r="AJ125" s="39">
        <f t="shared" si="40"/>
        <v>1.1586935456197049</v>
      </c>
      <c r="AK125" s="37">
        <f t="shared" si="41"/>
        <v>33330.346373529006</v>
      </c>
      <c r="AL125" s="37">
        <f t="shared" si="42"/>
        <v>69118.497359634799</v>
      </c>
      <c r="AM125" s="37">
        <f t="shared" si="43"/>
        <v>49329.479479761038</v>
      </c>
    </row>
    <row r="126" spans="12:39">
      <c r="L126">
        <v>122</v>
      </c>
      <c r="M126" s="37">
        <f t="shared" si="28"/>
        <v>0.76654860747591169</v>
      </c>
      <c r="N126" s="37">
        <f t="shared" si="22"/>
        <v>23601.545124439526</v>
      </c>
      <c r="O126" s="37">
        <f t="shared" si="23"/>
        <v>10968.266529064033</v>
      </c>
      <c r="R126" s="37">
        <f t="shared" si="24"/>
        <v>-17478.91841289233</v>
      </c>
      <c r="S126" s="37">
        <f t="shared" si="25"/>
        <v>12427.786570344822</v>
      </c>
      <c r="V126" s="37">
        <f t="shared" si="26"/>
        <v>-1398.4548755604733</v>
      </c>
      <c r="W126" s="37">
        <f t="shared" si="27"/>
        <v>-11531.733470935967</v>
      </c>
      <c r="Y126" s="37">
        <f t="shared" si="29"/>
        <v>43303.095535655433</v>
      </c>
      <c r="Z126" s="37">
        <f t="shared" si="30"/>
        <v>-16067.865520869744</v>
      </c>
      <c r="AA126" s="37">
        <f t="shared" si="31"/>
        <v>-2185.983266886351</v>
      </c>
      <c r="AB126" s="37">
        <f t="shared" si="32"/>
        <v>-1496.9249541942386</v>
      </c>
      <c r="AC126" s="37">
        <f t="shared" si="33"/>
        <v>-539.5387721578079</v>
      </c>
      <c r="AD126" s="37">
        <f t="shared" si="34"/>
        <v>316.4425631700858</v>
      </c>
      <c r="AE126" s="39">
        <f t="shared" si="35"/>
        <v>-294.08091527312376</v>
      </c>
      <c r="AF126" s="39">
        <f t="shared" si="36"/>
        <v>297.42226532979498</v>
      </c>
      <c r="AG126" s="39">
        <f t="shared" si="37"/>
        <v>-34.883939588148849</v>
      </c>
      <c r="AH126" s="39">
        <f t="shared" si="38"/>
        <v>14.365013880084549</v>
      </c>
      <c r="AI126" s="39">
        <f t="shared" si="39"/>
        <v>-210.57391729653534</v>
      </c>
      <c r="AJ126" s="39">
        <f t="shared" si="40"/>
        <v>4.6552839602062539</v>
      </c>
      <c r="AK126" s="37">
        <f t="shared" si="41"/>
        <v>33143.303196176523</v>
      </c>
      <c r="AL126" s="37">
        <f t="shared" si="42"/>
        <v>68460.320750128449</v>
      </c>
      <c r="AM126" s="37">
        <f t="shared" si="43"/>
        <v>48314.898065682784</v>
      </c>
    </row>
    <row r="127" spans="12:39">
      <c r="L127">
        <v>123</v>
      </c>
      <c r="M127" s="37">
        <f t="shared" si="28"/>
        <v>0.77283179278309133</v>
      </c>
      <c r="N127" s="37">
        <f t="shared" si="22"/>
        <v>23579.68241510915</v>
      </c>
      <c r="O127" s="37">
        <f t="shared" si="23"/>
        <v>10990.827094967372</v>
      </c>
      <c r="R127" s="37">
        <f t="shared" si="24"/>
        <v>-17494.222309423596</v>
      </c>
      <c r="S127" s="37">
        <f t="shared" si="25"/>
        <v>12443.57896647716</v>
      </c>
      <c r="V127" s="37">
        <f t="shared" si="26"/>
        <v>-1420.3175848908518</v>
      </c>
      <c r="W127" s="37">
        <f t="shared" si="27"/>
        <v>-11509.172905032628</v>
      </c>
      <c r="Y127" s="37">
        <f t="shared" si="29"/>
        <v>42142.661555692532</v>
      </c>
      <c r="Z127" s="37">
        <f t="shared" si="30"/>
        <v>-16776.772677570603</v>
      </c>
      <c r="AA127" s="37">
        <f t="shared" si="31"/>
        <v>-2455.752652965255</v>
      </c>
      <c r="AB127" s="37">
        <f t="shared" si="32"/>
        <v>-1338.7036726091956</v>
      </c>
      <c r="AC127" s="37">
        <f t="shared" si="33"/>
        <v>-541.69815679569979</v>
      </c>
      <c r="AD127" s="37">
        <f t="shared" si="34"/>
        <v>337.30010078145921</v>
      </c>
      <c r="AE127" s="39">
        <f t="shared" si="35"/>
        <v>-286.14992211668317</v>
      </c>
      <c r="AF127" s="39">
        <f t="shared" si="36"/>
        <v>313.7290697172462</v>
      </c>
      <c r="AG127" s="39">
        <f t="shared" si="37"/>
        <v>-35.451446527942416</v>
      </c>
      <c r="AH127" s="39">
        <f t="shared" si="38"/>
        <v>15.275742959915213</v>
      </c>
      <c r="AI127" s="39">
        <f t="shared" si="39"/>
        <v>-220.09678815107421</v>
      </c>
      <c r="AJ127" s="39">
        <f t="shared" si="40"/>
        <v>8.2952881042978088</v>
      </c>
      <c r="AK127" s="37">
        <f t="shared" si="41"/>
        <v>32858.167210122701</v>
      </c>
      <c r="AL127" s="37">
        <f t="shared" si="42"/>
        <v>67666.135845425946</v>
      </c>
      <c r="AM127" s="37">
        <f t="shared" si="43"/>
        <v>47176.132309700122</v>
      </c>
    </row>
    <row r="128" spans="12:39">
      <c r="L128">
        <v>124</v>
      </c>
      <c r="M128" s="37">
        <f t="shared" si="28"/>
        <v>0.77911497809027097</v>
      </c>
      <c r="N128" s="37">
        <f t="shared" si="22"/>
        <v>23557.67838604642</v>
      </c>
      <c r="O128" s="37">
        <f t="shared" si="23"/>
        <v>11013.249848994254</v>
      </c>
      <c r="R128" s="37">
        <f t="shared" si="24"/>
        <v>-17509.625129767508</v>
      </c>
      <c r="S128" s="37">
        <f t="shared" si="25"/>
        <v>12459.274894295977</v>
      </c>
      <c r="V128" s="37">
        <f t="shared" si="26"/>
        <v>-1442.3216139535812</v>
      </c>
      <c r="W128" s="37">
        <f t="shared" si="27"/>
        <v>-11486.750151005746</v>
      </c>
      <c r="Y128" s="37">
        <f t="shared" si="29"/>
        <v>40847.072959610443</v>
      </c>
      <c r="Z128" s="37">
        <f t="shared" si="30"/>
        <v>-17403.962001277519</v>
      </c>
      <c r="AA128" s="37">
        <f t="shared" si="31"/>
        <v>-2726.601731363105</v>
      </c>
      <c r="AB128" s="37">
        <f t="shared" si="32"/>
        <v>-1170.053622218466</v>
      </c>
      <c r="AC128" s="37">
        <f t="shared" si="33"/>
        <v>-545.73662321246286</v>
      </c>
      <c r="AD128" s="37">
        <f t="shared" si="34"/>
        <v>360.70379461433737</v>
      </c>
      <c r="AE128" s="39">
        <f t="shared" si="35"/>
        <v>-278.15006143638374</v>
      </c>
      <c r="AF128" s="39">
        <f t="shared" si="36"/>
        <v>332.27871241614099</v>
      </c>
      <c r="AG128" s="39">
        <f t="shared" si="37"/>
        <v>-36.172165267573355</v>
      </c>
      <c r="AH128" s="39">
        <f t="shared" si="38"/>
        <v>16.291016055192951</v>
      </c>
      <c r="AI128" s="39">
        <f t="shared" si="39"/>
        <v>-231.4143965085058</v>
      </c>
      <c r="AJ128" s="39">
        <f t="shared" si="40"/>
        <v>12.134066143003427</v>
      </c>
      <c r="AK128" s="37">
        <f t="shared" si="41"/>
        <v>32477.804333796881</v>
      </c>
      <c r="AL128" s="37">
        <f t="shared" si="42"/>
        <v>66733.375616100966</v>
      </c>
      <c r="AM128" s="37">
        <f t="shared" si="43"/>
        <v>45910.054805755019</v>
      </c>
    </row>
    <row r="129" spans="12:39">
      <c r="L129">
        <v>125</v>
      </c>
      <c r="M129" s="37">
        <f t="shared" si="28"/>
        <v>0.78539816339745061</v>
      </c>
      <c r="N129" s="37">
        <f t="shared" si="22"/>
        <v>23535.533905932731</v>
      </c>
      <c r="O129" s="37">
        <f t="shared" si="23"/>
        <v>11035.533905932745</v>
      </c>
      <c r="R129" s="37">
        <f t="shared" si="24"/>
        <v>-17525.126265847088</v>
      </c>
      <c r="S129" s="37">
        <f t="shared" si="25"/>
        <v>12474.873734152921</v>
      </c>
      <c r="V129" s="37">
        <f t="shared" si="26"/>
        <v>-1464.4660940672707</v>
      </c>
      <c r="W129" s="37">
        <f t="shared" si="27"/>
        <v>-11464.466094067255</v>
      </c>
      <c r="Y129" s="37">
        <f t="shared" si="29"/>
        <v>39415.555016027334</v>
      </c>
      <c r="Z129" s="37">
        <f t="shared" si="30"/>
        <v>-17943.900838059963</v>
      </c>
      <c r="AA129" s="37">
        <f t="shared" si="31"/>
        <v>-2999.4700429693366</v>
      </c>
      <c r="AB129" s="37">
        <f t="shared" si="32"/>
        <v>-989.70172491129733</v>
      </c>
      <c r="AC129" s="37">
        <f t="shared" si="33"/>
        <v>-551.6143901282054</v>
      </c>
      <c r="AD129" s="37">
        <f t="shared" si="34"/>
        <v>387.03173708785232</v>
      </c>
      <c r="AE129" s="39">
        <f t="shared" si="35"/>
        <v>-269.6452329821168</v>
      </c>
      <c r="AF129" s="39">
        <f t="shared" si="36"/>
        <v>353.36752226701816</v>
      </c>
      <c r="AG129" s="39">
        <f t="shared" si="37"/>
        <v>-37.064038816357154</v>
      </c>
      <c r="AH129" s="39">
        <f t="shared" si="38"/>
        <v>17.431694866149211</v>
      </c>
      <c r="AI129" s="39">
        <f t="shared" si="39"/>
        <v>-244.90511832973144</v>
      </c>
      <c r="AJ129" s="39">
        <f t="shared" si="40"/>
        <v>16.232519954684946</v>
      </c>
      <c r="AK129" s="37">
        <f t="shared" si="41"/>
        <v>32005.559930071722</v>
      </c>
      <c r="AL129" s="37">
        <f t="shared" si="42"/>
        <v>65658.73720922372</v>
      </c>
      <c r="AM129" s="37">
        <f t="shared" si="43"/>
        <v>44513.010227641098</v>
      </c>
    </row>
    <row r="130" spans="12:39">
      <c r="L130">
        <v>126</v>
      </c>
      <c r="M130" s="37">
        <f t="shared" si="28"/>
        <v>0.79168134870463025</v>
      </c>
      <c r="N130" s="37">
        <f t="shared" si="22"/>
        <v>23513.249848994237</v>
      </c>
      <c r="O130" s="37">
        <f t="shared" si="23"/>
        <v>11057.678386046435</v>
      </c>
      <c r="R130" s="37">
        <f t="shared" si="24"/>
        <v>-17540.725105704034</v>
      </c>
      <c r="S130" s="37">
        <f t="shared" si="25"/>
        <v>12490.374870232505</v>
      </c>
      <c r="V130" s="37">
        <f t="shared" si="26"/>
        <v>-1486.7501510057623</v>
      </c>
      <c r="W130" s="37">
        <f t="shared" si="27"/>
        <v>-11442.321613953565</v>
      </c>
      <c r="Y130" s="37">
        <f t="shared" si="29"/>
        <v>37846.868195776638</v>
      </c>
      <c r="Z130" s="37">
        <f t="shared" si="30"/>
        <v>-18390.372733379631</v>
      </c>
      <c r="AA130" s="37">
        <f t="shared" si="31"/>
        <v>-3275.2772380334395</v>
      </c>
      <c r="AB130" s="37">
        <f t="shared" si="32"/>
        <v>-796.18585636737112</v>
      </c>
      <c r="AC130" s="37">
        <f t="shared" si="33"/>
        <v>-559.30861059801418</v>
      </c>
      <c r="AD130" s="37">
        <f t="shared" si="34"/>
        <v>416.69415465425084</v>
      </c>
      <c r="AE130" s="39">
        <f t="shared" si="35"/>
        <v>-260.09095238426909</v>
      </c>
      <c r="AF130" s="39">
        <f t="shared" si="36"/>
        <v>377.31279392772956</v>
      </c>
      <c r="AG130" s="39">
        <f t="shared" si="37"/>
        <v>-38.15058250990414</v>
      </c>
      <c r="AH130" s="39">
        <f t="shared" si="38"/>
        <v>18.723732005440002</v>
      </c>
      <c r="AI130" s="39">
        <f t="shared" si="39"/>
        <v>-261.06707570384094</v>
      </c>
      <c r="AJ130" s="39">
        <f t="shared" si="40"/>
        <v>20.657628721081249</v>
      </c>
      <c r="AK130" s="37">
        <f t="shared" si="41"/>
        <v>31445.541888648557</v>
      </c>
      <c r="AL130" s="37">
        <f t="shared" si="42"/>
        <v>64438.136410046653</v>
      </c>
      <c r="AM130" s="37">
        <f t="shared" si="43"/>
        <v>42980.795030542416</v>
      </c>
    </row>
    <row r="131" spans="12:39">
      <c r="L131">
        <v>127</v>
      </c>
      <c r="M131" s="37">
        <f t="shared" si="28"/>
        <v>0.79796453401180989</v>
      </c>
      <c r="N131" s="37">
        <f t="shared" si="22"/>
        <v>23490.827094967353</v>
      </c>
      <c r="O131" s="37">
        <f t="shared" si="23"/>
        <v>11079.682415109164</v>
      </c>
      <c r="R131" s="37">
        <f t="shared" si="24"/>
        <v>-17556.421033522853</v>
      </c>
      <c r="S131" s="37">
        <f t="shared" si="25"/>
        <v>12505.777690576415</v>
      </c>
      <c r="V131" s="37">
        <f t="shared" si="26"/>
        <v>-1509.1729050326453</v>
      </c>
      <c r="W131" s="37">
        <f t="shared" si="27"/>
        <v>-11420.317584890836</v>
      </c>
      <c r="Y131" s="37">
        <f t="shared" si="29"/>
        <v>36139.316000435167</v>
      </c>
      <c r="Z131" s="37">
        <f t="shared" si="30"/>
        <v>-18736.378892231536</v>
      </c>
      <c r="AA131" s="37">
        <f t="shared" si="31"/>
        <v>-3554.9315433324464</v>
      </c>
      <c r="AB131" s="37">
        <f t="shared" si="32"/>
        <v>-587.83877904024575</v>
      </c>
      <c r="AC131" s="37">
        <f t="shared" si="33"/>
        <v>-568.81524046418701</v>
      </c>
      <c r="AD131" s="37">
        <f t="shared" si="34"/>
        <v>450.11575798048739</v>
      </c>
      <c r="AE131" s="39">
        <f t="shared" si="35"/>
        <v>-248.78783459226591</v>
      </c>
      <c r="AF131" s="39">
        <f t="shared" si="36"/>
        <v>404.43423327014102</v>
      </c>
      <c r="AG131" s="39">
        <f t="shared" si="37"/>
        <v>-39.462456433773127</v>
      </c>
      <c r="AH131" s="39">
        <f t="shared" si="38"/>
        <v>20.199891642610936</v>
      </c>
      <c r="AI131" s="39">
        <f t="shared" si="39"/>
        <v>-280.56494943814801</v>
      </c>
      <c r="AJ131" s="39">
        <f t="shared" si="40"/>
        <v>25.481633067735391</v>
      </c>
      <c r="AK131" s="37">
        <f t="shared" si="41"/>
        <v>30803.004696597945</v>
      </c>
      <c r="AL131" s="37">
        <f t="shared" si="42"/>
        <v>63066.649449884411</v>
      </c>
      <c r="AM131" s="37">
        <f t="shared" si="43"/>
        <v>41308.641326119337</v>
      </c>
    </row>
    <row r="132" spans="12:39">
      <c r="L132">
        <v>128</v>
      </c>
      <c r="M132" s="37">
        <f t="shared" si="28"/>
        <v>0.80424771931898953</v>
      </c>
      <c r="N132" s="37">
        <f t="shared" si="22"/>
        <v>23468.266529064014</v>
      </c>
      <c r="O132" s="37">
        <f t="shared" si="23"/>
        <v>11101.545124439543</v>
      </c>
      <c r="R132" s="37">
        <f t="shared" si="24"/>
        <v>-17572.213429655189</v>
      </c>
      <c r="S132" s="37">
        <f t="shared" si="25"/>
        <v>12521.081587107681</v>
      </c>
      <c r="V132" s="37">
        <f t="shared" si="26"/>
        <v>-1531.7334709359843</v>
      </c>
      <c r="W132" s="37">
        <f t="shared" si="27"/>
        <v>-11398.454875560457</v>
      </c>
      <c r="Y132" s="37">
        <f t="shared" si="29"/>
        <v>34290.748323710919</v>
      </c>
      <c r="Z132" s="37">
        <f t="shared" si="30"/>
        <v>-18974.033812004098</v>
      </c>
      <c r="AA132" s="37">
        <f t="shared" si="31"/>
        <v>-3839.3391635645398</v>
      </c>
      <c r="AB132" s="37">
        <f t="shared" si="32"/>
        <v>-362.78090005000206</v>
      </c>
      <c r="AC132" s="37">
        <f t="shared" si="33"/>
        <v>-580.1616061350453</v>
      </c>
      <c r="AD132" s="37">
        <f t="shared" si="34"/>
        <v>487.69594366448155</v>
      </c>
      <c r="AE132" s="39">
        <f t="shared" si="35"/>
        <v>-234.8225033380302</v>
      </c>
      <c r="AF132" s="39">
        <f t="shared" si="36"/>
        <v>435.01563055839671</v>
      </c>
      <c r="AG132" s="39">
        <f t="shared" si="37"/>
        <v>-41.039689925862156</v>
      </c>
      <c r="AH132" s="39">
        <f t="shared" si="38"/>
        <v>21.902173026905455</v>
      </c>
      <c r="AI132" s="39">
        <f t="shared" si="39"/>
        <v>-304.29941287115298</v>
      </c>
      <c r="AJ132" s="39">
        <f t="shared" si="40"/>
        <v>30.778140079179376</v>
      </c>
      <c r="AK132" s="37">
        <f t="shared" si="41"/>
        <v>30084.879157656302</v>
      </c>
      <c r="AL132" s="37">
        <f t="shared" si="42"/>
        <v>61538.443178940404</v>
      </c>
      <c r="AM132" s="37">
        <f t="shared" si="43"/>
        <v>39491.212295599944</v>
      </c>
    </row>
    <row r="133" spans="12:39">
      <c r="L133">
        <v>129</v>
      </c>
      <c r="M133" s="37">
        <f t="shared" si="28"/>
        <v>0.81053090462616917</v>
      </c>
      <c r="N133" s="37">
        <f t="shared" ref="N133:N196" si="44">COS(M133)*$D$37+$D$36</f>
        <v>23445.569041936731</v>
      </c>
      <c r="O133" s="37">
        <f t="shared" ref="O133:O196" si="45">SIN(M133)*$D$37+$E$36</f>
        <v>11123.265650935242</v>
      </c>
      <c r="R133" s="37">
        <f t="shared" ref="R133:R196" si="46">COS(M133)*$D$48+$D$47</f>
        <v>-17588.101670644286</v>
      </c>
      <c r="S133" s="37">
        <f t="shared" ref="S133:S196" si="47">SIN(M133)*$D$48+$E$47</f>
        <v>12536.285955654668</v>
      </c>
      <c r="V133" s="37">
        <f t="shared" ref="V133:V196" si="48">COS(M133)*$D$57+$D$56</f>
        <v>-1554.4309580632671</v>
      </c>
      <c r="W133" s="37">
        <f t="shared" ref="W133:W196" si="49">SIN(M133)*$D$57+$E$56</f>
        <v>-11376.734349064758</v>
      </c>
      <c r="Y133" s="37">
        <f t="shared" si="29"/>
        <v>32298.558541161769</v>
      </c>
      <c r="Z133" s="37">
        <f t="shared" si="30"/>
        <v>-19094.462269071042</v>
      </c>
      <c r="AA133" s="37">
        <f t="shared" si="31"/>
        <v>-4129.4199666320628</v>
      </c>
      <c r="AB133" s="37">
        <f t="shared" si="32"/>
        <v>-118.93292821776129</v>
      </c>
      <c r="AC133" s="37">
        <f t="shared" si="33"/>
        <v>-593.44257632567815</v>
      </c>
      <c r="AD133" s="37">
        <f t="shared" si="34"/>
        <v>529.72920313112979</v>
      </c>
      <c r="AE133" s="39">
        <f t="shared" si="35"/>
        <v>-216.99568095130789</v>
      </c>
      <c r="AF133" s="39">
        <f t="shared" si="36"/>
        <v>469.23250641906498</v>
      </c>
      <c r="AG133" s="39">
        <f t="shared" si="37"/>
        <v>-42.934856811885815</v>
      </c>
      <c r="AH133" s="39">
        <f t="shared" si="38"/>
        <v>23.885296390305271</v>
      </c>
      <c r="AI133" s="39">
        <f t="shared" si="39"/>
        <v>-333.51203856248446</v>
      </c>
      <c r="AJ133" s="39">
        <f t="shared" si="40"/>
        <v>36.611400321759596</v>
      </c>
      <c r="AK133" s="37">
        <f t="shared" si="41"/>
        <v>29300.511353412014</v>
      </c>
      <c r="AL133" s="37">
        <f t="shared" si="42"/>
        <v>59846.695482789379</v>
      </c>
      <c r="AM133" s="37">
        <f t="shared" si="43"/>
        <v>37522.62105079172</v>
      </c>
    </row>
    <row r="134" spans="12:39">
      <c r="L134">
        <v>130</v>
      </c>
      <c r="M134" s="37">
        <f t="shared" ref="M134:M197" si="50">M133+$J$3</f>
        <v>0.81681408993334881</v>
      </c>
      <c r="N134" s="37">
        <f t="shared" si="44"/>
        <v>23422.735529643433</v>
      </c>
      <c r="O134" s="37">
        <f t="shared" si="45"/>
        <v>11144.843137107066</v>
      </c>
      <c r="R134" s="37">
        <f t="shared" si="46"/>
        <v>-17604.085129249597</v>
      </c>
      <c r="S134" s="37">
        <f t="shared" si="47"/>
        <v>12551.390195974946</v>
      </c>
      <c r="V134" s="37">
        <f t="shared" si="48"/>
        <v>-1577.2644703565657</v>
      </c>
      <c r="W134" s="37">
        <f t="shared" si="49"/>
        <v>-11355.156862892934</v>
      </c>
      <c r="Y134" s="37">
        <f t="shared" ref="Y134:Y197" si="51">Y133+(AA133*$D$14)+((1/2)*AC133)*$D$14^2</f>
        <v>30159.668235805028</v>
      </c>
      <c r="Z134" s="37">
        <f t="shared" ref="Z134:Z197" si="52">Z133+(AB133*$D$14)+((1/2)*AD133)*$D$14^2</f>
        <v>-19087.712582788532</v>
      </c>
      <c r="AA134" s="37">
        <f t="shared" ref="AA134:AA197" si="53">AA133+(AC133*$D$14)</f>
        <v>-4426.1412547949021</v>
      </c>
      <c r="AB134" s="37">
        <f t="shared" ref="AB134:AB197" si="54">AB133+(AD133*$D$14)</f>
        <v>145.93167334780361</v>
      </c>
      <c r="AC134" s="37">
        <f t="shared" ref="AC134:AC197" si="55">AE134+AG134+AI134</f>
        <v>-608.90757528623567</v>
      </c>
      <c r="AD134" s="37">
        <f t="shared" ref="AD134:AD197" si="56">AF134+AH134+AJ134</f>
        <v>576.25553162363474</v>
      </c>
      <c r="AE134" s="39">
        <f t="shared" ref="AE134:AE197" si="57">$D$40*($D$36-Y134)/(AK134^2+$D$41^2)^(3/2)</f>
        <v>-193.7431489491139</v>
      </c>
      <c r="AF134" s="39">
        <f t="shared" ref="AF134:AF197" si="58">$D$40*($E$36-Z134)/(AK134^2+$D$41^2)^(3/2)</f>
        <v>507.02316646418137</v>
      </c>
      <c r="AG134" s="39">
        <f t="shared" ref="AG134:AG197" si="59">$D$51*($D$47-Y134)/(AL134^2+$D$52^2)^(3/2)</f>
        <v>-45.217665646180862</v>
      </c>
      <c r="AH134" s="39">
        <f t="shared" ref="AH134:AH197" si="60">$D$51*($E$47-Z134)/(AL134^2+$D$52^2)^(3/2)</f>
        <v>26.221833362164588</v>
      </c>
      <c r="AI134" s="39">
        <f t="shared" ref="AI134:AI197" si="61">$D$60*($D$56-Y134)/(AM134^2+$D$61^2)^(3/2)</f>
        <v>-369.94676069094089</v>
      </c>
      <c r="AJ134" s="39">
        <f t="shared" ref="AJ134:AJ197" si="62">$D$60*($E$56-Z134)/(AM134^2+$D$61^2)^(3/2)</f>
        <v>43.010531797288792</v>
      </c>
      <c r="AK134" s="37">
        <f t="shared" ref="AK134:AK197" si="63">SQRT(($D$36-Y134)^2+($E$36-Z134)^2)</f>
        <v>28462.700487595994</v>
      </c>
      <c r="AL134" s="37">
        <f t="shared" ref="AL134:AL197" si="64">SQRT(($D$47-Y134)^2+($E$47-Z134)^2)</f>
        <v>57983.509214473583</v>
      </c>
      <c r="AM134" s="37">
        <f t="shared" ref="AM134:AM197" si="65">SQRT(($D$56-Y134)^2+($E$56-Z134)^2)</f>
        <v>35396.492264225351</v>
      </c>
    </row>
    <row r="135" spans="12:39">
      <c r="L135">
        <v>131</v>
      </c>
      <c r="M135" s="37">
        <f t="shared" si="50"/>
        <v>0.82309727524052845</v>
      </c>
      <c r="N135" s="37">
        <f t="shared" si="44"/>
        <v>23399.766893612086</v>
      </c>
      <c r="O135" s="37">
        <f t="shared" si="45"/>
        <v>11166.276731112808</v>
      </c>
      <c r="R135" s="37">
        <f t="shared" si="46"/>
        <v>-17620.163174471541</v>
      </c>
      <c r="S135" s="37">
        <f t="shared" si="47"/>
        <v>12566.393711778966</v>
      </c>
      <c r="V135" s="37">
        <f t="shared" si="48"/>
        <v>-1600.2331063879137</v>
      </c>
      <c r="W135" s="37">
        <f t="shared" si="49"/>
        <v>-11333.723268887192</v>
      </c>
      <c r="Y135" s="37">
        <f t="shared" si="51"/>
        <v>27870.484161496799</v>
      </c>
      <c r="Z135" s="37">
        <f t="shared" si="52"/>
        <v>-18942.714804661675</v>
      </c>
      <c r="AA135" s="37">
        <f t="shared" si="53"/>
        <v>-4730.5950424380198</v>
      </c>
      <c r="AB135" s="37">
        <f t="shared" si="54"/>
        <v>434.05943915962098</v>
      </c>
      <c r="AC135" s="37">
        <f t="shared" si="55"/>
        <v>-627.15394813065075</v>
      </c>
      <c r="AD135" s="37">
        <f t="shared" si="56"/>
        <v>626.7903218000846</v>
      </c>
      <c r="AE135" s="39">
        <f t="shared" si="57"/>
        <v>-163.06960591918397</v>
      </c>
      <c r="AF135" s="39">
        <f t="shared" si="58"/>
        <v>547.87011753664456</v>
      </c>
      <c r="AG135" s="39">
        <f t="shared" si="59"/>
        <v>-47.981697727287084</v>
      </c>
      <c r="AH135" s="39">
        <f t="shared" si="60"/>
        <v>29.009955037833716</v>
      </c>
      <c r="AI135" s="39">
        <f t="shared" si="61"/>
        <v>-416.10264448417968</v>
      </c>
      <c r="AJ135" s="39">
        <f t="shared" si="62"/>
        <v>49.910249225606272</v>
      </c>
      <c r="AK135" s="37">
        <f t="shared" si="63"/>
        <v>27589.158870415849</v>
      </c>
      <c r="AL135" s="37">
        <f t="shared" si="64"/>
        <v>55939.824759468975</v>
      </c>
      <c r="AM135" s="37">
        <f t="shared" si="65"/>
        <v>33106.098064285834</v>
      </c>
    </row>
    <row r="136" spans="12:39">
      <c r="L136">
        <v>132</v>
      </c>
      <c r="M136" s="37">
        <f t="shared" si="50"/>
        <v>0.82938046054770809</v>
      </c>
      <c r="N136" s="37">
        <f t="shared" si="44"/>
        <v>23376.664040605112</v>
      </c>
      <c r="O136" s="37">
        <f t="shared" si="45"/>
        <v>11187.565586790879</v>
      </c>
      <c r="R136" s="37">
        <f t="shared" si="46"/>
        <v>-17636.335171576422</v>
      </c>
      <c r="S136" s="37">
        <f t="shared" si="47"/>
        <v>12581.295910753615</v>
      </c>
      <c r="V136" s="37">
        <f t="shared" si="48"/>
        <v>-1623.3359593948876</v>
      </c>
      <c r="W136" s="37">
        <f t="shared" si="49"/>
        <v>-11312.434413209121</v>
      </c>
      <c r="Y136" s="37">
        <f t="shared" si="51"/>
        <v>25426.792396761459</v>
      </c>
      <c r="Z136" s="37">
        <f t="shared" si="52"/>
        <v>-18647.336294856854</v>
      </c>
      <c r="AA136" s="37">
        <f t="shared" si="53"/>
        <v>-5044.1720165033448</v>
      </c>
      <c r="AB136" s="37">
        <f t="shared" si="54"/>
        <v>747.45460005966333</v>
      </c>
      <c r="AC136" s="37">
        <f t="shared" si="55"/>
        <v>-649.53495922258367</v>
      </c>
      <c r="AD136" s="37">
        <f t="shared" si="56"/>
        <v>679.85146411556946</v>
      </c>
      <c r="AE136" s="39">
        <f t="shared" si="57"/>
        <v>-122.54602619673318</v>
      </c>
      <c r="AF136" s="39">
        <f t="shared" si="58"/>
        <v>590.45047687405884</v>
      </c>
      <c r="AG136" s="39">
        <f t="shared" si="59"/>
        <v>-51.35446768941074</v>
      </c>
      <c r="AH136" s="39">
        <f t="shared" si="60"/>
        <v>32.385485052358476</v>
      </c>
      <c r="AI136" s="39">
        <f t="shared" si="61"/>
        <v>-475.63446533643975</v>
      </c>
      <c r="AJ136" s="39">
        <f t="shared" si="62"/>
        <v>57.015502189152151</v>
      </c>
      <c r="AK136" s="37">
        <f t="shared" si="63"/>
        <v>26704.555248756467</v>
      </c>
      <c r="AL136" s="37">
        <f t="shared" si="64"/>
        <v>53705.338135506492</v>
      </c>
      <c r="AM136" s="37">
        <f t="shared" si="65"/>
        <v>30644.620369706019</v>
      </c>
    </row>
    <row r="137" spans="12:39">
      <c r="L137">
        <v>133</v>
      </c>
      <c r="M137" s="37">
        <f t="shared" si="50"/>
        <v>0.83566364585488773</v>
      </c>
      <c r="N137" s="37">
        <f t="shared" si="44"/>
        <v>23353.427882683591</v>
      </c>
      <c r="O137" s="37">
        <f t="shared" si="45"/>
        <v>11208.708863693706</v>
      </c>
      <c r="R137" s="37">
        <f t="shared" si="46"/>
        <v>-17652.600482121488</v>
      </c>
      <c r="S137" s="37">
        <f t="shared" si="47"/>
        <v>12596.096204585594</v>
      </c>
      <c r="V137" s="37">
        <f t="shared" si="48"/>
        <v>-1646.5721173164097</v>
      </c>
      <c r="W137" s="37">
        <f t="shared" si="49"/>
        <v>-11291.291136306294</v>
      </c>
      <c r="Y137" s="37">
        <f t="shared" si="51"/>
        <v>22823.51451860696</v>
      </c>
      <c r="Z137" s="37">
        <f t="shared" si="52"/>
        <v>-18188.627561812576</v>
      </c>
      <c r="AA137" s="37">
        <f t="shared" si="53"/>
        <v>-5368.9394961146363</v>
      </c>
      <c r="AB137" s="37">
        <f t="shared" si="54"/>
        <v>1087.380332117448</v>
      </c>
      <c r="AC137" s="37">
        <f t="shared" si="55"/>
        <v>-678.9786327130131</v>
      </c>
      <c r="AD137" s="37">
        <f t="shared" si="56"/>
        <v>732.15194961346606</v>
      </c>
      <c r="AE137" s="39">
        <f t="shared" si="57"/>
        <v>-69.478504596954295</v>
      </c>
      <c r="AF137" s="39">
        <f t="shared" si="58"/>
        <v>632.12263169923915</v>
      </c>
      <c r="AG137" s="39">
        <f t="shared" si="59"/>
        <v>-55.51271644664233</v>
      </c>
      <c r="AH137" s="39">
        <f t="shared" si="60"/>
        <v>36.54130928882509</v>
      </c>
      <c r="AI137" s="39">
        <f t="shared" si="61"/>
        <v>-553.98741166941647</v>
      </c>
      <c r="AJ137" s="39">
        <f t="shared" si="62"/>
        <v>63.488008625401818</v>
      </c>
      <c r="AK137" s="37">
        <f t="shared" si="63"/>
        <v>25843.332220251727</v>
      </c>
      <c r="AL137" s="37">
        <f t="shared" si="64"/>
        <v>51268.431998101136</v>
      </c>
      <c r="AM137" s="37">
        <f t="shared" si="65"/>
        <v>28005.629896416955</v>
      </c>
    </row>
    <row r="138" spans="12:39">
      <c r="L138">
        <v>134</v>
      </c>
      <c r="M138" s="37">
        <f t="shared" si="50"/>
        <v>0.84194683116206737</v>
      </c>
      <c r="N138" s="37">
        <f t="shared" si="44"/>
        <v>23330.059337171249</v>
      </c>
      <c r="O138" s="37">
        <f t="shared" si="45"/>
        <v>11229.70572712092</v>
      </c>
      <c r="R138" s="37">
        <f t="shared" si="46"/>
        <v>-17668.958463980125</v>
      </c>
      <c r="S138" s="37">
        <f t="shared" si="47"/>
        <v>12610.794008984643</v>
      </c>
      <c r="V138" s="37">
        <f t="shared" si="48"/>
        <v>-1669.940662828752</v>
      </c>
      <c r="W138" s="37">
        <f t="shared" si="49"/>
        <v>-11270.29427287908</v>
      </c>
      <c r="Y138" s="37">
        <f t="shared" si="51"/>
        <v>20054.172441460516</v>
      </c>
      <c r="Z138" s="37">
        <f t="shared" si="52"/>
        <v>-17553.418402052168</v>
      </c>
      <c r="AA138" s="37">
        <f t="shared" si="53"/>
        <v>-5708.4288124711429</v>
      </c>
      <c r="AB138" s="37">
        <f t="shared" si="54"/>
        <v>1453.456306924181</v>
      </c>
      <c r="AC138" s="37">
        <f t="shared" si="55"/>
        <v>-721.52103761043259</v>
      </c>
      <c r="AD138" s="37">
        <f t="shared" si="56"/>
        <v>777.23934966437491</v>
      </c>
      <c r="AE138" s="39">
        <f t="shared" si="57"/>
        <v>-1.4450049010701174</v>
      </c>
      <c r="AF138" s="39">
        <f t="shared" si="58"/>
        <v>668.27913609749339</v>
      </c>
      <c r="AG138" s="39">
        <f t="shared" si="59"/>
        <v>-60.706063382370672</v>
      </c>
      <c r="AH138" s="39">
        <f t="shared" si="60"/>
        <v>41.759933159536928</v>
      </c>
      <c r="AI138" s="39">
        <f t="shared" si="61"/>
        <v>-659.36996932699185</v>
      </c>
      <c r="AJ138" s="39">
        <f t="shared" si="62"/>
        <v>67.200280407344678</v>
      </c>
      <c r="AK138" s="37">
        <f t="shared" si="63"/>
        <v>25053.476969907791</v>
      </c>
      <c r="AL138" s="37">
        <f t="shared" si="64"/>
        <v>48616.124851830813</v>
      </c>
      <c r="AM138" s="37">
        <f t="shared" si="65"/>
        <v>25183.953269142996</v>
      </c>
    </row>
    <row r="139" spans="12:39">
      <c r="L139">
        <v>135</v>
      </c>
      <c r="M139" s="37">
        <f t="shared" si="50"/>
        <v>0.84823001646924701</v>
      </c>
      <c r="N139" s="37">
        <f t="shared" si="44"/>
        <v>23306.559326618248</v>
      </c>
      <c r="O139" s="37">
        <f t="shared" si="45"/>
        <v>11250.555348152307</v>
      </c>
      <c r="R139" s="37">
        <f t="shared" si="46"/>
        <v>-17685.408471367227</v>
      </c>
      <c r="S139" s="37">
        <f t="shared" si="47"/>
        <v>12625.388743706615</v>
      </c>
      <c r="V139" s="37">
        <f t="shared" si="48"/>
        <v>-1693.4406733817514</v>
      </c>
      <c r="W139" s="37">
        <f t="shared" si="49"/>
        <v>-11249.444651847693</v>
      </c>
      <c r="Y139" s="37">
        <f t="shared" si="51"/>
        <v>17109.76790552364</v>
      </c>
      <c r="Z139" s="37">
        <f t="shared" si="52"/>
        <v>-16729.535329882034</v>
      </c>
      <c r="AA139" s="37">
        <f t="shared" si="53"/>
        <v>-6069.1893312763596</v>
      </c>
      <c r="AB139" s="37">
        <f t="shared" si="54"/>
        <v>1842.0759817563685</v>
      </c>
      <c r="AC139" s="37">
        <f t="shared" si="55"/>
        <v>-788.82605214188561</v>
      </c>
      <c r="AD139" s="37">
        <f t="shared" si="56"/>
        <v>803.14982782096251</v>
      </c>
      <c r="AE139" s="39">
        <f t="shared" si="57"/>
        <v>82.519577290609092</v>
      </c>
      <c r="AF139" s="39">
        <f t="shared" si="58"/>
        <v>691.78216420435581</v>
      </c>
      <c r="AG139" s="39">
        <f t="shared" si="59"/>
        <v>-67.294071661820595</v>
      </c>
      <c r="AH139" s="39">
        <f t="shared" si="60"/>
        <v>48.470776496247282</v>
      </c>
      <c r="AI139" s="39">
        <f t="shared" si="61"/>
        <v>-804.05155777067409</v>
      </c>
      <c r="AJ139" s="39">
        <f t="shared" si="62"/>
        <v>62.896887120359423</v>
      </c>
      <c r="AK139" s="37">
        <f t="shared" si="63"/>
        <v>24401.30783097379</v>
      </c>
      <c r="AL139" s="37">
        <f t="shared" si="64"/>
        <v>45734.045665709964</v>
      </c>
      <c r="AM139" s="37">
        <f t="shared" si="65"/>
        <v>22177.311137589095</v>
      </c>
    </row>
    <row r="140" spans="12:39">
      <c r="L140">
        <v>136</v>
      </c>
      <c r="M140" s="37">
        <f t="shared" si="50"/>
        <v>0.85451320177642665</v>
      </c>
      <c r="N140" s="37">
        <f t="shared" si="44"/>
        <v>23282.92877876477</v>
      </c>
      <c r="O140" s="37">
        <f t="shared" si="45"/>
        <v>11271.256903680529</v>
      </c>
      <c r="R140" s="37">
        <f t="shared" si="46"/>
        <v>-17701.949854864659</v>
      </c>
      <c r="S140" s="37">
        <f t="shared" si="47"/>
        <v>12639.879832576371</v>
      </c>
      <c r="V140" s="37">
        <f t="shared" si="48"/>
        <v>-1717.0712212352287</v>
      </c>
      <c r="W140" s="37">
        <f t="shared" si="49"/>
        <v>-11228.743096319471</v>
      </c>
      <c r="Y140" s="37">
        <f t="shared" si="51"/>
        <v>13976.569983367724</v>
      </c>
      <c r="Z140" s="37">
        <f t="shared" si="52"/>
        <v>-15708.10361052623</v>
      </c>
      <c r="AA140" s="37">
        <f t="shared" si="53"/>
        <v>-6463.6023573473021</v>
      </c>
      <c r="AB140" s="37">
        <f t="shared" si="54"/>
        <v>2243.6508956668499</v>
      </c>
      <c r="AC140" s="37">
        <f t="shared" si="55"/>
        <v>-901.03414959861175</v>
      </c>
      <c r="AD140" s="37">
        <f t="shared" si="56"/>
        <v>787.93871104061247</v>
      </c>
      <c r="AE140" s="39">
        <f t="shared" si="57"/>
        <v>179.88108128880475</v>
      </c>
      <c r="AF140" s="39">
        <f t="shared" si="58"/>
        <v>693.07666239943535</v>
      </c>
      <c r="AG140" s="39">
        <f t="shared" si="59"/>
        <v>-75.804278746811974</v>
      </c>
      <c r="AH140" s="39">
        <f t="shared" si="60"/>
        <v>57.356709435302818</v>
      </c>
      <c r="AI140" s="39">
        <f t="shared" si="61"/>
        <v>-1005.1109521406046</v>
      </c>
      <c r="AJ140" s="39">
        <f t="shared" si="62"/>
        <v>37.505339205874307</v>
      </c>
      <c r="AK140" s="37">
        <f t="shared" si="63"/>
        <v>23977.026136745721</v>
      </c>
      <c r="AL140" s="37">
        <f t="shared" si="64"/>
        <v>42606.500666966727</v>
      </c>
      <c r="AM140" s="37">
        <f t="shared" si="65"/>
        <v>18989.776698447331</v>
      </c>
    </row>
    <row r="141" spans="12:39">
      <c r="L141">
        <v>137</v>
      </c>
      <c r="M141" s="37">
        <f t="shared" si="50"/>
        <v>0.86079638708360628</v>
      </c>
      <c r="N141" s="37">
        <f t="shared" si="44"/>
        <v>23259.168626504383</v>
      </c>
      <c r="O141" s="37">
        <f t="shared" si="45"/>
        <v>11291.809576443618</v>
      </c>
      <c r="R141" s="37">
        <f t="shared" si="46"/>
        <v>-17718.581961446933</v>
      </c>
      <c r="S141" s="37">
        <f t="shared" si="47"/>
        <v>12654.266703510533</v>
      </c>
      <c r="V141" s="37">
        <f t="shared" si="48"/>
        <v>-1740.8313734956173</v>
      </c>
      <c r="W141" s="37">
        <f t="shared" si="49"/>
        <v>-11208.190423556382</v>
      </c>
      <c r="Y141" s="37">
        <f t="shared" si="51"/>
        <v>10632.139535994247</v>
      </c>
      <c r="Z141" s="37">
        <f t="shared" si="52"/>
        <v>-14487.785823812728</v>
      </c>
      <c r="AA141" s="37">
        <f t="shared" si="53"/>
        <v>-6914.1194321466082</v>
      </c>
      <c r="AB141" s="37">
        <f t="shared" si="54"/>
        <v>2637.6202511871561</v>
      </c>
      <c r="AC141" s="37">
        <f t="shared" si="55"/>
        <v>-1084.3240678387897</v>
      </c>
      <c r="AD141" s="37">
        <f t="shared" si="56"/>
        <v>689.68196193277709</v>
      </c>
      <c r="AE141" s="39">
        <f t="shared" si="57"/>
        <v>282.06042374714372</v>
      </c>
      <c r="AF141" s="39">
        <f t="shared" si="58"/>
        <v>662.03848899710181</v>
      </c>
      <c r="AG141" s="39">
        <f t="shared" si="59"/>
        <v>-87.018791322833678</v>
      </c>
      <c r="AH141" s="39">
        <f t="shared" si="60"/>
        <v>69.564110011208882</v>
      </c>
      <c r="AI141" s="39">
        <f t="shared" si="61"/>
        <v>-1279.3657002630998</v>
      </c>
      <c r="AJ141" s="39">
        <f t="shared" si="62"/>
        <v>-41.920637075533634</v>
      </c>
      <c r="AK141" s="37">
        <f t="shared" si="63"/>
        <v>23900.199478392271</v>
      </c>
      <c r="AL141" s="37">
        <f t="shared" si="64"/>
        <v>39217.083357964621</v>
      </c>
      <c r="AM141" s="37">
        <f t="shared" si="65"/>
        <v>15640.529077850328</v>
      </c>
    </row>
    <row r="142" spans="12:39">
      <c r="L142">
        <v>138</v>
      </c>
      <c r="M142" s="37">
        <f t="shared" si="50"/>
        <v>0.86707957239078592</v>
      </c>
      <c r="N142" s="37">
        <f t="shared" si="44"/>
        <v>23235.279807847211</v>
      </c>
      <c r="O142" s="37">
        <f t="shared" si="45"/>
        <v>11312.212555057249</v>
      </c>
      <c r="R142" s="37">
        <f t="shared" si="46"/>
        <v>-17735.304134506954</v>
      </c>
      <c r="S142" s="37">
        <f t="shared" si="47"/>
        <v>12668.548788540074</v>
      </c>
      <c r="V142" s="37">
        <f t="shared" si="48"/>
        <v>-1764.7201921527899</v>
      </c>
      <c r="W142" s="37">
        <f t="shared" si="49"/>
        <v>-11187.787444942751</v>
      </c>
      <c r="Y142" s="37">
        <f t="shared" si="51"/>
        <v>7039.5393114410945</v>
      </c>
      <c r="Z142" s="37">
        <f t="shared" si="52"/>
        <v>-13082.765452977554</v>
      </c>
      <c r="AA142" s="37">
        <f t="shared" si="53"/>
        <v>-7456.2814660660033</v>
      </c>
      <c r="AB142" s="37">
        <f t="shared" si="54"/>
        <v>2982.4612321535446</v>
      </c>
      <c r="AC142" s="37">
        <f t="shared" si="55"/>
        <v>-1336.9913821378539</v>
      </c>
      <c r="AD142" s="37">
        <f t="shared" si="56"/>
        <v>423.58370956731522</v>
      </c>
      <c r="AE142" s="39">
        <f t="shared" si="57"/>
        <v>373.09049975373688</v>
      </c>
      <c r="AF142" s="39">
        <f t="shared" si="58"/>
        <v>592.51244486581697</v>
      </c>
      <c r="AG142" s="39">
        <f t="shared" si="59"/>
        <v>-102.07499759637746</v>
      </c>
      <c r="AH142" s="39">
        <f t="shared" si="60"/>
        <v>87.138068477870604</v>
      </c>
      <c r="AI142" s="39">
        <f t="shared" si="61"/>
        <v>-1608.0068842952132</v>
      </c>
      <c r="AJ142" s="39">
        <f t="shared" si="62"/>
        <v>-256.06680377637241</v>
      </c>
      <c r="AK142" s="37">
        <f t="shared" si="63"/>
        <v>24323.317515338385</v>
      </c>
      <c r="AL142" s="37">
        <f t="shared" si="64"/>
        <v>35552.084989943171</v>
      </c>
      <c r="AM142" s="37">
        <f t="shared" si="65"/>
        <v>12191.238458008762</v>
      </c>
    </row>
    <row r="143" spans="12:39">
      <c r="L143">
        <v>139</v>
      </c>
      <c r="M143" s="37">
        <f t="shared" si="50"/>
        <v>0.87336275769796556</v>
      </c>
      <c r="N143" s="37">
        <f t="shared" si="44"/>
        <v>23211.26326588291</v>
      </c>
      <c r="O143" s="37">
        <f t="shared" si="45"/>
        <v>11332.46503404676</v>
      </c>
      <c r="R143" s="37">
        <f t="shared" si="46"/>
        <v>-17752.115713881962</v>
      </c>
      <c r="S143" s="37">
        <f t="shared" si="47"/>
        <v>12682.725523832731</v>
      </c>
      <c r="V143" s="37">
        <f t="shared" si="48"/>
        <v>-1788.7367341170898</v>
      </c>
      <c r="W143" s="37">
        <f t="shared" si="49"/>
        <v>-11167.53496595324</v>
      </c>
      <c r="Y143" s="37">
        <f t="shared" si="51"/>
        <v>3144.2746556408611</v>
      </c>
      <c r="Z143" s="37">
        <f t="shared" si="52"/>
        <v>-11538.586873204866</v>
      </c>
      <c r="AA143" s="37">
        <f t="shared" si="53"/>
        <v>-8124.7771571349303</v>
      </c>
      <c r="AB143" s="37">
        <f t="shared" si="54"/>
        <v>3194.2530869372022</v>
      </c>
      <c r="AC143" s="37">
        <f t="shared" si="55"/>
        <v>-1480.7325585034778</v>
      </c>
      <c r="AD143" s="37">
        <f t="shared" si="56"/>
        <v>-158.5839804537344</v>
      </c>
      <c r="AE143" s="39">
        <f t="shared" si="57"/>
        <v>432.64201279198795</v>
      </c>
      <c r="AF143" s="39">
        <f t="shared" si="58"/>
        <v>488.67031096321193</v>
      </c>
      <c r="AG143" s="39">
        <f t="shared" si="59"/>
        <v>-122.41688069763183</v>
      </c>
      <c r="AH143" s="39">
        <f t="shared" si="60"/>
        <v>113.92392541496521</v>
      </c>
      <c r="AI143" s="39">
        <f t="shared" si="61"/>
        <v>-1790.9576905978338</v>
      </c>
      <c r="AJ143" s="39">
        <f t="shared" si="62"/>
        <v>-761.17821683191153</v>
      </c>
      <c r="AK143" s="37">
        <f t="shared" si="63"/>
        <v>25428.0016323155</v>
      </c>
      <c r="AL143" s="37">
        <f t="shared" si="64"/>
        <v>31615.948093174949</v>
      </c>
      <c r="AM143" s="37">
        <f t="shared" si="65"/>
        <v>8849.3271213614735</v>
      </c>
    </row>
    <row r="144" spans="12:39">
      <c r="L144">
        <v>140</v>
      </c>
      <c r="M144" s="37">
        <f t="shared" si="50"/>
        <v>0.8796459430051452</v>
      </c>
      <c r="N144" s="37">
        <f t="shared" si="44"/>
        <v>23187.119948743435</v>
      </c>
      <c r="O144" s="37">
        <f t="shared" si="45"/>
        <v>11352.566213878956</v>
      </c>
      <c r="R144" s="37">
        <f t="shared" si="46"/>
        <v>-17769.016035879595</v>
      </c>
      <c r="S144" s="37">
        <f t="shared" si="47"/>
        <v>12696.79634971527</v>
      </c>
      <c r="V144" s="37">
        <f t="shared" si="48"/>
        <v>-1812.8800512565635</v>
      </c>
      <c r="W144" s="37">
        <f t="shared" si="49"/>
        <v>-11147.433786121044</v>
      </c>
      <c r="Y144" s="37">
        <f t="shared" si="51"/>
        <v>-1103.2054927395388</v>
      </c>
      <c r="Z144" s="37">
        <f t="shared" si="52"/>
        <v>-9961.283327292982</v>
      </c>
      <c r="AA144" s="37">
        <f t="shared" si="53"/>
        <v>-8865.1434363866683</v>
      </c>
      <c r="AB144" s="37">
        <f t="shared" si="54"/>
        <v>3114.9610967103349</v>
      </c>
      <c r="AC144" s="37">
        <f t="shared" si="55"/>
        <v>-927.21924295603685</v>
      </c>
      <c r="AD144" s="37">
        <f t="shared" si="56"/>
        <v>-1057.0648255303799</v>
      </c>
      <c r="AE144" s="39">
        <f t="shared" si="57"/>
        <v>445.69057535351021</v>
      </c>
      <c r="AF144" s="39">
        <f t="shared" si="58"/>
        <v>368.77475392206827</v>
      </c>
      <c r="AG144" s="39">
        <f t="shared" si="59"/>
        <v>-148.7161264278522</v>
      </c>
      <c r="AH144" s="39">
        <f t="shared" si="60"/>
        <v>157.0935607001129</v>
      </c>
      <c r="AI144" s="39">
        <f t="shared" si="61"/>
        <v>-1224.1936918816948</v>
      </c>
      <c r="AJ144" s="39">
        <f t="shared" si="62"/>
        <v>-1582.933140152561</v>
      </c>
      <c r="AK144" s="37">
        <f t="shared" si="63"/>
        <v>27390.540292312457</v>
      </c>
      <c r="AL144" s="37">
        <f t="shared" si="64"/>
        <v>27487.118341544894</v>
      </c>
      <c r="AM144" s="37">
        <f t="shared" si="65"/>
        <v>6369.746709220939</v>
      </c>
    </row>
    <row r="145" spans="12:39">
      <c r="L145">
        <v>141</v>
      </c>
      <c r="M145" s="37">
        <f t="shared" si="50"/>
        <v>0.88592912831232484</v>
      </c>
      <c r="N145" s="37">
        <f t="shared" si="44"/>
        <v>23162.850809565611</v>
      </c>
      <c r="O145" s="37">
        <f t="shared" si="45"/>
        <v>11372.515300993678</v>
      </c>
      <c r="R145" s="37">
        <f t="shared" si="46"/>
        <v>-17786.004433304071</v>
      </c>
      <c r="S145" s="37">
        <f t="shared" si="47"/>
        <v>12710.760710695575</v>
      </c>
      <c r="V145" s="37">
        <f t="shared" si="48"/>
        <v>-1837.1491904343902</v>
      </c>
      <c r="W145" s="37">
        <f t="shared" si="49"/>
        <v>-11127.484699006322</v>
      </c>
      <c r="Y145" s="37">
        <f t="shared" si="51"/>
        <v>-5651.6796163023773</v>
      </c>
      <c r="Z145" s="37">
        <f t="shared" si="52"/>
        <v>-8535.9358821291116</v>
      </c>
      <c r="AA145" s="37">
        <f t="shared" si="53"/>
        <v>-9328.7530578646874</v>
      </c>
      <c r="AB145" s="37">
        <f t="shared" si="54"/>
        <v>2586.4286839451452</v>
      </c>
      <c r="AC145" s="37">
        <f t="shared" si="55"/>
        <v>440.44628771738383</v>
      </c>
      <c r="AD145" s="37">
        <f t="shared" si="56"/>
        <v>-1508.8126141298917</v>
      </c>
      <c r="AE145" s="39">
        <f t="shared" si="57"/>
        <v>415.25296642479628</v>
      </c>
      <c r="AF145" s="39">
        <f t="shared" si="58"/>
        <v>259.59196606447478</v>
      </c>
      <c r="AG145" s="39">
        <f t="shared" si="59"/>
        <v>-176.01363908588007</v>
      </c>
      <c r="AH145" s="39">
        <f t="shared" si="60"/>
        <v>227.38393353573187</v>
      </c>
      <c r="AI145" s="39">
        <f t="shared" si="61"/>
        <v>201.20696037846764</v>
      </c>
      <c r="AJ145" s="39">
        <f t="shared" si="62"/>
        <v>-1995.7885137300982</v>
      </c>
      <c r="AK145" s="37">
        <f t="shared" si="63"/>
        <v>30251.609986134274</v>
      </c>
      <c r="AL145" s="37">
        <f t="shared" si="64"/>
        <v>23440.461105951694</v>
      </c>
      <c r="AM145" s="37">
        <f t="shared" si="65"/>
        <v>6496.8308614469843</v>
      </c>
    </row>
    <row r="146" spans="12:39">
      <c r="L146">
        <v>142</v>
      </c>
      <c r="M146" s="37">
        <f t="shared" si="50"/>
        <v>0.89221231361950448</v>
      </c>
      <c r="N146" s="37">
        <f t="shared" si="44"/>
        <v>23138.456806453491</v>
      </c>
      <c r="O146" s="37">
        <f t="shared" si="45"/>
        <v>11392.311507835127</v>
      </c>
      <c r="R146" s="37">
        <f t="shared" si="46"/>
        <v>-17803.080235482557</v>
      </c>
      <c r="S146" s="37">
        <f t="shared" si="47"/>
        <v>12724.618055484589</v>
      </c>
      <c r="V146" s="37">
        <f t="shared" si="48"/>
        <v>-1861.5431935465099</v>
      </c>
      <c r="W146" s="37">
        <f t="shared" si="49"/>
        <v>-11107.688492164873</v>
      </c>
      <c r="Y146" s="37">
        <f t="shared" si="51"/>
        <v>-10261.000359270049</v>
      </c>
      <c r="Z146" s="37">
        <f t="shared" si="52"/>
        <v>-7431.3231169227756</v>
      </c>
      <c r="AA146" s="37">
        <f t="shared" si="53"/>
        <v>-9108.529914005996</v>
      </c>
      <c r="AB146" s="37">
        <f t="shared" si="54"/>
        <v>1832.0223768801993</v>
      </c>
      <c r="AC146" s="37">
        <f t="shared" si="55"/>
        <v>1273.8756984391521</v>
      </c>
      <c r="AD146" s="37">
        <f t="shared" si="56"/>
        <v>-1065.5890459709817</v>
      </c>
      <c r="AE146" s="39">
        <f t="shared" si="57"/>
        <v>363.45205729315086</v>
      </c>
      <c r="AF146" s="39">
        <f t="shared" si="58"/>
        <v>179.3337973142032</v>
      </c>
      <c r="AG146" s="39">
        <f t="shared" si="59"/>
        <v>-184.64081248723375</v>
      </c>
      <c r="AH146" s="39">
        <f t="shared" si="60"/>
        <v>330.47887686284872</v>
      </c>
      <c r="AI146" s="39">
        <f t="shared" si="61"/>
        <v>1095.064453633235</v>
      </c>
      <c r="AJ146" s="39">
        <f t="shared" si="62"/>
        <v>-1575.4017201480335</v>
      </c>
      <c r="AK146" s="37">
        <f t="shared" si="63"/>
        <v>33744.222509426625</v>
      </c>
      <c r="AL146" s="37">
        <f t="shared" si="64"/>
        <v>19967.452005919647</v>
      </c>
      <c r="AM146" s="37">
        <f t="shared" si="65"/>
        <v>9217.5373360061385</v>
      </c>
    </row>
    <row r="147" spans="12:39">
      <c r="L147">
        <v>143</v>
      </c>
      <c r="M147" s="37">
        <f t="shared" si="50"/>
        <v>0.89849549892668412</v>
      </c>
      <c r="N147" s="37">
        <f t="shared" si="44"/>
        <v>23113.93890244055</v>
      </c>
      <c r="O147" s="37">
        <f t="shared" si="45"/>
        <v>11411.954052882951</v>
      </c>
      <c r="R147" s="37">
        <f t="shared" si="46"/>
        <v>-17820.242768291617</v>
      </c>
      <c r="S147" s="37">
        <f t="shared" si="47"/>
        <v>12738.367837018066</v>
      </c>
      <c r="V147" s="37">
        <f t="shared" si="48"/>
        <v>-1886.06109755945</v>
      </c>
      <c r="W147" s="37">
        <f t="shared" si="49"/>
        <v>-11088.045947117049</v>
      </c>
      <c r="Y147" s="37">
        <f t="shared" si="51"/>
        <v>-14656.030853968152</v>
      </c>
      <c r="Z147" s="37">
        <f t="shared" si="52"/>
        <v>-6648.5105592290492</v>
      </c>
      <c r="AA147" s="37">
        <f t="shared" si="53"/>
        <v>-8471.5920647864205</v>
      </c>
      <c r="AB147" s="37">
        <f t="shared" si="54"/>
        <v>1299.2278538947085</v>
      </c>
      <c r="AC147" s="37">
        <f t="shared" si="55"/>
        <v>1353.8066355519527</v>
      </c>
      <c r="AD147" s="37">
        <f t="shared" si="56"/>
        <v>-450.43797131172278</v>
      </c>
      <c r="AE147" s="39">
        <f t="shared" si="57"/>
        <v>311.96837671830195</v>
      </c>
      <c r="AF147" s="39">
        <f t="shared" si="58"/>
        <v>127.36276380706902</v>
      </c>
      <c r="AG147" s="39">
        <f t="shared" si="59"/>
        <v>-143.65082837485818</v>
      </c>
      <c r="AH147" s="39">
        <f t="shared" si="60"/>
        <v>447.52734675062317</v>
      </c>
      <c r="AI147" s="39">
        <f t="shared" si="61"/>
        <v>1185.4890872085089</v>
      </c>
      <c r="AJ147" s="39">
        <f t="shared" si="62"/>
        <v>-1025.328081869415</v>
      </c>
      <c r="AK147" s="37">
        <f t="shared" si="63"/>
        <v>37432.884281014311</v>
      </c>
      <c r="AL147" s="37">
        <f t="shared" si="64"/>
        <v>17485.162569290042</v>
      </c>
      <c r="AM147" s="37">
        <f t="shared" si="65"/>
        <v>12766.609092946082</v>
      </c>
    </row>
    <row r="148" spans="12:39">
      <c r="L148">
        <v>144</v>
      </c>
      <c r="M148" s="37">
        <f t="shared" si="50"/>
        <v>0.90477868423386376</v>
      </c>
      <c r="N148" s="37">
        <f t="shared" si="44"/>
        <v>23089.298065451658</v>
      </c>
      <c r="O148" s="37">
        <f t="shared" si="45"/>
        <v>11431.442160683106</v>
      </c>
      <c r="R148" s="37">
        <f t="shared" si="46"/>
        <v>-17837.49135418384</v>
      </c>
      <c r="S148" s="37">
        <f t="shared" si="47"/>
        <v>12752.009512478173</v>
      </c>
      <c r="V148" s="37">
        <f t="shared" si="48"/>
        <v>-1910.7019345483413</v>
      </c>
      <c r="W148" s="37">
        <f t="shared" si="49"/>
        <v>-11068.557839316894</v>
      </c>
      <c r="Y148" s="37">
        <f t="shared" si="51"/>
        <v>-18722.60105691737</v>
      </c>
      <c r="Z148" s="37">
        <f t="shared" si="52"/>
        <v>-6055.2013786956604</v>
      </c>
      <c r="AA148" s="37">
        <f t="shared" si="53"/>
        <v>-7794.6887470104439</v>
      </c>
      <c r="AB148" s="37">
        <f t="shared" si="54"/>
        <v>1074.0088682388471</v>
      </c>
      <c r="AC148" s="37">
        <f t="shared" si="55"/>
        <v>1243.3786426763315</v>
      </c>
      <c r="AD148" s="37">
        <f t="shared" si="56"/>
        <v>-35.919554409701504</v>
      </c>
      <c r="AE148" s="39">
        <f t="shared" si="57"/>
        <v>269.25833480851264</v>
      </c>
      <c r="AF148" s="39">
        <f t="shared" si="58"/>
        <v>94.256347755586603</v>
      </c>
      <c r="AG148" s="39">
        <f t="shared" si="59"/>
        <v>-42.358943817262478</v>
      </c>
      <c r="AH148" s="39">
        <f t="shared" si="60"/>
        <v>532.39544063957544</v>
      </c>
      <c r="AI148" s="39">
        <f t="shared" si="61"/>
        <v>1016.4792516850813</v>
      </c>
      <c r="AJ148" s="39">
        <f t="shared" si="62"/>
        <v>-662.57134280486355</v>
      </c>
      <c r="AK148" s="37">
        <f t="shared" si="63"/>
        <v>41026.617177512584</v>
      </c>
      <c r="AL148" s="37">
        <f t="shared" si="64"/>
        <v>16105.938015845571</v>
      </c>
      <c r="AM148" s="37">
        <f t="shared" si="65"/>
        <v>16380.451829635156</v>
      </c>
    </row>
    <row r="149" spans="12:39">
      <c r="L149">
        <v>145</v>
      </c>
      <c r="M149" s="37">
        <f t="shared" si="50"/>
        <v>0.9110618695410434</v>
      </c>
      <c r="N149" s="37">
        <f t="shared" si="44"/>
        <v>23064.53526826487</v>
      </c>
      <c r="O149" s="37">
        <f t="shared" si="45"/>
        <v>11450.775061878463</v>
      </c>
      <c r="R149" s="37">
        <f t="shared" si="46"/>
        <v>-17854.825312214591</v>
      </c>
      <c r="S149" s="37">
        <f t="shared" si="47"/>
        <v>12765.542543314923</v>
      </c>
      <c r="V149" s="37">
        <f t="shared" si="48"/>
        <v>-1935.464731735131</v>
      </c>
      <c r="W149" s="37">
        <f t="shared" si="49"/>
        <v>-11049.224938121537</v>
      </c>
      <c r="Y149" s="37">
        <f t="shared" si="51"/>
        <v>-22464.523100088049</v>
      </c>
      <c r="Z149" s="37">
        <f t="shared" si="52"/>
        <v>-5522.6868888774497</v>
      </c>
      <c r="AA149" s="37">
        <f t="shared" si="53"/>
        <v>-7172.9994256722784</v>
      </c>
      <c r="AB149" s="37">
        <f t="shared" si="54"/>
        <v>1056.0490910339963</v>
      </c>
      <c r="AC149" s="37">
        <f t="shared" si="55"/>
        <v>1153.2586400325338</v>
      </c>
      <c r="AD149" s="37">
        <f t="shared" si="56"/>
        <v>168.77999492395509</v>
      </c>
      <c r="AE149" s="39">
        <f t="shared" si="57"/>
        <v>235.60286756532818</v>
      </c>
      <c r="AF149" s="39">
        <f t="shared" si="58"/>
        <v>72.252839557229549</v>
      </c>
      <c r="AG149" s="39">
        <f t="shared" si="59"/>
        <v>86.901475017453649</v>
      </c>
      <c r="AH149" s="39">
        <f t="shared" si="60"/>
        <v>547.34499621015766</v>
      </c>
      <c r="AI149" s="39">
        <f t="shared" si="61"/>
        <v>830.7542974497519</v>
      </c>
      <c r="AJ149" s="39">
        <f t="shared" si="62"/>
        <v>-450.81784084343212</v>
      </c>
      <c r="AK149" s="37">
        <f t="shared" si="63"/>
        <v>44416.50702074232</v>
      </c>
      <c r="AL149" s="37">
        <f t="shared" si="64"/>
        <v>15717.114314052547</v>
      </c>
      <c r="AM149" s="37">
        <f t="shared" si="65"/>
        <v>19870.305254820934</v>
      </c>
    </row>
    <row r="150" spans="12:39">
      <c r="L150">
        <v>146</v>
      </c>
      <c r="M150" s="37">
        <f t="shared" si="50"/>
        <v>0.91734505484822304</v>
      </c>
      <c r="N150" s="37">
        <f t="shared" si="44"/>
        <v>23039.651488473013</v>
      </c>
      <c r="O150" s="37">
        <f t="shared" si="45"/>
        <v>11469.951993239187</v>
      </c>
      <c r="R150" s="37">
        <f t="shared" si="46"/>
        <v>-17872.243958068892</v>
      </c>
      <c r="S150" s="37">
        <f t="shared" si="47"/>
        <v>12778.966395267431</v>
      </c>
      <c r="V150" s="37">
        <f t="shared" si="48"/>
        <v>-1960.3485115269864</v>
      </c>
      <c r="W150" s="37">
        <f t="shared" si="49"/>
        <v>-11030.048006760813</v>
      </c>
      <c r="Y150" s="37">
        <f t="shared" si="51"/>
        <v>-25906.865482920122</v>
      </c>
      <c r="Z150" s="37">
        <f t="shared" si="52"/>
        <v>-4973.5648439949573</v>
      </c>
      <c r="AA150" s="37">
        <f t="shared" si="53"/>
        <v>-6596.3701056560112</v>
      </c>
      <c r="AB150" s="37">
        <f t="shared" si="54"/>
        <v>1140.4390884959739</v>
      </c>
      <c r="AC150" s="37">
        <f t="shared" si="55"/>
        <v>1085.3045010259302</v>
      </c>
      <c r="AD150" s="37">
        <f t="shared" si="56"/>
        <v>228.05810528505441</v>
      </c>
      <c r="AE150" s="39">
        <f t="shared" si="57"/>
        <v>209.25332950634447</v>
      </c>
      <c r="AF150" s="39">
        <f t="shared" si="58"/>
        <v>56.857181316165985</v>
      </c>
      <c r="AG150" s="39">
        <f t="shared" si="59"/>
        <v>196.16206106248629</v>
      </c>
      <c r="AH150" s="39">
        <f t="shared" si="60"/>
        <v>497.25956173269384</v>
      </c>
      <c r="AI150" s="39">
        <f t="shared" si="61"/>
        <v>679.8891104570996</v>
      </c>
      <c r="AJ150" s="39">
        <f t="shared" si="62"/>
        <v>-326.05863776380539</v>
      </c>
      <c r="AK150" s="37">
        <f t="shared" si="63"/>
        <v>47571.31613046112</v>
      </c>
      <c r="AL150" s="37">
        <f t="shared" si="64"/>
        <v>16096.54323047762</v>
      </c>
      <c r="AM150" s="37">
        <f t="shared" si="65"/>
        <v>23186.7726572391</v>
      </c>
    </row>
    <row r="151" spans="12:39">
      <c r="L151">
        <v>147</v>
      </c>
      <c r="M151" s="37">
        <f t="shared" si="50"/>
        <v>0.92362824015540268</v>
      </c>
      <c r="N151" s="37">
        <f t="shared" si="44"/>
        <v>23014.647708445111</v>
      </c>
      <c r="O151" s="37">
        <f t="shared" si="45"/>
        <v>11488.972197692865</v>
      </c>
      <c r="R151" s="37">
        <f t="shared" si="46"/>
        <v>-17889.746604088425</v>
      </c>
      <c r="S151" s="37">
        <f t="shared" si="47"/>
        <v>12792.280538385006</v>
      </c>
      <c r="V151" s="37">
        <f t="shared" si="48"/>
        <v>-1985.3522915548906</v>
      </c>
      <c r="W151" s="37">
        <f t="shared" si="49"/>
        <v>-11011.027802307135</v>
      </c>
      <c r="Y151" s="37">
        <f t="shared" si="51"/>
        <v>-29069.387473119885</v>
      </c>
      <c r="Z151" s="37">
        <f t="shared" si="52"/>
        <v>-4374.8380365863386</v>
      </c>
      <c r="AA151" s="37">
        <f t="shared" si="53"/>
        <v>-6053.7178551430461</v>
      </c>
      <c r="AB151" s="37">
        <f t="shared" si="54"/>
        <v>1254.4681411385011</v>
      </c>
      <c r="AC151" s="37">
        <f t="shared" si="55"/>
        <v>1015.8913732738389</v>
      </c>
      <c r="AD151" s="37">
        <f t="shared" si="56"/>
        <v>211.77132171242911</v>
      </c>
      <c r="AE151" s="39">
        <f t="shared" si="57"/>
        <v>188.46531444247182</v>
      </c>
      <c r="AF151" s="39">
        <f t="shared" si="58"/>
        <v>45.60878380119658</v>
      </c>
      <c r="AG151" s="39">
        <f t="shared" si="59"/>
        <v>262.24556841666924</v>
      </c>
      <c r="AH151" s="39">
        <f t="shared" si="60"/>
        <v>415.65514572786753</v>
      </c>
      <c r="AI151" s="39">
        <f t="shared" si="61"/>
        <v>565.18049041469783</v>
      </c>
      <c r="AJ151" s="39">
        <f t="shared" si="62"/>
        <v>-249.492607816635</v>
      </c>
      <c r="AK151" s="37">
        <f t="shared" si="63"/>
        <v>50485.805583176872</v>
      </c>
      <c r="AL151" s="37">
        <f t="shared" si="64"/>
        <v>16996.757270599392</v>
      </c>
      <c r="AM151" s="37">
        <f t="shared" si="65"/>
        <v>26310.254276231404</v>
      </c>
    </row>
    <row r="152" spans="12:39">
      <c r="L152">
        <v>148</v>
      </c>
      <c r="M152" s="37">
        <f t="shared" si="50"/>
        <v>0.92991142546258232</v>
      </c>
      <c r="N152" s="37">
        <f t="shared" si="44"/>
        <v>22989.52491528758</v>
      </c>
      <c r="O152" s="37">
        <f t="shared" si="45"/>
        <v>11507.834924354393</v>
      </c>
      <c r="R152" s="37">
        <f t="shared" si="46"/>
        <v>-17907.332559298695</v>
      </c>
      <c r="S152" s="37">
        <f t="shared" si="47"/>
        <v>12805.484447048075</v>
      </c>
      <c r="V152" s="37">
        <f t="shared" si="48"/>
        <v>-2010.4750847124196</v>
      </c>
      <c r="W152" s="37">
        <f t="shared" si="49"/>
        <v>-10992.165075645607</v>
      </c>
      <c r="Y152" s="37">
        <f t="shared" si="51"/>
        <v>-31969.25997903218</v>
      </c>
      <c r="Z152" s="37">
        <f t="shared" si="52"/>
        <v>-3721.1325508030345</v>
      </c>
      <c r="AA152" s="37">
        <f t="shared" si="53"/>
        <v>-5545.7721685061269</v>
      </c>
      <c r="AB152" s="37">
        <f t="shared" si="54"/>
        <v>1360.3538019947157</v>
      </c>
      <c r="AC152" s="37">
        <f t="shared" si="55"/>
        <v>940.25620263279779</v>
      </c>
      <c r="AD152" s="37">
        <f t="shared" si="56"/>
        <v>168.82877987536114</v>
      </c>
      <c r="AE152" s="39">
        <f t="shared" si="57"/>
        <v>171.85963376733568</v>
      </c>
      <c r="AF152" s="39">
        <f t="shared" si="58"/>
        <v>37.107700425478569</v>
      </c>
      <c r="AG152" s="39">
        <f t="shared" si="59"/>
        <v>289.58237934793999</v>
      </c>
      <c r="AH152" s="39">
        <f t="shared" si="60"/>
        <v>331.96690675702871</v>
      </c>
      <c r="AI152" s="39">
        <f t="shared" si="61"/>
        <v>478.81418951752204</v>
      </c>
      <c r="AJ152" s="39">
        <f t="shared" si="62"/>
        <v>-200.24582730714616</v>
      </c>
      <c r="AK152" s="37">
        <f t="shared" si="63"/>
        <v>53166.886296744211</v>
      </c>
      <c r="AL152" s="37">
        <f t="shared" si="64"/>
        <v>18208.038415006929</v>
      </c>
      <c r="AM152" s="37">
        <f t="shared" si="65"/>
        <v>29232.752774126177</v>
      </c>
    </row>
    <row r="153" spans="12:39">
      <c r="L153">
        <v>149</v>
      </c>
      <c r="M153" s="37">
        <f t="shared" si="50"/>
        <v>0.93619461076976196</v>
      </c>
      <c r="N153" s="37">
        <f t="shared" si="44"/>
        <v>22964.284100805282</v>
      </c>
      <c r="O153" s="37">
        <f t="shared" si="45"/>
        <v>11526.539428555621</v>
      </c>
      <c r="R153" s="37">
        <f t="shared" si="46"/>
        <v>-17925.001129436303</v>
      </c>
      <c r="S153" s="37">
        <f t="shared" si="47"/>
        <v>12818.577599988934</v>
      </c>
      <c r="V153" s="37">
        <f t="shared" si="48"/>
        <v>-2035.7158991947181</v>
      </c>
      <c r="W153" s="37">
        <f t="shared" si="49"/>
        <v>-10973.460571444379</v>
      </c>
      <c r="Y153" s="37">
        <f t="shared" si="51"/>
        <v>-34624.614037956148</v>
      </c>
      <c r="Z153" s="37">
        <f t="shared" si="52"/>
        <v>-3019.8520523212565</v>
      </c>
      <c r="AA153" s="37">
        <f t="shared" si="53"/>
        <v>-5075.644067189728</v>
      </c>
      <c r="AB153" s="37">
        <f t="shared" si="54"/>
        <v>1444.7681919323963</v>
      </c>
      <c r="AC153" s="37">
        <f t="shared" si="55"/>
        <v>863.7247462052087</v>
      </c>
      <c r="AD153" s="37">
        <f t="shared" si="56"/>
        <v>123.47129059258373</v>
      </c>
      <c r="AE153" s="39">
        <f t="shared" si="57"/>
        <v>158.4088546870077</v>
      </c>
      <c r="AF153" s="39">
        <f t="shared" si="58"/>
        <v>30.507084478931905</v>
      </c>
      <c r="AG153" s="39">
        <f t="shared" si="59"/>
        <v>292.11565351459149</v>
      </c>
      <c r="AH153" s="39">
        <f t="shared" si="60"/>
        <v>260.06174118894199</v>
      </c>
      <c r="AI153" s="39">
        <f t="shared" si="61"/>
        <v>413.20023800360957</v>
      </c>
      <c r="AJ153" s="39">
        <f t="shared" si="62"/>
        <v>-167.09753507529018</v>
      </c>
      <c r="AK153" s="37">
        <f t="shared" si="63"/>
        <v>55628.371771951075</v>
      </c>
      <c r="AL153" s="37">
        <f t="shared" si="64"/>
        <v>19580.4975223695</v>
      </c>
      <c r="AM153" s="37">
        <f t="shared" si="65"/>
        <v>31955.307880634471</v>
      </c>
    </row>
    <row r="154" spans="12:39">
      <c r="L154">
        <v>150</v>
      </c>
      <c r="M154" s="37">
        <f t="shared" si="50"/>
        <v>0.9424777960769416</v>
      </c>
      <c r="N154" s="37">
        <f t="shared" si="44"/>
        <v>22938.926261462351</v>
      </c>
      <c r="O154" s="37">
        <f t="shared" si="45"/>
        <v>11545.084971874749</v>
      </c>
      <c r="R154" s="37">
        <f t="shared" si="46"/>
        <v>-17942.751616976355</v>
      </c>
      <c r="S154" s="37">
        <f t="shared" si="47"/>
        <v>12831.559480312324</v>
      </c>
      <c r="V154" s="37">
        <f t="shared" si="48"/>
        <v>-2061.0737385376492</v>
      </c>
      <c r="W154" s="37">
        <f t="shared" si="49"/>
        <v>-10954.915028125251</v>
      </c>
      <c r="Y154" s="37">
        <f t="shared" si="51"/>
        <v>-37054.470478275362</v>
      </c>
      <c r="Z154" s="37">
        <f t="shared" si="52"/>
        <v>-2282.034045030985</v>
      </c>
      <c r="AA154" s="37">
        <f t="shared" si="53"/>
        <v>-4643.7816940871235</v>
      </c>
      <c r="AB154" s="37">
        <f t="shared" si="54"/>
        <v>1506.5038372286881</v>
      </c>
      <c r="AC154" s="37">
        <f t="shared" si="55"/>
        <v>791.7057799281481</v>
      </c>
      <c r="AD154" s="37">
        <f t="shared" si="56"/>
        <v>84.33747418864138</v>
      </c>
      <c r="AE154" s="39">
        <f t="shared" si="57"/>
        <v>147.36338542520795</v>
      </c>
      <c r="AF154" s="39">
        <f t="shared" si="58"/>
        <v>25.265568870178058</v>
      </c>
      <c r="AG154" s="39">
        <f t="shared" si="59"/>
        <v>281.7750157313119</v>
      </c>
      <c r="AH154" s="39">
        <f t="shared" si="60"/>
        <v>202.92452589833124</v>
      </c>
      <c r="AI154" s="39">
        <f t="shared" si="61"/>
        <v>362.56737877162823</v>
      </c>
      <c r="AJ154" s="39">
        <f t="shared" si="62"/>
        <v>-143.85262057986793</v>
      </c>
      <c r="AK154" s="37">
        <f t="shared" si="63"/>
        <v>57886.965645251606</v>
      </c>
      <c r="AL154" s="37">
        <f t="shared" si="64"/>
        <v>21016.739128077552</v>
      </c>
      <c r="AM154" s="37">
        <f t="shared" si="65"/>
        <v>34485.297384166159</v>
      </c>
    </row>
    <row r="155" spans="12:39">
      <c r="L155">
        <v>151</v>
      </c>
      <c r="M155" s="37">
        <f t="shared" si="50"/>
        <v>0.94876098138412124</v>
      </c>
      <c r="N155" s="37">
        <f t="shared" si="44"/>
        <v>22913.452398342866</v>
      </c>
      <c r="O155" s="37">
        <f t="shared" si="45"/>
        <v>11563.47082216548</v>
      </c>
      <c r="R155" s="37">
        <f t="shared" si="46"/>
        <v>-17960.583321159993</v>
      </c>
      <c r="S155" s="37">
        <f t="shared" si="47"/>
        <v>12844.429575515836</v>
      </c>
      <c r="V155" s="37">
        <f t="shared" si="48"/>
        <v>-2086.5476016571342</v>
      </c>
      <c r="W155" s="37">
        <f t="shared" si="49"/>
        <v>-10936.52917783452</v>
      </c>
      <c r="Y155" s="37">
        <f t="shared" si="51"/>
        <v>-39277.398102827909</v>
      </c>
      <c r="Z155" s="37">
        <f t="shared" si="52"/>
        <v>-1518.2399421430607</v>
      </c>
      <c r="AA155" s="37">
        <f t="shared" si="53"/>
        <v>-4247.9288041230493</v>
      </c>
      <c r="AB155" s="37">
        <f t="shared" si="54"/>
        <v>1548.6725743230088</v>
      </c>
      <c r="AC155" s="37">
        <f t="shared" si="55"/>
        <v>727.01283452439679</v>
      </c>
      <c r="AD155" s="37">
        <f t="shared" si="56"/>
        <v>53.00187938989643</v>
      </c>
      <c r="AE155" s="39">
        <f t="shared" si="57"/>
        <v>138.17887726316874</v>
      </c>
      <c r="AF155" s="39">
        <f t="shared" si="58"/>
        <v>21.022013616952993</v>
      </c>
      <c r="AG155" s="39">
        <f t="shared" si="59"/>
        <v>266.02004678347834</v>
      </c>
      <c r="AH155" s="39">
        <f t="shared" si="60"/>
        <v>158.94690310009929</v>
      </c>
      <c r="AI155" s="39">
        <f t="shared" si="61"/>
        <v>322.81391047774974</v>
      </c>
      <c r="AJ155" s="39">
        <f t="shared" si="62"/>
        <v>-126.96703732715585</v>
      </c>
      <c r="AK155" s="37">
        <f t="shared" si="63"/>
        <v>59959.474459798344</v>
      </c>
      <c r="AL155" s="37">
        <f t="shared" si="64"/>
        <v>22456.356093090722</v>
      </c>
      <c r="AM155" s="37">
        <f t="shared" si="65"/>
        <v>36833.379901352753</v>
      </c>
    </row>
    <row r="156" spans="12:39">
      <c r="L156">
        <v>152</v>
      </c>
      <c r="M156" s="37">
        <f t="shared" si="50"/>
        <v>0.95504416669130088</v>
      </c>
      <c r="N156" s="37">
        <f t="shared" si="44"/>
        <v>22887.863517111324</v>
      </c>
      <c r="O156" s="37">
        <f t="shared" si="45"/>
        <v>11581.696253585931</v>
      </c>
      <c r="R156" s="37">
        <f t="shared" si="46"/>
        <v>-17978.495538022074</v>
      </c>
      <c r="S156" s="37">
        <f t="shared" si="47"/>
        <v>12857.187377510152</v>
      </c>
      <c r="V156" s="37">
        <f t="shared" si="48"/>
        <v>-2112.1364828886772</v>
      </c>
      <c r="W156" s="37">
        <f t="shared" si="49"/>
        <v>-10918.303746414069</v>
      </c>
      <c r="Y156" s="37">
        <f t="shared" si="51"/>
        <v>-41310.485900573884</v>
      </c>
      <c r="Z156" s="37">
        <f t="shared" si="52"/>
        <v>-737.27842005781929</v>
      </c>
      <c r="AA156" s="37">
        <f t="shared" si="53"/>
        <v>-3884.422386860851</v>
      </c>
      <c r="AB156" s="37">
        <f t="shared" si="54"/>
        <v>1575.1735140179571</v>
      </c>
      <c r="AC156" s="37">
        <f t="shared" si="55"/>
        <v>670.39197650154892</v>
      </c>
      <c r="AD156" s="37">
        <f t="shared" si="56"/>
        <v>28.581597938308747</v>
      </c>
      <c r="AE156" s="39">
        <f t="shared" si="57"/>
        <v>130.45793181663228</v>
      </c>
      <c r="AF156" s="39">
        <f t="shared" si="58"/>
        <v>17.527479854281513</v>
      </c>
      <c r="AG156" s="39">
        <f t="shared" si="59"/>
        <v>248.85967500905369</v>
      </c>
      <c r="AH156" s="39">
        <f t="shared" si="60"/>
        <v>125.38783163200218</v>
      </c>
      <c r="AI156" s="39">
        <f t="shared" si="61"/>
        <v>291.0743696758629</v>
      </c>
      <c r="AJ156" s="39">
        <f t="shared" si="62"/>
        <v>-114.33371354797494</v>
      </c>
      <c r="AK156" s="37">
        <f t="shared" si="63"/>
        <v>61861.3646562539</v>
      </c>
      <c r="AL156" s="37">
        <f t="shared" si="64"/>
        <v>23862.64774052531</v>
      </c>
      <c r="AM156" s="37">
        <f t="shared" si="65"/>
        <v>39011.237011952377</v>
      </c>
    </row>
    <row r="157" spans="12:39">
      <c r="L157">
        <v>153</v>
      </c>
      <c r="M157" s="37">
        <f t="shared" si="50"/>
        <v>0.96132735199848052</v>
      </c>
      <c r="N157" s="37">
        <f t="shared" si="44"/>
        <v>22862.160627972939</v>
      </c>
      <c r="O157" s="37">
        <f t="shared" si="45"/>
        <v>11599.760546627273</v>
      </c>
      <c r="R157" s="37">
        <f t="shared" si="46"/>
        <v>-17996.487560418944</v>
      </c>
      <c r="S157" s="37">
        <f t="shared" si="47"/>
        <v>12869.832382639092</v>
      </c>
      <c r="V157" s="37">
        <f t="shared" si="48"/>
        <v>-2137.839372027061</v>
      </c>
      <c r="W157" s="37">
        <f t="shared" si="49"/>
        <v>-10900.239453372727</v>
      </c>
      <c r="Y157" s="37">
        <f t="shared" si="51"/>
        <v>-43168.898096941615</v>
      </c>
      <c r="Z157" s="37">
        <f t="shared" si="52"/>
        <v>53.881036693447868</v>
      </c>
      <c r="AA157" s="37">
        <f t="shared" si="53"/>
        <v>-3549.2263986100766</v>
      </c>
      <c r="AB157" s="37">
        <f t="shared" si="54"/>
        <v>1589.4643129871115</v>
      </c>
      <c r="AC157" s="37">
        <f t="shared" si="55"/>
        <v>621.48212587161925</v>
      </c>
      <c r="AD157" s="37">
        <f t="shared" si="56"/>
        <v>9.6498854478878116</v>
      </c>
      <c r="AE157" s="39">
        <f t="shared" si="57"/>
        <v>123.90720826377726</v>
      </c>
      <c r="AF157" s="39">
        <f t="shared" si="58"/>
        <v>14.605729099902666</v>
      </c>
      <c r="AG157" s="39">
        <f t="shared" si="59"/>
        <v>232.23390879575496</v>
      </c>
      <c r="AH157" s="39">
        <f t="shared" si="60"/>
        <v>99.695120351932857</v>
      </c>
      <c r="AI157" s="39">
        <f t="shared" si="61"/>
        <v>265.34100881208695</v>
      </c>
      <c r="AJ157" s="39">
        <f t="shared" si="62"/>
        <v>-104.65096400394771</v>
      </c>
      <c r="AK157" s="37">
        <f t="shared" si="63"/>
        <v>63606.244775159517</v>
      </c>
      <c r="AL157" s="37">
        <f t="shared" si="64"/>
        <v>25213.550354099501</v>
      </c>
      <c r="AM157" s="37">
        <f t="shared" si="65"/>
        <v>41030.282916422009</v>
      </c>
    </row>
    <row r="158" spans="12:39">
      <c r="L158">
        <v>154</v>
      </c>
      <c r="M158" s="37">
        <f t="shared" si="50"/>
        <v>0.96761053730566016</v>
      </c>
      <c r="N158" s="37">
        <f t="shared" si="44"/>
        <v>22836.344745633767</v>
      </c>
      <c r="O158" s="37">
        <f t="shared" si="45"/>
        <v>11617.662988142147</v>
      </c>
      <c r="R158" s="37">
        <f t="shared" si="46"/>
        <v>-18014.558678056364</v>
      </c>
      <c r="S158" s="37">
        <f t="shared" si="47"/>
        <v>12882.364091699503</v>
      </c>
      <c r="V158" s="37">
        <f t="shared" si="48"/>
        <v>-2163.6552543662333</v>
      </c>
      <c r="W158" s="37">
        <f t="shared" si="49"/>
        <v>-10882.337011857853</v>
      </c>
      <c r="Y158" s="37">
        <f t="shared" si="51"/>
        <v>-44865.826030512697</v>
      </c>
      <c r="Z158" s="37">
        <f t="shared" si="52"/>
        <v>849.81942886798959</v>
      </c>
      <c r="AA158" s="37">
        <f t="shared" si="53"/>
        <v>-3238.4853356742669</v>
      </c>
      <c r="AB158" s="37">
        <f t="shared" si="54"/>
        <v>1594.2892557110554</v>
      </c>
      <c r="AC158" s="37">
        <f t="shared" si="55"/>
        <v>579.47040507147256</v>
      </c>
      <c r="AD158" s="37">
        <f t="shared" si="56"/>
        <v>-5.1137912947286566</v>
      </c>
      <c r="AE158" s="39">
        <f t="shared" si="57"/>
        <v>118.30719030350271</v>
      </c>
      <c r="AF158" s="39">
        <f t="shared" si="58"/>
        <v>12.129101354717651</v>
      </c>
      <c r="AG158" s="39">
        <f t="shared" si="59"/>
        <v>216.97279025736566</v>
      </c>
      <c r="AH158" s="39">
        <f t="shared" si="60"/>
        <v>79.842117749921101</v>
      </c>
      <c r="AI158" s="39">
        <f t="shared" si="61"/>
        <v>244.19042451060423</v>
      </c>
      <c r="AJ158" s="39">
        <f t="shared" si="62"/>
        <v>-97.085010399367405</v>
      </c>
      <c r="AK158" s="37">
        <f t="shared" si="63"/>
        <v>65205.830170694091</v>
      </c>
      <c r="AL158" s="37">
        <f t="shared" si="64"/>
        <v>26495.945136266502</v>
      </c>
      <c r="AM158" s="37">
        <f t="shared" si="65"/>
        <v>42901.058973209801</v>
      </c>
    </row>
    <row r="159" spans="12:39">
      <c r="L159">
        <v>155</v>
      </c>
      <c r="M159" s="37">
        <f t="shared" si="50"/>
        <v>0.9738937226128398</v>
      </c>
      <c r="N159" s="37">
        <f t="shared" si="44"/>
        <v>22810.416889260636</v>
      </c>
      <c r="O159" s="37">
        <f t="shared" si="45"/>
        <v>11635.40287137282</v>
      </c>
      <c r="R159" s="37">
        <f t="shared" si="46"/>
        <v>-18032.708177517554</v>
      </c>
      <c r="S159" s="37">
        <f t="shared" si="47"/>
        <v>12894.782009960974</v>
      </c>
      <c r="V159" s="37">
        <f t="shared" si="48"/>
        <v>-2189.5831107393633</v>
      </c>
      <c r="W159" s="37">
        <f t="shared" si="49"/>
        <v>-10864.59712862718</v>
      </c>
      <c r="Y159" s="37">
        <f t="shared" si="51"/>
        <v>-46412.6348977159</v>
      </c>
      <c r="Z159" s="37">
        <f t="shared" si="52"/>
        <v>1646.3248328116763</v>
      </c>
      <c r="AA159" s="37">
        <f t="shared" si="53"/>
        <v>-2948.7501331385306</v>
      </c>
      <c r="AB159" s="37">
        <f t="shared" si="54"/>
        <v>1591.732360063691</v>
      </c>
      <c r="AC159" s="37">
        <f t="shared" si="55"/>
        <v>543.43764252635015</v>
      </c>
      <c r="AD159" s="37">
        <f t="shared" si="56"/>
        <v>-16.766400593867246</v>
      </c>
      <c r="AE159" s="39">
        <f t="shared" si="57"/>
        <v>113.49123479411031</v>
      </c>
      <c r="AF159" s="39">
        <f t="shared" si="58"/>
        <v>10.003229413062654</v>
      </c>
      <c r="AG159" s="39">
        <f t="shared" si="59"/>
        <v>203.34854188184048</v>
      </c>
      <c r="AH159" s="39">
        <f t="shared" si="60"/>
        <v>64.314206862761168</v>
      </c>
      <c r="AI159" s="39">
        <f t="shared" si="61"/>
        <v>226.5978658503993</v>
      </c>
      <c r="AJ159" s="39">
        <f t="shared" si="62"/>
        <v>-91.083836869691069</v>
      </c>
      <c r="AK159" s="37">
        <f t="shared" si="63"/>
        <v>66670.110147053681</v>
      </c>
      <c r="AL159" s="37">
        <f t="shared" si="64"/>
        <v>27702.187116524547</v>
      </c>
      <c r="AM159" s="37">
        <f t="shared" si="65"/>
        <v>44633.019835218402</v>
      </c>
    </row>
    <row r="160" spans="12:39">
      <c r="L160">
        <v>156</v>
      </c>
      <c r="M160" s="37">
        <f t="shared" si="50"/>
        <v>0.98017690792001944</v>
      </c>
      <c r="N160" s="37">
        <f t="shared" si="44"/>
        <v>22784.378082440922</v>
      </c>
      <c r="O160" s="37">
        <f t="shared" si="45"/>
        <v>11652.979495979074</v>
      </c>
      <c r="R160" s="37">
        <f t="shared" si="46"/>
        <v>-18050.935342291352</v>
      </c>
      <c r="S160" s="37">
        <f t="shared" si="47"/>
        <v>12907.085647185351</v>
      </c>
      <c r="V160" s="37">
        <f t="shared" si="48"/>
        <v>-2215.6219175590763</v>
      </c>
      <c r="W160" s="37">
        <f t="shared" si="49"/>
        <v>-10847.020504020926</v>
      </c>
      <c r="Y160" s="37">
        <f t="shared" si="51"/>
        <v>-47819.08025896937</v>
      </c>
      <c r="Z160" s="37">
        <f t="shared" si="52"/>
        <v>2440.0952127692885</v>
      </c>
      <c r="AA160" s="37">
        <f t="shared" si="53"/>
        <v>-2677.0313118753556</v>
      </c>
      <c r="AB160" s="37">
        <f t="shared" si="54"/>
        <v>1583.3491597667573</v>
      </c>
      <c r="AC160" s="37">
        <f t="shared" si="55"/>
        <v>512.5136255495031</v>
      </c>
      <c r="AD160" s="37">
        <f t="shared" si="56"/>
        <v>-26.108892691982092</v>
      </c>
      <c r="AE160" s="39">
        <f t="shared" si="57"/>
        <v>109.33107630798615</v>
      </c>
      <c r="AF160" s="39">
        <f t="shared" si="58"/>
        <v>8.1570678088147854</v>
      </c>
      <c r="AG160" s="39">
        <f t="shared" si="59"/>
        <v>191.36917378391288</v>
      </c>
      <c r="AH160" s="39">
        <f t="shared" si="60"/>
        <v>52.005052631132045</v>
      </c>
      <c r="AI160" s="39">
        <f t="shared" si="61"/>
        <v>211.81337545760411</v>
      </c>
      <c r="AJ160" s="39">
        <f t="shared" si="62"/>
        <v>-86.271013131928925</v>
      </c>
      <c r="AK160" s="37">
        <f t="shared" si="63"/>
        <v>68007.575192976612</v>
      </c>
      <c r="AL160" s="37">
        <f t="shared" si="64"/>
        <v>28827.996580528677</v>
      </c>
      <c r="AM160" s="37">
        <f t="shared" si="65"/>
        <v>46234.516924636715</v>
      </c>
    </row>
    <row r="161" spans="12:39">
      <c r="L161">
        <v>157</v>
      </c>
      <c r="M161" s="37">
        <f t="shared" si="50"/>
        <v>0.98646009322719908</v>
      </c>
      <c r="N161" s="37">
        <f t="shared" si="44"/>
        <v>22758.229353142135</v>
      </c>
      <c r="O161" s="37">
        <f t="shared" si="45"/>
        <v>11670.392168065868</v>
      </c>
      <c r="R161" s="37">
        <f t="shared" si="46"/>
        <v>-18069.239452800506</v>
      </c>
      <c r="S161" s="37">
        <f t="shared" si="47"/>
        <v>12919.274517646107</v>
      </c>
      <c r="V161" s="37">
        <f t="shared" si="48"/>
        <v>-2241.7706468578658</v>
      </c>
      <c r="W161" s="37">
        <f t="shared" si="49"/>
        <v>-10829.607831934132</v>
      </c>
      <c r="Y161" s="37">
        <f t="shared" si="51"/>
        <v>-49093.53171171336</v>
      </c>
      <c r="Z161" s="37">
        <f t="shared" si="52"/>
        <v>3228.5061810661691</v>
      </c>
      <c r="AA161" s="37">
        <f t="shared" si="53"/>
        <v>-2420.7744991006039</v>
      </c>
      <c r="AB161" s="37">
        <f t="shared" si="54"/>
        <v>1570.2947134207664</v>
      </c>
      <c r="AC161" s="37">
        <f t="shared" si="55"/>
        <v>485.93408725079985</v>
      </c>
      <c r="AD161" s="37">
        <f t="shared" si="56"/>
        <v>-33.735974579901267</v>
      </c>
      <c r="AE161" s="39">
        <f t="shared" si="57"/>
        <v>105.72672956170771</v>
      </c>
      <c r="AF161" s="39">
        <f t="shared" si="58"/>
        <v>6.5362279309043068</v>
      </c>
      <c r="AG161" s="39">
        <f t="shared" si="59"/>
        <v>180.92821225328396</v>
      </c>
      <c r="AH161" s="39">
        <f t="shared" si="60"/>
        <v>42.110881658640324</v>
      </c>
      <c r="AI161" s="39">
        <f t="shared" si="61"/>
        <v>199.2791454358082</v>
      </c>
      <c r="AJ161" s="39">
        <f t="shared" si="62"/>
        <v>-82.383084169445894</v>
      </c>
      <c r="AK161" s="37">
        <f t="shared" si="63"/>
        <v>69225.441738155263</v>
      </c>
      <c r="AL161" s="37">
        <f t="shared" si="64"/>
        <v>29871.168641355998</v>
      </c>
      <c r="AM161" s="37">
        <f t="shared" si="65"/>
        <v>47712.870133801836</v>
      </c>
    </row>
    <row r="162" spans="12:39">
      <c r="L162">
        <v>158</v>
      </c>
      <c r="M162" s="37">
        <f t="shared" si="50"/>
        <v>0.99274327853437871</v>
      </c>
      <c r="N162" s="37">
        <f t="shared" si="44"/>
        <v>22731.971733671329</v>
      </c>
      <c r="O162" s="37">
        <f t="shared" si="45"/>
        <v>11687.640200210721</v>
      </c>
      <c r="R162" s="37">
        <f t="shared" si="46"/>
        <v>-18087.61978643007</v>
      </c>
      <c r="S162" s="37">
        <f t="shared" si="47"/>
        <v>12931.348140147504</v>
      </c>
      <c r="V162" s="37">
        <f t="shared" si="48"/>
        <v>-2268.0282663286716</v>
      </c>
      <c r="W162" s="37">
        <f t="shared" si="49"/>
        <v>-10812.359799789279</v>
      </c>
      <c r="Y162" s="37">
        <f t="shared" si="51"/>
        <v>-50243.177200357313</v>
      </c>
      <c r="Z162" s="37">
        <f t="shared" si="52"/>
        <v>4009.4365409540646</v>
      </c>
      <c r="AA162" s="37">
        <f t="shared" si="53"/>
        <v>-2177.8074554752038</v>
      </c>
      <c r="AB162" s="37">
        <f t="shared" si="54"/>
        <v>1553.4267261308157</v>
      </c>
      <c r="AC162" s="37">
        <f t="shared" si="55"/>
        <v>463.05196419924437</v>
      </c>
      <c r="AD162" s="37">
        <f t="shared" si="56"/>
        <v>-40.08732999146261</v>
      </c>
      <c r="AE162" s="39">
        <f t="shared" si="57"/>
        <v>102.59937690336322</v>
      </c>
      <c r="AF162" s="39">
        <f t="shared" si="58"/>
        <v>5.0984259285176448</v>
      </c>
      <c r="AG162" s="39">
        <f t="shared" si="59"/>
        <v>171.8787129380878</v>
      </c>
      <c r="AH162" s="39">
        <f t="shared" si="60"/>
        <v>34.045706583453466</v>
      </c>
      <c r="AI162" s="39">
        <f t="shared" si="61"/>
        <v>188.57387435779336</v>
      </c>
      <c r="AJ162" s="39">
        <f t="shared" si="62"/>
        <v>-79.231462503433718</v>
      </c>
      <c r="AK162" s="37">
        <f t="shared" si="63"/>
        <v>70329.851247265018</v>
      </c>
      <c r="AL162" s="37">
        <f t="shared" si="64"/>
        <v>30830.773874962477</v>
      </c>
      <c r="AM162" s="37">
        <f t="shared" si="65"/>
        <v>49074.471579299679</v>
      </c>
    </row>
    <row r="163" spans="12:39">
      <c r="L163">
        <v>159</v>
      </c>
      <c r="M163" s="37">
        <f t="shared" si="50"/>
        <v>0.99902646384155835</v>
      </c>
      <c r="N163" s="37">
        <f t="shared" si="44"/>
        <v>22705.606260634362</v>
      </c>
      <c r="O163" s="37">
        <f t="shared" si="45"/>
        <v>11704.722911490855</v>
      </c>
      <c r="R163" s="37">
        <f t="shared" si="46"/>
        <v>-18106.075617555947</v>
      </c>
      <c r="S163" s="37">
        <f t="shared" si="47"/>
        <v>12943.3060380436</v>
      </c>
      <c r="V163" s="37">
        <f t="shared" si="48"/>
        <v>-2294.3937393656383</v>
      </c>
      <c r="W163" s="37">
        <f t="shared" si="49"/>
        <v>-10795.277088509145</v>
      </c>
      <c r="Y163" s="37">
        <f t="shared" si="51"/>
        <v>-51274.199432570014</v>
      </c>
      <c r="Z163" s="37">
        <f t="shared" si="52"/>
        <v>4781.1389877705396</v>
      </c>
      <c r="AA163" s="37">
        <f t="shared" si="53"/>
        <v>-1946.2814733755818</v>
      </c>
      <c r="AB163" s="37">
        <f t="shared" si="54"/>
        <v>1533.3830611350845</v>
      </c>
      <c r="AC163" s="37">
        <f t="shared" si="55"/>
        <v>443.32959616637663</v>
      </c>
      <c r="AD163" s="37">
        <f t="shared" si="56"/>
        <v>-45.489409711343335</v>
      </c>
      <c r="AE163" s="39">
        <f t="shared" si="57"/>
        <v>99.886293454336524</v>
      </c>
      <c r="AF163" s="39">
        <f t="shared" si="58"/>
        <v>3.8103121619210265</v>
      </c>
      <c r="AG163" s="39">
        <f t="shared" si="59"/>
        <v>164.06849030376154</v>
      </c>
      <c r="AH163" s="39">
        <f t="shared" si="60"/>
        <v>27.37881905587389</v>
      </c>
      <c r="AI163" s="39">
        <f t="shared" si="61"/>
        <v>179.37481240827853</v>
      </c>
      <c r="AJ163" s="39">
        <f t="shared" si="62"/>
        <v>-76.678540929138251</v>
      </c>
      <c r="AK163" s="37">
        <f t="shared" si="63"/>
        <v>71326.038092393617</v>
      </c>
      <c r="AL163" s="37">
        <f t="shared" si="64"/>
        <v>31706.656405447917</v>
      </c>
      <c r="AM163" s="37">
        <f t="shared" si="65"/>
        <v>50324.894364307991</v>
      </c>
    </row>
    <row r="164" spans="12:39">
      <c r="L164">
        <v>160</v>
      </c>
      <c r="M164" s="37">
        <f t="shared" si="50"/>
        <v>1.0053096491487379</v>
      </c>
      <c r="N164" s="37">
        <f t="shared" si="44"/>
        <v>22679.133974894965</v>
      </c>
      <c r="O164" s="37">
        <f t="shared" si="45"/>
        <v>11721.639627510085</v>
      </c>
      <c r="R164" s="37">
        <f t="shared" si="46"/>
        <v>-18124.606217573524</v>
      </c>
      <c r="S164" s="37">
        <f t="shared" si="47"/>
        <v>12955.14773925706</v>
      </c>
      <c r="V164" s="37">
        <f t="shared" si="48"/>
        <v>-2320.8660251050337</v>
      </c>
      <c r="W164" s="37">
        <f t="shared" si="49"/>
        <v>-10778.360372489915</v>
      </c>
      <c r="Y164" s="37">
        <f t="shared" si="51"/>
        <v>-52191.923969737007</v>
      </c>
      <c r="Z164" s="37">
        <f t="shared" si="52"/>
        <v>5542.1443421241638</v>
      </c>
      <c r="AA164" s="37">
        <f t="shared" si="53"/>
        <v>-1724.6166752923934</v>
      </c>
      <c r="AB164" s="37">
        <f t="shared" si="54"/>
        <v>1510.6383562794128</v>
      </c>
      <c r="AC164" s="37">
        <f t="shared" si="55"/>
        <v>426.3244886408703</v>
      </c>
      <c r="AD164" s="37">
        <f t="shared" si="56"/>
        <v>-50.186854249493315</v>
      </c>
      <c r="AE164" s="39">
        <f t="shared" si="57"/>
        <v>97.537178069464673</v>
      </c>
      <c r="AF164" s="39">
        <f t="shared" si="58"/>
        <v>2.645222698547232</v>
      </c>
      <c r="AG164" s="39">
        <f t="shared" si="59"/>
        <v>157.35582126216187</v>
      </c>
      <c r="AH164" s="39">
        <f t="shared" si="60"/>
        <v>21.79023343782325</v>
      </c>
      <c r="AI164" s="39">
        <f t="shared" si="61"/>
        <v>171.43148930924374</v>
      </c>
      <c r="AJ164" s="39">
        <f t="shared" si="62"/>
        <v>-74.622310385863798</v>
      </c>
      <c r="AK164" s="37">
        <f t="shared" si="63"/>
        <v>72218.467757418985</v>
      </c>
      <c r="AL164" s="37">
        <f t="shared" si="64"/>
        <v>32499.114540857627</v>
      </c>
      <c r="AM164" s="37">
        <f t="shared" si="65"/>
        <v>51468.994376596303</v>
      </c>
    </row>
    <row r="165" spans="12:39">
      <c r="L165">
        <v>161</v>
      </c>
      <c r="M165" s="37">
        <f t="shared" si="50"/>
        <v>1.0115928344559175</v>
      </c>
      <c r="N165" s="37">
        <f t="shared" si="44"/>
        <v>22652.555921533654</v>
      </c>
      <c r="O165" s="37">
        <f t="shared" si="45"/>
        <v>11738.389680425427</v>
      </c>
      <c r="R165" s="37">
        <f t="shared" si="46"/>
        <v>-18143.210854926441</v>
      </c>
      <c r="S165" s="37">
        <f t="shared" si="47"/>
        <v>12966.8727762978</v>
      </c>
      <c r="V165" s="37">
        <f t="shared" si="48"/>
        <v>-2347.444078466347</v>
      </c>
      <c r="W165" s="37">
        <f t="shared" si="49"/>
        <v>-10761.610319574573</v>
      </c>
      <c r="Y165" s="37">
        <f t="shared" si="51"/>
        <v>-53000.941746303091</v>
      </c>
      <c r="Z165" s="37">
        <f t="shared" si="52"/>
        <v>6291.1901634826836</v>
      </c>
      <c r="AA165" s="37">
        <f t="shared" si="53"/>
        <v>-1511.4544309719583</v>
      </c>
      <c r="AB165" s="37">
        <f t="shared" si="54"/>
        <v>1485.5449291546661</v>
      </c>
      <c r="AC165" s="37">
        <f t="shared" si="55"/>
        <v>411.67422243825268</v>
      </c>
      <c r="AD165" s="37">
        <f t="shared" si="56"/>
        <v>-54.365349663316579</v>
      </c>
      <c r="AE165" s="39">
        <f t="shared" si="57"/>
        <v>95.511467093449824</v>
      </c>
      <c r="AF165" s="39">
        <f t="shared" si="58"/>
        <v>1.5815576917349703</v>
      </c>
      <c r="AG165" s="39">
        <f t="shared" si="59"/>
        <v>151.61550207361259</v>
      </c>
      <c r="AH165" s="39">
        <f t="shared" si="60"/>
        <v>17.039303598725898</v>
      </c>
      <c r="AI165" s="39">
        <f t="shared" si="61"/>
        <v>164.54725327119027</v>
      </c>
      <c r="AJ165" s="39">
        <f t="shared" si="62"/>
        <v>-72.986210953777444</v>
      </c>
      <c r="AK165" s="37">
        <f t="shared" si="63"/>
        <v>73010.949295759725</v>
      </c>
      <c r="AL165" s="37">
        <f t="shared" si="64"/>
        <v>33208.695044315391</v>
      </c>
      <c r="AM165" s="37">
        <f t="shared" si="65"/>
        <v>52511.000629483009</v>
      </c>
    </row>
    <row r="166" spans="12:39">
      <c r="L166">
        <v>162</v>
      </c>
      <c r="M166" s="37">
        <f t="shared" si="50"/>
        <v>1.0178760197630972</v>
      </c>
      <c r="N166" s="37">
        <f t="shared" si="44"/>
        <v>22625.873149806459</v>
      </c>
      <c r="O166" s="37">
        <f t="shared" si="45"/>
        <v>11754.97240897347</v>
      </c>
      <c r="R166" s="37">
        <f t="shared" si="46"/>
        <v>-18161.888795135477</v>
      </c>
      <c r="S166" s="37">
        <f t="shared" si="47"/>
        <v>12978.480686281429</v>
      </c>
      <c r="V166" s="37">
        <f t="shared" si="48"/>
        <v>-2374.1268501935392</v>
      </c>
      <c r="W166" s="37">
        <f t="shared" si="49"/>
        <v>-10745.02759102653</v>
      </c>
      <c r="Y166" s="37">
        <f t="shared" si="51"/>
        <v>-53705.209683984292</v>
      </c>
      <c r="Z166" s="37">
        <f t="shared" si="52"/>
        <v>7027.1669593521019</v>
      </c>
      <c r="AA166" s="37">
        <f t="shared" si="53"/>
        <v>-1305.6173197528319</v>
      </c>
      <c r="AB166" s="37">
        <f t="shared" si="54"/>
        <v>1458.3622543230078</v>
      </c>
      <c r="AC166" s="37">
        <f t="shared" si="55"/>
        <v>399.08273769004302</v>
      </c>
      <c r="AD166" s="37">
        <f t="shared" si="56"/>
        <v>-58.168056832535498</v>
      </c>
      <c r="AE166" s="39">
        <f t="shared" si="57"/>
        <v>93.776345230048989</v>
      </c>
      <c r="AF166" s="39">
        <f t="shared" si="58"/>
        <v>0.60159322042612717</v>
      </c>
      <c r="AG166" s="39">
        <f t="shared" si="59"/>
        <v>146.74028647375772</v>
      </c>
      <c r="AH166" s="39">
        <f t="shared" si="60"/>
        <v>12.942639316396548</v>
      </c>
      <c r="AI166" s="39">
        <f t="shared" si="61"/>
        <v>158.56610598623629</v>
      </c>
      <c r="AJ166" s="39">
        <f t="shared" si="62"/>
        <v>-71.712289369358174</v>
      </c>
      <c r="AK166" s="37">
        <f t="shared" si="63"/>
        <v>73706.726325651034</v>
      </c>
      <c r="AL166" s="37">
        <f t="shared" si="64"/>
        <v>33836.059110495073</v>
      </c>
      <c r="AM166" s="37">
        <f t="shared" si="65"/>
        <v>53454.59320410221</v>
      </c>
    </row>
    <row r="167" spans="12:39">
      <c r="L167">
        <v>163</v>
      </c>
      <c r="M167" s="37">
        <f t="shared" si="50"/>
        <v>1.0241592050702768</v>
      </c>
      <c r="N167" s="37">
        <f t="shared" si="44"/>
        <v>22599.08671310353</v>
      </c>
      <c r="O167" s="37">
        <f t="shared" si="45"/>
        <v>11771.387158496487</v>
      </c>
      <c r="R167" s="37">
        <f t="shared" si="46"/>
        <v>-18180.63930082753</v>
      </c>
      <c r="S167" s="37">
        <f t="shared" si="47"/>
        <v>12989.971010947542</v>
      </c>
      <c r="V167" s="37">
        <f t="shared" si="48"/>
        <v>-2400.9132868964707</v>
      </c>
      <c r="W167" s="37">
        <f t="shared" si="49"/>
        <v>-10728.612841503513</v>
      </c>
      <c r="Y167" s="37">
        <f t="shared" si="51"/>
        <v>-54308.133001649447</v>
      </c>
      <c r="Z167" s="37">
        <f t="shared" si="52"/>
        <v>7749.0770794095397</v>
      </c>
      <c r="AA167" s="37">
        <f t="shared" si="53"/>
        <v>-1106.0759509078105</v>
      </c>
      <c r="AB167" s="37">
        <f t="shared" si="54"/>
        <v>1429.2782259067401</v>
      </c>
      <c r="AC167" s="37">
        <f t="shared" si="55"/>
        <v>388.30868666848301</v>
      </c>
      <c r="AD167" s="37">
        <f t="shared" si="56"/>
        <v>-61.707414412286418</v>
      </c>
      <c r="AE167" s="39">
        <f t="shared" si="57"/>
        <v>92.305258493220762</v>
      </c>
      <c r="AF167" s="39">
        <f t="shared" si="58"/>
        <v>-0.30940252797259343</v>
      </c>
      <c r="AG167" s="39">
        <f t="shared" si="59"/>
        <v>142.6402467690009</v>
      </c>
      <c r="AH167" s="39">
        <f t="shared" si="60"/>
        <v>9.3584865383256837</v>
      </c>
      <c r="AI167" s="39">
        <f t="shared" si="61"/>
        <v>153.36318140626136</v>
      </c>
      <c r="AJ167" s="39">
        <f t="shared" si="62"/>
        <v>-70.75649842263951</v>
      </c>
      <c r="AK167" s="37">
        <f t="shared" si="63"/>
        <v>74308.550447322748</v>
      </c>
      <c r="AL167" s="37">
        <f t="shared" si="64"/>
        <v>34381.894131261986</v>
      </c>
      <c r="AM167" s="37">
        <f t="shared" si="65"/>
        <v>54302.969422244933</v>
      </c>
    </row>
    <row r="168" spans="12:39">
      <c r="L168">
        <v>164</v>
      </c>
      <c r="M168" s="37">
        <f t="shared" si="50"/>
        <v>1.0304423903774564</v>
      </c>
      <c r="N168" s="37">
        <f t="shared" si="44"/>
        <v>22572.197668907513</v>
      </c>
      <c r="O168" s="37">
        <f t="shared" si="45"/>
        <v>11787.633280968272</v>
      </c>
      <c r="R168" s="37">
        <f t="shared" si="46"/>
        <v>-18199.461631764741</v>
      </c>
      <c r="S168" s="37">
        <f t="shared" si="47"/>
        <v>13001.343296677791</v>
      </c>
      <c r="V168" s="37">
        <f t="shared" si="48"/>
        <v>-2427.8023310924864</v>
      </c>
      <c r="W168" s="37">
        <f t="shared" si="49"/>
        <v>-10712.366719031728</v>
      </c>
      <c r="Y168" s="37">
        <f t="shared" si="51"/>
        <v>-54812.632391269792</v>
      </c>
      <c r="Z168" s="37">
        <f t="shared" si="52"/>
        <v>8456.002765561374</v>
      </c>
      <c r="AA168" s="37">
        <f t="shared" si="53"/>
        <v>-911.92160757356896</v>
      </c>
      <c r="AB168" s="37">
        <f t="shared" si="54"/>
        <v>1398.424518700597</v>
      </c>
      <c r="AC168" s="37">
        <f t="shared" si="55"/>
        <v>379.15589212148205</v>
      </c>
      <c r="AD168" s="37">
        <f t="shared" si="56"/>
        <v>-65.073672503798733</v>
      </c>
      <c r="AE168" s="39">
        <f t="shared" si="57"/>
        <v>91.0767945825787</v>
      </c>
      <c r="AF168" s="39">
        <f t="shared" si="58"/>
        <v>-1.1638364366600065</v>
      </c>
      <c r="AG168" s="39">
        <f t="shared" si="59"/>
        <v>139.24132900817307</v>
      </c>
      <c r="AH168" s="39">
        <f t="shared" si="60"/>
        <v>6.1755808779945118</v>
      </c>
      <c r="AI168" s="39">
        <f t="shared" si="61"/>
        <v>148.83776853073027</v>
      </c>
      <c r="AJ168" s="39">
        <f t="shared" si="62"/>
        <v>-70.085416945133233</v>
      </c>
      <c r="AK168" s="37">
        <f t="shared" si="63"/>
        <v>74818.740343573212</v>
      </c>
      <c r="AL168" s="37">
        <f t="shared" si="64"/>
        <v>34846.854972431021</v>
      </c>
      <c r="AM168" s="37">
        <f t="shared" si="65"/>
        <v>55058.899475795944</v>
      </c>
    </row>
    <row r="169" spans="12:39">
      <c r="L169">
        <v>165</v>
      </c>
      <c r="M169" s="37">
        <f t="shared" si="50"/>
        <v>1.0367255756846361</v>
      </c>
      <c r="N169" s="37">
        <f t="shared" si="44"/>
        <v>22545.207078751839</v>
      </c>
      <c r="O169" s="37">
        <f t="shared" si="45"/>
        <v>11803.71013501973</v>
      </c>
      <c r="R169" s="37">
        <f t="shared" si="46"/>
        <v>-18218.355044873715</v>
      </c>
      <c r="S169" s="37">
        <f t="shared" si="47"/>
        <v>13012.597094513811</v>
      </c>
      <c r="V169" s="37">
        <f t="shared" si="48"/>
        <v>-2454.7929212481622</v>
      </c>
      <c r="W169" s="37">
        <f t="shared" si="49"/>
        <v>-10696.28986498027</v>
      </c>
      <c r="Y169" s="37">
        <f t="shared" si="51"/>
        <v>-55221.198708541393</v>
      </c>
      <c r="Z169" s="37">
        <f t="shared" si="52"/>
        <v>9147.080815848698</v>
      </c>
      <c r="AA169" s="37">
        <f t="shared" si="53"/>
        <v>-722.34366151282791</v>
      </c>
      <c r="AB169" s="37">
        <f t="shared" si="54"/>
        <v>1365.8876824486977</v>
      </c>
      <c r="AC169" s="37">
        <f t="shared" si="55"/>
        <v>371.46569809071161</v>
      </c>
      <c r="AD169" s="37">
        <f t="shared" si="56"/>
        <v>-68.341135223811435</v>
      </c>
      <c r="AE169" s="39">
        <f t="shared" si="57"/>
        <v>90.073836722665206</v>
      </c>
      <c r="AF169" s="39">
        <f t="shared" si="58"/>
        <v>-1.9723015722021937</v>
      </c>
      <c r="AG169" s="39">
        <f t="shared" si="59"/>
        <v>136.48372531554898</v>
      </c>
      <c r="AH169" s="39">
        <f t="shared" si="60"/>
        <v>3.3051001077325139</v>
      </c>
      <c r="AI169" s="39">
        <f t="shared" si="61"/>
        <v>144.90813605249741</v>
      </c>
      <c r="AJ169" s="39">
        <f t="shared" si="62"/>
        <v>-69.67393375934175</v>
      </c>
      <c r="AK169" s="37">
        <f t="shared" si="63"/>
        <v>75239.229198363057</v>
      </c>
      <c r="AL169" s="37">
        <f t="shared" si="64"/>
        <v>35231.524372374966</v>
      </c>
      <c r="AM169" s="37">
        <f t="shared" si="65"/>
        <v>55724.77287212509</v>
      </c>
    </row>
    <row r="170" spans="12:39">
      <c r="L170">
        <v>166</v>
      </c>
      <c r="M170" s="37">
        <f t="shared" si="50"/>
        <v>1.0430087609918157</v>
      </c>
      <c r="N170" s="37">
        <f t="shared" si="44"/>
        <v>22518.116008178786</v>
      </c>
      <c r="O170" s="37">
        <f t="shared" si="45"/>
        <v>11819.617085964186</v>
      </c>
      <c r="R170" s="37">
        <f t="shared" si="46"/>
        <v>-18237.318794274852</v>
      </c>
      <c r="S170" s="37">
        <f t="shared" si="47"/>
        <v>13023.731960174931</v>
      </c>
      <c r="V170" s="37">
        <f t="shared" si="48"/>
        <v>-2481.8839918212147</v>
      </c>
      <c r="W170" s="37">
        <f t="shared" si="49"/>
        <v>-10680.382914035814</v>
      </c>
      <c r="Y170" s="37">
        <f t="shared" si="51"/>
        <v>-55535.937327036467</v>
      </c>
      <c r="Z170" s="37">
        <f t="shared" si="52"/>
        <v>9821.4820151700696</v>
      </c>
      <c r="AA170" s="37">
        <f t="shared" si="53"/>
        <v>-536.6108124674721</v>
      </c>
      <c r="AB170" s="37">
        <f t="shared" si="54"/>
        <v>1331.717114836792</v>
      </c>
      <c r="AC170" s="37">
        <f t="shared" si="55"/>
        <v>365.11093399896833</v>
      </c>
      <c r="AD170" s="37">
        <f t="shared" si="56"/>
        <v>-71.57280518197399</v>
      </c>
      <c r="AE170" s="39">
        <f t="shared" si="57"/>
        <v>89.282924836230237</v>
      </c>
      <c r="AF170" s="39">
        <f t="shared" si="58"/>
        <v>-2.7439747437264179</v>
      </c>
      <c r="AG170" s="39">
        <f t="shared" si="59"/>
        <v>134.32035803891642</v>
      </c>
      <c r="AH170" s="39">
        <f t="shared" si="60"/>
        <v>0.67477042797738962</v>
      </c>
      <c r="AI170" s="39">
        <f t="shared" si="61"/>
        <v>141.50765112382172</v>
      </c>
      <c r="AJ170" s="39">
        <f t="shared" si="62"/>
        <v>-69.503600866224957</v>
      </c>
      <c r="AK170" s="37">
        <f t="shared" si="63"/>
        <v>75571.602514573809</v>
      </c>
      <c r="AL170" s="37">
        <f t="shared" si="64"/>
        <v>35536.385724802843</v>
      </c>
      <c r="AM170" s="37">
        <f t="shared" si="65"/>
        <v>56302.636980443189</v>
      </c>
    </row>
    <row r="171" spans="12:39">
      <c r="L171">
        <v>167</v>
      </c>
      <c r="M171" s="37">
        <f t="shared" si="50"/>
        <v>1.0492919462989954</v>
      </c>
      <c r="N171" s="37">
        <f t="shared" si="44"/>
        <v>22490.925526697436</v>
      </c>
      <c r="O171" s="37">
        <f t="shared" si="45"/>
        <v>11835.353505822462</v>
      </c>
      <c r="R171" s="37">
        <f t="shared" si="46"/>
        <v>-18256.352131311796</v>
      </c>
      <c r="S171" s="37">
        <f t="shared" si="47"/>
        <v>13034.747454075723</v>
      </c>
      <c r="V171" s="37">
        <f t="shared" si="48"/>
        <v>-2509.0744733025649</v>
      </c>
      <c r="W171" s="37">
        <f t="shared" si="49"/>
        <v>-10664.646494177538</v>
      </c>
      <c r="Y171" s="37">
        <f t="shared" si="51"/>
        <v>-55758.603866520338</v>
      </c>
      <c r="Z171" s="37">
        <f t="shared" si="52"/>
        <v>10478.393971940719</v>
      </c>
      <c r="AA171" s="37">
        <f t="shared" si="53"/>
        <v>-354.05534546798793</v>
      </c>
      <c r="AB171" s="37">
        <f t="shared" si="54"/>
        <v>1295.9307122458049</v>
      </c>
      <c r="AC171" s="37">
        <f t="shared" si="55"/>
        <v>359.99122421003096</v>
      </c>
      <c r="AD171" s="37">
        <f t="shared" si="56"/>
        <v>-74.823919820621427</v>
      </c>
      <c r="AE171" s="39">
        <f t="shared" si="57"/>
        <v>88.69377727252855</v>
      </c>
      <c r="AF171" s="39">
        <f t="shared" si="58"/>
        <v>-3.4869308315473462</v>
      </c>
      <c r="AG171" s="39">
        <f t="shared" si="59"/>
        <v>132.71560671867158</v>
      </c>
      <c r="AH171" s="39">
        <f t="shared" si="60"/>
        <v>-1.775526429210277</v>
      </c>
      <c r="AI171" s="39">
        <f t="shared" si="61"/>
        <v>138.58184021883085</v>
      </c>
      <c r="AJ171" s="39">
        <f t="shared" si="62"/>
        <v>-69.561462559863799</v>
      </c>
      <c r="AK171" s="37">
        <f t="shared" si="63"/>
        <v>75817.12794914117</v>
      </c>
      <c r="AL171" s="37">
        <f t="shared" si="64"/>
        <v>35761.803803431285</v>
      </c>
      <c r="AM171" s="37">
        <f t="shared" si="65"/>
        <v>56794.228807756153</v>
      </c>
    </row>
    <row r="172" spans="12:39">
      <c r="L172">
        <v>168</v>
      </c>
      <c r="M172" s="37">
        <f t="shared" si="50"/>
        <v>1.055575131606175</v>
      </c>
      <c r="N172" s="37">
        <f t="shared" si="44"/>
        <v>22463.63670774144</v>
      </c>
      <c r="O172" s="37">
        <f t="shared" si="45"/>
        <v>11850.918773347639</v>
      </c>
      <c r="R172" s="37">
        <f t="shared" si="46"/>
        <v>-18275.454304580991</v>
      </c>
      <c r="S172" s="37">
        <f t="shared" si="47"/>
        <v>13045.643141343347</v>
      </c>
      <c r="V172" s="37">
        <f t="shared" si="48"/>
        <v>-2536.3632922585616</v>
      </c>
      <c r="W172" s="37">
        <f t="shared" si="49"/>
        <v>-10649.081226652361</v>
      </c>
      <c r="Y172" s="37">
        <f t="shared" si="51"/>
        <v>-55890.632636228082</v>
      </c>
      <c r="Z172" s="37">
        <f t="shared" si="52"/>
        <v>11117.006338086043</v>
      </c>
      <c r="AA172" s="37">
        <f t="shared" si="53"/>
        <v>-174.05973336297245</v>
      </c>
      <c r="AB172" s="37">
        <f t="shared" si="54"/>
        <v>1258.5187523354941</v>
      </c>
      <c r="AC172" s="37">
        <f t="shared" si="55"/>
        <v>356.02941563846622</v>
      </c>
      <c r="AD172" s="37">
        <f t="shared" si="56"/>
        <v>-78.144729211715969</v>
      </c>
      <c r="AE172" s="39">
        <f t="shared" si="57"/>
        <v>88.298940034863037</v>
      </c>
      <c r="AF172" s="39">
        <f t="shared" si="58"/>
        <v>-4.208395880467557</v>
      </c>
      <c r="AG172" s="39">
        <f t="shared" si="59"/>
        <v>131.64433069005074</v>
      </c>
      <c r="AH172" s="39">
        <f t="shared" si="60"/>
        <v>-4.0971011362293881</v>
      </c>
      <c r="AI172" s="39">
        <f t="shared" si="61"/>
        <v>136.08614491355246</v>
      </c>
      <c r="AJ172" s="39">
        <f t="shared" si="62"/>
        <v>-69.839232195019022</v>
      </c>
      <c r="AK172" s="37">
        <f t="shared" si="63"/>
        <v>75976.778404830256</v>
      </c>
      <c r="AL172" s="37">
        <f t="shared" si="64"/>
        <v>35908.010445971588</v>
      </c>
      <c r="AM172" s="37">
        <f t="shared" si="65"/>
        <v>57201.000954346506</v>
      </c>
    </row>
    <row r="173" spans="12:39">
      <c r="L173">
        <v>169</v>
      </c>
      <c r="M173" s="37">
        <f t="shared" si="50"/>
        <v>1.0618583169133546</v>
      </c>
      <c r="N173" s="37">
        <f t="shared" si="44"/>
        <v>22436.250628626643</v>
      </c>
      <c r="O173" s="37">
        <f t="shared" si="45"/>
        <v>11866.312274049611</v>
      </c>
      <c r="R173" s="37">
        <f t="shared" si="46"/>
        <v>-18294.62455996135</v>
      </c>
      <c r="S173" s="37">
        <f t="shared" si="47"/>
        <v>13056.418591834728</v>
      </c>
      <c r="V173" s="37">
        <f t="shared" si="48"/>
        <v>-2563.7493713733579</v>
      </c>
      <c r="W173" s="37">
        <f t="shared" si="49"/>
        <v>-10633.687725950389</v>
      </c>
      <c r="Y173" s="37">
        <f t="shared" si="51"/>
        <v>-55933.158825954757</v>
      </c>
      <c r="Z173" s="37">
        <f t="shared" si="52"/>
        <v>11736.497623102325</v>
      </c>
      <c r="AA173" s="37">
        <f t="shared" si="53"/>
        <v>3.9549744562606577</v>
      </c>
      <c r="AB173" s="37">
        <f t="shared" si="54"/>
        <v>1219.4463877296362</v>
      </c>
      <c r="AC173" s="37">
        <f t="shared" si="55"/>
        <v>353.16894403587077</v>
      </c>
      <c r="AD173" s="37">
        <f t="shared" si="56"/>
        <v>-81.582770001515371</v>
      </c>
      <c r="AE173" s="39">
        <f t="shared" si="57"/>
        <v>88.093540428045642</v>
      </c>
      <c r="AF173" s="39">
        <f t="shared" si="58"/>
        <v>-4.914955210667693</v>
      </c>
      <c r="AG173" s="39">
        <f t="shared" si="59"/>
        <v>131.09120665692083</v>
      </c>
      <c r="AH173" s="39">
        <f t="shared" si="60"/>
        <v>-6.3350837000429019</v>
      </c>
      <c r="AI173" s="39">
        <f t="shared" si="61"/>
        <v>133.98419695090428</v>
      </c>
      <c r="AJ173" s="39">
        <f t="shared" si="62"/>
        <v>-70.332731090804771</v>
      </c>
      <c r="AK173" s="37">
        <f t="shared" si="63"/>
        <v>76051.249308596001</v>
      </c>
      <c r="AL173" s="37">
        <f t="shared" si="64"/>
        <v>35975.093150766552</v>
      </c>
      <c r="AM173" s="37">
        <f t="shared" si="65"/>
        <v>57524.142524161878</v>
      </c>
    </row>
    <row r="174" spans="12:39">
      <c r="L174">
        <v>170</v>
      </c>
      <c r="M174" s="37">
        <f t="shared" si="50"/>
        <v>1.0681415022205343</v>
      </c>
      <c r="N174" s="37">
        <f t="shared" si="44"/>
        <v>22408.768370508558</v>
      </c>
      <c r="O174" s="37">
        <f t="shared" si="45"/>
        <v>11881.53340021933</v>
      </c>
      <c r="R174" s="37">
        <f t="shared" si="46"/>
        <v>-18313.862140644011</v>
      </c>
      <c r="S174" s="37">
        <f t="shared" si="47"/>
        <v>13067.07338015353</v>
      </c>
      <c r="V174" s="37">
        <f t="shared" si="48"/>
        <v>-2591.2316294914435</v>
      </c>
      <c r="W174" s="37">
        <f t="shared" si="49"/>
        <v>-10618.46659978067</v>
      </c>
      <c r="Y174" s="37">
        <f t="shared" si="51"/>
        <v>-55887.035220722144</v>
      </c>
      <c r="Z174" s="37">
        <f t="shared" si="52"/>
        <v>12336.022970716953</v>
      </c>
      <c r="AA174" s="37">
        <f t="shared" si="53"/>
        <v>180.53944647419604</v>
      </c>
      <c r="AB174" s="37">
        <f t="shared" si="54"/>
        <v>1178.6550027288786</v>
      </c>
      <c r="AC174" s="37">
        <f t="shared" si="55"/>
        <v>351.37200697858884</v>
      </c>
      <c r="AD174" s="37">
        <f t="shared" si="56"/>
        <v>-85.184827830066155</v>
      </c>
      <c r="AE174" s="39">
        <f t="shared" si="57"/>
        <v>88.075129542485357</v>
      </c>
      <c r="AF174" s="39">
        <f t="shared" si="58"/>
        <v>-5.6127288195865992</v>
      </c>
      <c r="AG174" s="39">
        <f t="shared" si="59"/>
        <v>131.05039101169808</v>
      </c>
      <c r="AH174" s="39">
        <f t="shared" si="60"/>
        <v>-8.5305660342761787</v>
      </c>
      <c r="AI174" s="39">
        <f t="shared" si="61"/>
        <v>132.24648642440545</v>
      </c>
      <c r="AJ174" s="39">
        <f t="shared" si="62"/>
        <v>-71.041532976203371</v>
      </c>
      <c r="AK174" s="37">
        <f t="shared" si="63"/>
        <v>76040.970751065674</v>
      </c>
      <c r="AL174" s="37">
        <f t="shared" si="64"/>
        <v>35962.985141017823</v>
      </c>
      <c r="AM174" s="37">
        <f t="shared" si="65"/>
        <v>57764.59560501208</v>
      </c>
    </row>
    <row r="175" spans="12:39">
      <c r="L175">
        <v>171</v>
      </c>
      <c r="M175" s="37">
        <f t="shared" si="50"/>
        <v>1.0744246875277139</v>
      </c>
      <c r="N175" s="37">
        <f t="shared" si="44"/>
        <v>22381.191018339676</v>
      </c>
      <c r="O175" s="37">
        <f t="shared" si="45"/>
        <v>11896.581550952793</v>
      </c>
      <c r="R175" s="37">
        <f t="shared" si="46"/>
        <v>-18333.166287162228</v>
      </c>
      <c r="S175" s="37">
        <f t="shared" si="47"/>
        <v>13077.607085666954</v>
      </c>
      <c r="V175" s="37">
        <f t="shared" si="48"/>
        <v>-2618.8089816603247</v>
      </c>
      <c r="W175" s="37">
        <f t="shared" si="49"/>
        <v>-10603.418449047207</v>
      </c>
      <c r="Y175" s="37">
        <f t="shared" si="51"/>
        <v>-55752.843996612719</v>
      </c>
      <c r="Z175" s="37">
        <f t="shared" si="52"/>
        <v>12914.702368602635</v>
      </c>
      <c r="AA175" s="37">
        <f t="shared" si="53"/>
        <v>356.22544996349046</v>
      </c>
      <c r="AB175" s="37">
        <f t="shared" si="54"/>
        <v>1136.0625888138454</v>
      </c>
      <c r="AC175" s="37">
        <f t="shared" si="55"/>
        <v>350.6184560978088</v>
      </c>
      <c r="AD175" s="37">
        <f t="shared" si="56"/>
        <v>-88.99874187422688</v>
      </c>
      <c r="AE175" s="39">
        <f t="shared" si="57"/>
        <v>88.243603885850646</v>
      </c>
      <c r="AF175" s="39">
        <f t="shared" si="58"/>
        <v>-6.3075235960264875</v>
      </c>
      <c r="AG175" s="39">
        <f t="shared" si="59"/>
        <v>131.52552066321553</v>
      </c>
      <c r="AH175" s="39">
        <f t="shared" si="60"/>
        <v>-10.7224406160553</v>
      </c>
      <c r="AI175" s="39">
        <f t="shared" si="61"/>
        <v>130.84933154874261</v>
      </c>
      <c r="AJ175" s="39">
        <f t="shared" si="62"/>
        <v>-71.968777662145101</v>
      </c>
      <c r="AK175" s="37">
        <f t="shared" si="63"/>
        <v>75946.114945503927</v>
      </c>
      <c r="AL175" s="37">
        <f t="shared" si="64"/>
        <v>35871.455835297005</v>
      </c>
      <c r="AM175" s="37">
        <f t="shared" si="65"/>
        <v>57923.067788854016</v>
      </c>
    </row>
    <row r="176" spans="12:39">
      <c r="L176">
        <v>172</v>
      </c>
      <c r="M176" s="37">
        <f t="shared" si="50"/>
        <v>1.0807078728348936</v>
      </c>
      <c r="N176" s="37">
        <f t="shared" si="44"/>
        <v>22353.519660826641</v>
      </c>
      <c r="O176" s="37">
        <f t="shared" si="45"/>
        <v>11911.456132174779</v>
      </c>
      <c r="R176" s="37">
        <f t="shared" si="46"/>
        <v>-18352.536237421351</v>
      </c>
      <c r="S176" s="37">
        <f t="shared" si="47"/>
        <v>13088.019292522344</v>
      </c>
      <c r="V176" s="37">
        <f t="shared" si="48"/>
        <v>-2646.4803391733581</v>
      </c>
      <c r="W176" s="37">
        <f t="shared" si="49"/>
        <v>-10588.543867825221</v>
      </c>
      <c r="Y176" s="37">
        <f t="shared" si="51"/>
        <v>-55530.903964618752</v>
      </c>
      <c r="Z176" s="37">
        <f t="shared" si="52"/>
        <v>13471.60882027528</v>
      </c>
      <c r="AA176" s="37">
        <f t="shared" si="53"/>
        <v>531.53467801239481</v>
      </c>
      <c r="AB176" s="37">
        <f t="shared" si="54"/>
        <v>1091.5632178767319</v>
      </c>
      <c r="AC176" s="37">
        <f t="shared" si="55"/>
        <v>350.9053633997753</v>
      </c>
      <c r="AD176" s="37">
        <f t="shared" si="56"/>
        <v>-93.075184607447866</v>
      </c>
      <c r="AE176" s="39">
        <f t="shared" si="57"/>
        <v>88.60120140493575</v>
      </c>
      <c r="AF176" s="39">
        <f t="shared" si="58"/>
        <v>-7.0049699927402633</v>
      </c>
      <c r="AG176" s="39">
        <f t="shared" si="59"/>
        <v>132.53007896946292</v>
      </c>
      <c r="AH176" s="39">
        <f t="shared" si="60"/>
        <v>-12.949082059953261</v>
      </c>
      <c r="AI176" s="39">
        <f t="shared" si="61"/>
        <v>129.77408302537663</v>
      </c>
      <c r="AJ176" s="39">
        <f t="shared" si="62"/>
        <v>-73.12113255475434</v>
      </c>
      <c r="AK176" s="37">
        <f t="shared" si="63"/>
        <v>75766.599274448425</v>
      </c>
      <c r="AL176" s="37">
        <f t="shared" si="64"/>
        <v>35700.100901033511</v>
      </c>
      <c r="AM176" s="37">
        <f t="shared" si="65"/>
        <v>58000.041071505286</v>
      </c>
    </row>
    <row r="177" spans="12:39">
      <c r="L177">
        <v>173</v>
      </c>
      <c r="M177" s="37">
        <f t="shared" si="50"/>
        <v>1.0869910581420732</v>
      </c>
      <c r="N177" s="37">
        <f t="shared" si="44"/>
        <v>22325.755390387272</v>
      </c>
      <c r="O177" s="37">
        <f t="shared" si="45"/>
        <v>11926.156556662287</v>
      </c>
      <c r="R177" s="37">
        <f t="shared" si="46"/>
        <v>-18371.971226728911</v>
      </c>
      <c r="S177" s="37">
        <f t="shared" si="47"/>
        <v>13098.3095896636</v>
      </c>
      <c r="V177" s="37">
        <f t="shared" si="48"/>
        <v>-2674.2446096127292</v>
      </c>
      <c r="W177" s="37">
        <f t="shared" si="49"/>
        <v>-10573.843443337713</v>
      </c>
      <c r="Y177" s="37">
        <f t="shared" si="51"/>
        <v>-55221.273455187584</v>
      </c>
      <c r="Z177" s="37">
        <f t="shared" si="52"/>
        <v>14005.756031137716</v>
      </c>
      <c r="AA177" s="37">
        <f t="shared" si="53"/>
        <v>706.98735971228245</v>
      </c>
      <c r="AB177" s="37">
        <f t="shared" si="54"/>
        <v>1045.025625573008</v>
      </c>
      <c r="AC177" s="37">
        <f t="shared" si="55"/>
        <v>352.24725882739926</v>
      </c>
      <c r="AD177" s="37">
        <f t="shared" si="56"/>
        <v>-97.469544523198465</v>
      </c>
      <c r="AE177" s="39">
        <f t="shared" si="57"/>
        <v>89.152571610156855</v>
      </c>
      <c r="AF177" s="39">
        <f t="shared" si="58"/>
        <v>-7.7106495782705391</v>
      </c>
      <c r="AG177" s="39">
        <f t="shared" si="59"/>
        <v>134.08817363169365</v>
      </c>
      <c r="AH177" s="39">
        <f t="shared" si="60"/>
        <v>-15.250002556346738</v>
      </c>
      <c r="AI177" s="39">
        <f t="shared" si="61"/>
        <v>129.00651358554876</v>
      </c>
      <c r="AJ177" s="39">
        <f t="shared" si="62"/>
        <v>-74.508892388581188</v>
      </c>
      <c r="AK177" s="37">
        <f t="shared" si="63"/>
        <v>75502.085015956967</v>
      </c>
      <c r="AL177" s="37">
        <f t="shared" si="64"/>
        <v>35448.331204530601</v>
      </c>
      <c r="AM177" s="37">
        <f t="shared" si="65"/>
        <v>57995.777349722724</v>
      </c>
    </row>
    <row r="178" spans="12:39">
      <c r="L178">
        <v>174</v>
      </c>
      <c r="M178" s="37">
        <f t="shared" si="50"/>
        <v>1.0932742434492528</v>
      </c>
      <c r="N178" s="37">
        <f t="shared" si="44"/>
        <v>22297.899303107417</v>
      </c>
      <c r="O178" s="37">
        <f t="shared" si="45"/>
        <v>11940.682244067733</v>
      </c>
      <c r="R178" s="37">
        <f t="shared" si="46"/>
        <v>-18391.470487824809</v>
      </c>
      <c r="S178" s="37">
        <f t="shared" si="47"/>
        <v>13108.477570847414</v>
      </c>
      <c r="V178" s="37">
        <f t="shared" si="48"/>
        <v>-2702.1006968925822</v>
      </c>
      <c r="W178" s="37">
        <f t="shared" si="49"/>
        <v>-10559.317755932267</v>
      </c>
      <c r="Y178" s="37">
        <f t="shared" si="51"/>
        <v>-54823.748867978022</v>
      </c>
      <c r="Z178" s="37">
        <f t="shared" si="52"/>
        <v>14516.085150858822</v>
      </c>
      <c r="AA178" s="37">
        <f t="shared" si="53"/>
        <v>883.11098912598209</v>
      </c>
      <c r="AB178" s="37">
        <f t="shared" si="54"/>
        <v>996.2908533114088</v>
      </c>
      <c r="AC178" s="37">
        <f t="shared" si="55"/>
        <v>354.67708181444442</v>
      </c>
      <c r="AD178" s="37">
        <f t="shared" si="56"/>
        <v>-102.24404882901274</v>
      </c>
      <c r="AE178" s="39">
        <f t="shared" si="57"/>
        <v>89.904923959314445</v>
      </c>
      <c r="AF178" s="39">
        <f t="shared" si="58"/>
        <v>-8.4302191686895007</v>
      </c>
      <c r="AG178" s="39">
        <f t="shared" si="59"/>
        <v>136.23580187321804</v>
      </c>
      <c r="AH178" s="39">
        <f t="shared" si="60"/>
        <v>-17.667611956067613</v>
      </c>
      <c r="AI178" s="39">
        <f t="shared" si="61"/>
        <v>128.53635598191192</v>
      </c>
      <c r="AJ178" s="39">
        <f t="shared" si="62"/>
        <v>-76.146217704255633</v>
      </c>
      <c r="AK178" s="37">
        <f t="shared" si="63"/>
        <v>75151.971667430946</v>
      </c>
      <c r="AL178" s="37">
        <f t="shared" si="64"/>
        <v>35115.360033891266</v>
      </c>
      <c r="AM178" s="37">
        <f t="shared" si="65"/>
        <v>57910.32061638141</v>
      </c>
    </row>
    <row r="179" spans="12:39">
      <c r="L179">
        <v>175</v>
      </c>
      <c r="M179" s="37">
        <f t="shared" si="50"/>
        <v>1.0995574287564325</v>
      </c>
      <c r="N179" s="37">
        <f t="shared" si="44"/>
        <v>22269.952498697712</v>
      </c>
      <c r="O179" s="37">
        <f t="shared" si="45"/>
        <v>11955.032620941849</v>
      </c>
      <c r="R179" s="37">
        <f t="shared" si="46"/>
        <v>-18411.033250911601</v>
      </c>
      <c r="S179" s="37">
        <f t="shared" si="47"/>
        <v>13118.522834659296</v>
      </c>
      <c r="V179" s="37">
        <f t="shared" si="48"/>
        <v>-2730.0475013022874</v>
      </c>
      <c r="W179" s="37">
        <f t="shared" si="49"/>
        <v>-10544.967379058151</v>
      </c>
      <c r="Y179" s="37">
        <f t="shared" si="51"/>
        <v>-54337.858738188224</v>
      </c>
      <c r="Z179" s="37">
        <f t="shared" si="52"/>
        <v>15001.4500714109</v>
      </c>
      <c r="AA179" s="37">
        <f t="shared" si="53"/>
        <v>1060.4495300332044</v>
      </c>
      <c r="AB179" s="37">
        <f t="shared" si="54"/>
        <v>945.16882889690237</v>
      </c>
      <c r="AC179" s="37">
        <f t="shared" si="55"/>
        <v>358.24794298886422</v>
      </c>
      <c r="AD179" s="37">
        <f t="shared" si="56"/>
        <v>-107.47028873950453</v>
      </c>
      <c r="AE179" s="39">
        <f t="shared" si="57"/>
        <v>90.868263510486486</v>
      </c>
      <c r="AF179" s="39">
        <f t="shared" si="58"/>
        <v>-9.1695369407991159</v>
      </c>
      <c r="AG179" s="39">
        <f t="shared" si="59"/>
        <v>139.02271759245252</v>
      </c>
      <c r="AH179" s="39">
        <f t="shared" si="60"/>
        <v>-20.249229462209506</v>
      </c>
      <c r="AI179" s="39">
        <f t="shared" si="61"/>
        <v>128.35696188592522</v>
      </c>
      <c r="AJ179" s="39">
        <f t="shared" si="62"/>
        <v>-78.051522336495907</v>
      </c>
      <c r="AK179" s="37">
        <f t="shared" si="63"/>
        <v>74715.386601105783</v>
      </c>
      <c r="AL179" s="37">
        <f t="shared" si="64"/>
        <v>34700.187975579982</v>
      </c>
      <c r="AM179" s="37">
        <f t="shared" si="65"/>
        <v>57743.495835087582</v>
      </c>
    </row>
    <row r="180" spans="12:39">
      <c r="L180">
        <v>176</v>
      </c>
      <c r="M180" s="37">
        <f t="shared" si="50"/>
        <v>1.1058406140636121</v>
      </c>
      <c r="N180" s="37">
        <f t="shared" si="44"/>
        <v>22241.916080450141</v>
      </c>
      <c r="O180" s="37">
        <f t="shared" si="45"/>
        <v>11969.207120756331</v>
      </c>
      <c r="R180" s="37">
        <f t="shared" si="46"/>
        <v>-18430.658743684904</v>
      </c>
      <c r="S180" s="37">
        <f t="shared" si="47"/>
        <v>13128.444984529431</v>
      </c>
      <c r="V180" s="37">
        <f t="shared" si="48"/>
        <v>-2758.0839195498606</v>
      </c>
      <c r="W180" s="37">
        <f t="shared" si="49"/>
        <v>-10530.792879243669</v>
      </c>
      <c r="Y180" s="37">
        <f t="shared" si="51"/>
        <v>-53762.852980298012</v>
      </c>
      <c r="Z180" s="37">
        <f t="shared" si="52"/>
        <v>15460.600699766912</v>
      </c>
      <c r="AA180" s="37">
        <f t="shared" si="53"/>
        <v>1239.5735015276364</v>
      </c>
      <c r="AB180" s="37">
        <f t="shared" si="54"/>
        <v>891.43368452715015</v>
      </c>
      <c r="AC180" s="37">
        <f t="shared" si="55"/>
        <v>363.03585965792331</v>
      </c>
      <c r="AD180" s="37">
        <f t="shared" si="56"/>
        <v>-113.23235662691617</v>
      </c>
      <c r="AE180" s="39">
        <f t="shared" si="57"/>
        <v>92.055728612126472</v>
      </c>
      <c r="AF180" s="39">
        <f t="shared" si="58"/>
        <v>-9.9347960117944751</v>
      </c>
      <c r="AG180" s="39">
        <f t="shared" si="59"/>
        <v>142.5150703149217</v>
      </c>
      <c r="AH180" s="39">
        <f t="shared" si="60"/>
        <v>-23.049530001007724</v>
      </c>
      <c r="AI180" s="39">
        <f t="shared" si="61"/>
        <v>128.46506073087514</v>
      </c>
      <c r="AJ180" s="39">
        <f t="shared" si="62"/>
        <v>-80.248030614113972</v>
      </c>
      <c r="AK180" s="37">
        <f t="shared" si="63"/>
        <v>74191.169577613415</v>
      </c>
      <c r="AL180" s="37">
        <f t="shared" si="64"/>
        <v>34201.584778654818</v>
      </c>
      <c r="AM180" s="37">
        <f t="shared" si="65"/>
        <v>57494.904346114003</v>
      </c>
    </row>
    <row r="181" spans="12:39">
      <c r="L181">
        <v>177</v>
      </c>
      <c r="M181" s="37">
        <f t="shared" si="50"/>
        <v>1.1121237993707918</v>
      </c>
      <c r="N181" s="37">
        <f t="shared" si="44"/>
        <v>22213.791155194485</v>
      </c>
      <c r="O181" s="37">
        <f t="shared" si="45"/>
        <v>11983.205183926191</v>
      </c>
      <c r="R181" s="37">
        <f t="shared" si="46"/>
        <v>-18450.34619136386</v>
      </c>
      <c r="S181" s="37">
        <f t="shared" si="47"/>
        <v>13138.243628748332</v>
      </c>
      <c r="V181" s="37">
        <f t="shared" si="48"/>
        <v>-2786.2088448055147</v>
      </c>
      <c r="W181" s="37">
        <f t="shared" si="49"/>
        <v>-10516.794816073809</v>
      </c>
      <c r="Y181" s="37">
        <f t="shared" si="51"/>
        <v>-53097.686747076958</v>
      </c>
      <c r="Z181" s="37">
        <f t="shared" si="52"/>
        <v>15892.163497452122</v>
      </c>
      <c r="AA181" s="37">
        <f t="shared" si="53"/>
        <v>1421.0914313565982</v>
      </c>
      <c r="AB181" s="37">
        <f t="shared" si="54"/>
        <v>834.81750621369201</v>
      </c>
      <c r="AC181" s="37">
        <f t="shared" si="55"/>
        <v>369.14371931232063</v>
      </c>
      <c r="AD181" s="37">
        <f t="shared" si="56"/>
        <v>-119.63088071186436</v>
      </c>
      <c r="AE181" s="39">
        <f t="shared" si="57"/>
        <v>93.484052695155981</v>
      </c>
      <c r="AF181" s="39">
        <f t="shared" si="58"/>
        <v>-10.732671436467184</v>
      </c>
      <c r="AG181" s="39">
        <f t="shared" si="59"/>
        <v>146.79906455372512</v>
      </c>
      <c r="AH181" s="39">
        <f t="shared" si="60"/>
        <v>-26.133672006547908</v>
      </c>
      <c r="AI181" s="39">
        <f t="shared" si="61"/>
        <v>128.8606020634395</v>
      </c>
      <c r="AJ181" s="39">
        <f t="shared" si="62"/>
        <v>-82.764537268849281</v>
      </c>
      <c r="AK181" s="37">
        <f t="shared" si="63"/>
        <v>73577.851395251797</v>
      </c>
      <c r="AL181" s="37">
        <f t="shared" si="64"/>
        <v>33618.067444282708</v>
      </c>
      <c r="AM181" s="37">
        <f t="shared" si="65"/>
        <v>57163.91550596631</v>
      </c>
    </row>
    <row r="182" spans="12:39">
      <c r="L182">
        <v>178</v>
      </c>
      <c r="M182" s="37">
        <f t="shared" si="50"/>
        <v>1.1184069846779714</v>
      </c>
      <c r="N182" s="37">
        <f t="shared" si="44"/>
        <v>22185.578833254644</v>
      </c>
      <c r="O182" s="37">
        <f t="shared" si="45"/>
        <v>11997.026257831865</v>
      </c>
      <c r="R182" s="37">
        <f t="shared" si="46"/>
        <v>-18470.09481672175</v>
      </c>
      <c r="S182" s="37">
        <f t="shared" si="47"/>
        <v>13147.918380482306</v>
      </c>
      <c r="V182" s="37">
        <f t="shared" si="48"/>
        <v>-2814.4211667453583</v>
      </c>
      <c r="W182" s="37">
        <f t="shared" si="49"/>
        <v>-10502.973742168135</v>
      </c>
      <c r="Y182" s="37">
        <f t="shared" si="51"/>
        <v>-52340.998066484615</v>
      </c>
      <c r="Z182" s="37">
        <f t="shared" si="52"/>
        <v>16294.618390469985</v>
      </c>
      <c r="AA182" s="37">
        <f t="shared" si="53"/>
        <v>1605.6632910127585</v>
      </c>
      <c r="AB182" s="37">
        <f t="shared" si="54"/>
        <v>775.00206585775982</v>
      </c>
      <c r="AC182" s="37">
        <f t="shared" si="55"/>
        <v>376.70685270893568</v>
      </c>
      <c r="AD182" s="37">
        <f t="shared" si="56"/>
        <v>-126.78836452357532</v>
      </c>
      <c r="AE182" s="39">
        <f t="shared" si="57"/>
        <v>95.17418194414968</v>
      </c>
      <c r="AF182" s="39">
        <f t="shared" si="58"/>
        <v>-11.57048745795152</v>
      </c>
      <c r="AG182" s="39">
        <f t="shared" si="59"/>
        <v>151.98600308838499</v>
      </c>
      <c r="AH182" s="39">
        <f t="shared" si="60"/>
        <v>-29.581458437598741</v>
      </c>
      <c r="AI182" s="39">
        <f t="shared" si="61"/>
        <v>129.54666767640097</v>
      </c>
      <c r="AJ182" s="39">
        <f t="shared" si="62"/>
        <v>-85.636418628025069</v>
      </c>
      <c r="AK182" s="37">
        <f t="shared" si="63"/>
        <v>72873.625639795937</v>
      </c>
      <c r="AL182" s="37">
        <f t="shared" si="64"/>
        <v>32947.873628172194</v>
      </c>
      <c r="AM182" s="37">
        <f t="shared" si="65"/>
        <v>56749.654079439482</v>
      </c>
    </row>
    <row r="183" spans="12:39">
      <c r="L183">
        <v>179</v>
      </c>
      <c r="M183" s="37">
        <f t="shared" si="50"/>
        <v>1.124690169985151</v>
      </c>
      <c r="N183" s="37">
        <f t="shared" si="44"/>
        <v>22157.280228404772</v>
      </c>
      <c r="O183" s="37">
        <f t="shared" si="45"/>
        <v>12010.669796841026</v>
      </c>
      <c r="R183" s="37">
        <f t="shared" si="46"/>
        <v>-18489.903840116658</v>
      </c>
      <c r="S183" s="37">
        <f t="shared" si="47"/>
        <v>13157.468857788717</v>
      </c>
      <c r="V183" s="37">
        <f t="shared" si="48"/>
        <v>-2842.7197715952279</v>
      </c>
      <c r="W183" s="37">
        <f t="shared" si="49"/>
        <v>-10489.330203158974</v>
      </c>
      <c r="Y183" s="37">
        <f t="shared" si="51"/>
        <v>-51491.078064389621</v>
      </c>
      <c r="Z183" s="37">
        <f t="shared" si="52"/>
        <v>16666.270877833416</v>
      </c>
      <c r="AA183" s="37">
        <f t="shared" si="53"/>
        <v>1794.0167173672262</v>
      </c>
      <c r="AB183" s="37">
        <f t="shared" si="54"/>
        <v>711.60788359597211</v>
      </c>
      <c r="AC183" s="37">
        <f t="shared" si="55"/>
        <v>385.9007831208724</v>
      </c>
      <c r="AD183" s="37">
        <f t="shared" si="56"/>
        <v>-134.8564313639009</v>
      </c>
      <c r="AE183" s="39">
        <f t="shared" si="57"/>
        <v>97.152094034418269</v>
      </c>
      <c r="AF183" s="39">
        <f t="shared" si="58"/>
        <v>-12.456413224964354</v>
      </c>
      <c r="AG183" s="39">
        <f t="shared" si="59"/>
        <v>158.21924844531574</v>
      </c>
      <c r="AH183" s="39">
        <f t="shared" si="60"/>
        <v>-33.493053685462698</v>
      </c>
      <c r="AI183" s="39">
        <f t="shared" si="61"/>
        <v>130.52944064113839</v>
      </c>
      <c r="AJ183" s="39">
        <f t="shared" si="62"/>
        <v>-88.906964453473847</v>
      </c>
      <c r="AK183" s="37">
        <f t="shared" si="63"/>
        <v>72076.3120908282</v>
      </c>
      <c r="AL183" s="37">
        <f t="shared" si="64"/>
        <v>32188.929231556169</v>
      </c>
      <c r="AM183" s="37">
        <f t="shared" si="65"/>
        <v>56250.982666060961</v>
      </c>
    </row>
    <row r="184" spans="12:39">
      <c r="L184">
        <v>180</v>
      </c>
      <c r="M184" s="37">
        <f t="shared" si="50"/>
        <v>1.1309733552923307</v>
      </c>
      <c r="N184" s="37">
        <f t="shared" si="44"/>
        <v>22128.89645782534</v>
      </c>
      <c r="O184" s="37">
        <f t="shared" si="45"/>
        <v>12024.135262330108</v>
      </c>
      <c r="R184" s="37">
        <f t="shared" si="46"/>
        <v>-18509.77247952226</v>
      </c>
      <c r="S184" s="37">
        <f t="shared" si="47"/>
        <v>13166.894683631075</v>
      </c>
      <c r="V184" s="37">
        <f t="shared" si="48"/>
        <v>-2871.1035421746597</v>
      </c>
      <c r="W184" s="37">
        <f t="shared" si="49"/>
        <v>-10475.864737669892</v>
      </c>
      <c r="Y184" s="37">
        <f t="shared" si="51"/>
        <v>-50545.832107815899</v>
      </c>
      <c r="Z184" s="37">
        <f t="shared" si="52"/>
        <v>17005.217765710913</v>
      </c>
      <c r="AA184" s="37">
        <f t="shared" si="53"/>
        <v>1986.9671089276624</v>
      </c>
      <c r="AB184" s="37">
        <f t="shared" si="54"/>
        <v>644.17966791402171</v>
      </c>
      <c r="AC184" s="37">
        <f t="shared" si="55"/>
        <v>396.95199419508549</v>
      </c>
      <c r="AD184" s="37">
        <f t="shared" si="56"/>
        <v>-144.02588410623716</v>
      </c>
      <c r="AE184" s="39">
        <f t="shared" si="57"/>
        <v>99.44988217353378</v>
      </c>
      <c r="AF184" s="39">
        <f t="shared" si="58"/>
        <v>-13.399697169763764</v>
      </c>
      <c r="AG184" s="39">
        <f t="shared" si="59"/>
        <v>165.68389509581704</v>
      </c>
      <c r="AH184" s="39">
        <f t="shared" si="60"/>
        <v>-37.997058365302138</v>
      </c>
      <c r="AI184" s="39">
        <f t="shared" si="61"/>
        <v>131.81821692573467</v>
      </c>
      <c r="AJ184" s="39">
        <f t="shared" si="62"/>
        <v>-92.62912857117125</v>
      </c>
      <c r="AK184" s="37">
        <f t="shared" si="63"/>
        <v>71183.309789287916</v>
      </c>
      <c r="AL184" s="37">
        <f t="shared" si="64"/>
        <v>31338.808769701322</v>
      </c>
      <c r="AM184" s="37">
        <f t="shared" si="65"/>
        <v>55666.478123049339</v>
      </c>
    </row>
    <row r="185" spans="12:39">
      <c r="L185">
        <v>181</v>
      </c>
      <c r="M185" s="37">
        <f t="shared" si="50"/>
        <v>1.1372565405995103</v>
      </c>
      <c r="N185" s="37">
        <f t="shared" si="44"/>
        <v>22100.428642059007</v>
      </c>
      <c r="O185" s="37">
        <f t="shared" si="45"/>
        <v>12037.422122705597</v>
      </c>
      <c r="R185" s="37">
        <f t="shared" si="46"/>
        <v>-18529.699950558694</v>
      </c>
      <c r="S185" s="37">
        <f t="shared" si="47"/>
        <v>13176.195485893917</v>
      </c>
      <c r="V185" s="37">
        <f t="shared" si="48"/>
        <v>-2899.5713579409921</v>
      </c>
      <c r="W185" s="37">
        <f t="shared" si="49"/>
        <v>-10462.577877294403</v>
      </c>
      <c r="Y185" s="37">
        <f t="shared" si="51"/>
        <v>-49502.729554077683</v>
      </c>
      <c r="Z185" s="37">
        <f t="shared" si="52"/>
        <v>17309.304364154646</v>
      </c>
      <c r="AA185" s="37">
        <f t="shared" si="53"/>
        <v>2185.443106025205</v>
      </c>
      <c r="AB185" s="37">
        <f t="shared" si="54"/>
        <v>572.16672586090317</v>
      </c>
      <c r="AC185" s="37">
        <f t="shared" si="55"/>
        <v>410.15297856721014</v>
      </c>
      <c r="AD185" s="37">
        <f t="shared" si="56"/>
        <v>-154.54099845859446</v>
      </c>
      <c r="AE185" s="39">
        <f t="shared" si="57"/>
        <v>102.10719641760605</v>
      </c>
      <c r="AF185" s="39">
        <f t="shared" si="58"/>
        <v>-14.41095297777489</v>
      </c>
      <c r="AG185" s="39">
        <f t="shared" si="59"/>
        <v>174.6203415223664</v>
      </c>
      <c r="AH185" s="39">
        <f t="shared" si="60"/>
        <v>-43.262208061802816</v>
      </c>
      <c r="AI185" s="39">
        <f t="shared" si="61"/>
        <v>133.42544062723772</v>
      </c>
      <c r="AJ185" s="39">
        <f t="shared" si="62"/>
        <v>-96.867837419016737</v>
      </c>
      <c r="AK185" s="37">
        <f t="shared" si="63"/>
        <v>70191.537008216925</v>
      </c>
      <c r="AL185" s="37">
        <f t="shared" si="64"/>
        <v>30394.686730231304</v>
      </c>
      <c r="AM185" s="37">
        <f t="shared" si="65"/>
        <v>54994.400499132287</v>
      </c>
    </row>
    <row r="186" spans="12:39">
      <c r="L186">
        <v>182</v>
      </c>
      <c r="M186" s="37">
        <f t="shared" si="50"/>
        <v>1.14353972590669</v>
      </c>
      <c r="N186" s="37">
        <f t="shared" si="44"/>
        <v>22071.877904966397</v>
      </c>
      <c r="O186" s="37">
        <f t="shared" si="45"/>
        <v>12050.529853424989</v>
      </c>
      <c r="R186" s="37">
        <f t="shared" si="46"/>
        <v>-18549.685466523522</v>
      </c>
      <c r="S186" s="37">
        <f t="shared" si="47"/>
        <v>13185.370897397494</v>
      </c>
      <c r="V186" s="37">
        <f t="shared" si="48"/>
        <v>-2928.1220950336033</v>
      </c>
      <c r="W186" s="37">
        <f t="shared" si="49"/>
        <v>-10449.470146575011</v>
      </c>
      <c r="Y186" s="37">
        <f t="shared" si="51"/>
        <v>-48358.738878744174</v>
      </c>
      <c r="Z186" s="37">
        <f t="shared" si="52"/>
        <v>17576.070102277772</v>
      </c>
      <c r="AA186" s="37">
        <f t="shared" si="53"/>
        <v>2390.51959530881</v>
      </c>
      <c r="AB186" s="37">
        <f t="shared" si="54"/>
        <v>494.89622663160594</v>
      </c>
      <c r="AC186" s="37">
        <f t="shared" si="55"/>
        <v>425.88347857014173</v>
      </c>
      <c r="AD186" s="37">
        <f t="shared" si="56"/>
        <v>-166.72031931107566</v>
      </c>
      <c r="AE186" s="39">
        <f t="shared" si="57"/>
        <v>105.17317551219517</v>
      </c>
      <c r="AF186" s="39">
        <f t="shared" si="58"/>
        <v>-15.502513749117178</v>
      </c>
      <c r="AG186" s="39">
        <f t="shared" si="59"/>
        <v>185.34356889792568</v>
      </c>
      <c r="AH186" s="39">
        <f t="shared" si="60"/>
        <v>-49.514750179159478</v>
      </c>
      <c r="AI186" s="39">
        <f t="shared" si="61"/>
        <v>135.36673416002085</v>
      </c>
      <c r="AJ186" s="39">
        <f t="shared" si="62"/>
        <v>-101.70305538279899</v>
      </c>
      <c r="AK186" s="37">
        <f t="shared" si="63"/>
        <v>69097.354289425188</v>
      </c>
      <c r="AL186" s="37">
        <f t="shared" si="64"/>
        <v>29353.277653226796</v>
      </c>
      <c r="AM186" s="37">
        <f t="shared" si="65"/>
        <v>54232.652345829789</v>
      </c>
    </row>
    <row r="187" spans="12:39">
      <c r="L187">
        <v>183</v>
      </c>
      <c r="M187" s="37">
        <f t="shared" si="50"/>
        <v>1.1498229112138696</v>
      </c>
      <c r="N187" s="37">
        <f t="shared" si="44"/>
        <v>22043.245373681722</v>
      </c>
      <c r="O187" s="37">
        <f t="shared" si="45"/>
        <v>12063.457937017525</v>
      </c>
      <c r="R187" s="37">
        <f t="shared" si="46"/>
        <v>-18569.728238422795</v>
      </c>
      <c r="S187" s="37">
        <f t="shared" si="47"/>
        <v>13194.420555912267</v>
      </c>
      <c r="V187" s="37">
        <f t="shared" si="48"/>
        <v>-2956.7546263182785</v>
      </c>
      <c r="W187" s="37">
        <f t="shared" si="49"/>
        <v>-10436.542062982475</v>
      </c>
      <c r="Y187" s="37">
        <f t="shared" si="51"/>
        <v>-47110.2436462685</v>
      </c>
      <c r="Z187" s="37">
        <f t="shared" si="52"/>
        <v>17802.678175679692</v>
      </c>
      <c r="AA187" s="37">
        <f t="shared" si="53"/>
        <v>2603.461334593881</v>
      </c>
      <c r="AB187" s="37">
        <f t="shared" si="54"/>
        <v>411.53606697606813</v>
      </c>
      <c r="AC187" s="37">
        <f t="shared" si="55"/>
        <v>444.64084695903205</v>
      </c>
      <c r="AD187" s="37">
        <f t="shared" si="56"/>
        <v>-180.98769705704584</v>
      </c>
      <c r="AE187" s="39">
        <f t="shared" si="57"/>
        <v>108.70906533109446</v>
      </c>
      <c r="AF187" s="39">
        <f t="shared" si="58"/>
        <v>-16.688875707091544</v>
      </c>
      <c r="AG187" s="39">
        <f t="shared" si="59"/>
        <v>198.2709048851425</v>
      </c>
      <c r="AH187" s="39">
        <f t="shared" si="60"/>
        <v>-57.06492654972886</v>
      </c>
      <c r="AI187" s="39">
        <f t="shared" si="61"/>
        <v>137.66087674279512</v>
      </c>
      <c r="AJ187" s="39">
        <f t="shared" si="62"/>
        <v>-107.23389480022543</v>
      </c>
      <c r="AK187" s="37">
        <f t="shared" si="63"/>
        <v>67896.465149911499</v>
      </c>
      <c r="AL187" s="37">
        <f t="shared" si="64"/>
        <v>28210.762082461893</v>
      </c>
      <c r="AM187" s="37">
        <f t="shared" si="65"/>
        <v>53378.725307422894</v>
      </c>
    </row>
    <row r="188" spans="12:39">
      <c r="L188">
        <v>184</v>
      </c>
      <c r="M188" s="37">
        <f t="shared" si="50"/>
        <v>1.1561060965210492</v>
      </c>
      <c r="N188" s="37">
        <f t="shared" si="44"/>
        <v>22014.53217856829</v>
      </c>
      <c r="O188" s="37">
        <f t="shared" si="45"/>
        <v>12076.205863104598</v>
      </c>
      <c r="R188" s="37">
        <f t="shared" si="46"/>
        <v>-18589.827475002199</v>
      </c>
      <c r="S188" s="37">
        <f t="shared" si="47"/>
        <v>13203.344104173219</v>
      </c>
      <c r="V188" s="37">
        <f t="shared" si="48"/>
        <v>-2985.4678214317109</v>
      </c>
      <c r="W188" s="37">
        <f t="shared" si="49"/>
        <v>-10423.794136895402</v>
      </c>
      <c r="Y188" s="37">
        <f t="shared" si="51"/>
        <v>-45752.932873101679</v>
      </c>
      <c r="Z188" s="37">
        <f t="shared" si="52"/>
        <v>17985.822747035596</v>
      </c>
      <c r="AA188" s="37">
        <f t="shared" si="53"/>
        <v>2825.7817580733972</v>
      </c>
      <c r="AB188" s="37">
        <f t="shared" si="54"/>
        <v>321.04221844754522</v>
      </c>
      <c r="AC188" s="37">
        <f t="shared" si="55"/>
        <v>467.08405688053949</v>
      </c>
      <c r="AD188" s="37">
        <f t="shared" si="56"/>
        <v>-197.91990709912756</v>
      </c>
      <c r="AE188" s="39">
        <f t="shared" si="57"/>
        <v>112.79181782573198</v>
      </c>
      <c r="AF188" s="39">
        <f t="shared" si="58"/>
        <v>-17.987258626457141</v>
      </c>
      <c r="AG188" s="39">
        <f t="shared" si="59"/>
        <v>213.96258677011929</v>
      </c>
      <c r="AH188" s="39">
        <f t="shared" si="60"/>
        <v>-66.348454401791969</v>
      </c>
      <c r="AI188" s="39">
        <f t="shared" si="61"/>
        <v>140.32965228468819</v>
      </c>
      <c r="AJ188" s="39">
        <f t="shared" si="62"/>
        <v>-113.58419407087845</v>
      </c>
      <c r="AK188" s="37">
        <f t="shared" si="63"/>
        <v>66583.786765975266</v>
      </c>
      <c r="AL188" s="37">
        <f t="shared" si="64"/>
        <v>26962.694904507454</v>
      </c>
      <c r="AM188" s="37">
        <f t="shared" si="65"/>
        <v>52429.629409889807</v>
      </c>
    </row>
    <row r="189" spans="12:39">
      <c r="L189">
        <v>185</v>
      </c>
      <c r="M189" s="37">
        <f t="shared" si="50"/>
        <v>1.1623892818282289</v>
      </c>
      <c r="N189" s="37">
        <f t="shared" si="44"/>
        <v>21985.739453173879</v>
      </c>
      <c r="O189" s="37">
        <f t="shared" si="45"/>
        <v>12088.773128419916</v>
      </c>
      <c r="R189" s="37">
        <f t="shared" si="46"/>
        <v>-18609.982382778286</v>
      </c>
      <c r="S189" s="37">
        <f t="shared" si="47"/>
        <v>13212.14118989394</v>
      </c>
      <c r="V189" s="37">
        <f t="shared" si="48"/>
        <v>-3014.2605468261218</v>
      </c>
      <c r="W189" s="37">
        <f t="shared" si="49"/>
        <v>-10411.226871580084</v>
      </c>
      <c r="Y189" s="37">
        <f t="shared" si="51"/>
        <v>-44281.656486954911</v>
      </c>
      <c r="Z189" s="37">
        <f t="shared" si="52"/>
        <v>18121.603867871978</v>
      </c>
      <c r="AA189" s="37">
        <f t="shared" si="53"/>
        <v>3059.3237865136671</v>
      </c>
      <c r="AB189" s="37">
        <f t="shared" si="54"/>
        <v>222.08226489798145</v>
      </c>
      <c r="AC189" s="37">
        <f t="shared" si="55"/>
        <v>494.09839572321096</v>
      </c>
      <c r="AD189" s="37">
        <f t="shared" si="56"/>
        <v>-218.32198194549375</v>
      </c>
      <c r="AE189" s="39">
        <f t="shared" si="57"/>
        <v>117.51912057495501</v>
      </c>
      <c r="AF189" s="39">
        <f t="shared" si="58"/>
        <v>-19.418316419726509</v>
      </c>
      <c r="AG189" s="39">
        <f t="shared" si="59"/>
        <v>233.18184466706745</v>
      </c>
      <c r="AH189" s="39">
        <f t="shared" si="60"/>
        <v>-77.993466903010074</v>
      </c>
      <c r="AI189" s="39">
        <f t="shared" si="61"/>
        <v>143.39743048118851</v>
      </c>
      <c r="AJ189" s="39">
        <f t="shared" si="62"/>
        <v>-120.91019862275718</v>
      </c>
      <c r="AK189" s="37">
        <f t="shared" si="63"/>
        <v>65153.279498678079</v>
      </c>
      <c r="AL189" s="37">
        <f t="shared" si="64"/>
        <v>25603.892109152323</v>
      </c>
      <c r="AM189" s="37">
        <f t="shared" si="65"/>
        <v>51381.798130654774</v>
      </c>
    </row>
    <row r="190" spans="12:39">
      <c r="L190">
        <v>186</v>
      </c>
      <c r="M190" s="37">
        <f t="shared" si="50"/>
        <v>1.1686724671354085</v>
      </c>
      <c r="N190" s="37">
        <f t="shared" si="44"/>
        <v>21956.868334185987</v>
      </c>
      <c r="O190" s="37">
        <f t="shared" si="45"/>
        <v>12101.159236829362</v>
      </c>
      <c r="R190" s="37">
        <f t="shared" si="46"/>
        <v>-18630.19216606981</v>
      </c>
      <c r="S190" s="37">
        <f t="shared" si="47"/>
        <v>13220.811465780553</v>
      </c>
      <c r="V190" s="37">
        <f t="shared" si="48"/>
        <v>-3043.1316658140131</v>
      </c>
      <c r="W190" s="37">
        <f t="shared" si="49"/>
        <v>-10398.840763170638</v>
      </c>
      <c r="Y190" s="37">
        <f t="shared" si="51"/>
        <v>-42690.232294232679</v>
      </c>
      <c r="Z190" s="37">
        <f t="shared" si="52"/>
        <v>18205.354752577783</v>
      </c>
      <c r="AA190" s="37">
        <f t="shared" si="53"/>
        <v>3306.3729843752726</v>
      </c>
      <c r="AB190" s="37">
        <f t="shared" si="54"/>
        <v>112.92127392523457</v>
      </c>
      <c r="AC190" s="37">
        <f t="shared" si="55"/>
        <v>526.89166063861762</v>
      </c>
      <c r="AD190" s="37">
        <f t="shared" si="56"/>
        <v>-243.35049561079944</v>
      </c>
      <c r="AE190" s="39">
        <f t="shared" si="57"/>
        <v>123.01656309530586</v>
      </c>
      <c r="AF190" s="39">
        <f t="shared" si="58"/>
        <v>-21.007035708484235</v>
      </c>
      <c r="AG190" s="39">
        <f t="shared" si="59"/>
        <v>256.98485497921564</v>
      </c>
      <c r="AH190" s="39">
        <f t="shared" si="60"/>
        <v>-92.932142509629088</v>
      </c>
      <c r="AI190" s="39">
        <f t="shared" si="61"/>
        <v>146.89024256409613</v>
      </c>
      <c r="AJ190" s="39">
        <f t="shared" si="62"/>
        <v>-129.4113173926861</v>
      </c>
      <c r="AK190" s="37">
        <f t="shared" si="63"/>
        <v>63597.718870124532</v>
      </c>
      <c r="AL190" s="37">
        <f t="shared" si="64"/>
        <v>24128.29227653483</v>
      </c>
      <c r="AM190" s="37">
        <f t="shared" si="65"/>
        <v>50230.958527961222</v>
      </c>
    </row>
    <row r="191" spans="12:39">
      <c r="L191">
        <v>187</v>
      </c>
      <c r="M191" s="37">
        <f t="shared" si="50"/>
        <v>1.1749556524425881</v>
      </c>
      <c r="N191" s="37">
        <f t="shared" si="44"/>
        <v>21927.919961386957</v>
      </c>
      <c r="O191" s="37">
        <f t="shared" si="45"/>
        <v>12113.363699350586</v>
      </c>
      <c r="R191" s="37">
        <f t="shared" si="46"/>
        <v>-18650.456027029129</v>
      </c>
      <c r="S191" s="37">
        <f t="shared" si="47"/>
        <v>13229.35458954541</v>
      </c>
      <c r="V191" s="37">
        <f t="shared" si="48"/>
        <v>-3072.0800386130422</v>
      </c>
      <c r="W191" s="37">
        <f t="shared" si="49"/>
        <v>-10386.636300649414</v>
      </c>
      <c r="Y191" s="37">
        <f t="shared" si="51"/>
        <v>-40971.184344465219</v>
      </c>
      <c r="Z191" s="37">
        <f t="shared" si="52"/>
        <v>18231.39657758905</v>
      </c>
      <c r="AA191" s="37">
        <f t="shared" si="53"/>
        <v>3569.8188146945813</v>
      </c>
      <c r="AB191" s="37">
        <f t="shared" si="54"/>
        <v>-8.7539738801651481</v>
      </c>
      <c r="AC191" s="37">
        <f t="shared" si="55"/>
        <v>567.13775656833081</v>
      </c>
      <c r="AD191" s="37">
        <f t="shared" si="56"/>
        <v>-274.723048776079</v>
      </c>
      <c r="AE191" s="39">
        <f t="shared" si="57"/>
        <v>129.44807840862788</v>
      </c>
      <c r="AF191" s="39">
        <f t="shared" si="58"/>
        <v>-22.78385569421749</v>
      </c>
      <c r="AG191" s="39">
        <f t="shared" si="59"/>
        <v>286.85575041931685</v>
      </c>
      <c r="AH191" s="39">
        <f t="shared" si="60"/>
        <v>-112.59370970559824</v>
      </c>
      <c r="AI191" s="39">
        <f t="shared" si="61"/>
        <v>150.83392774038606</v>
      </c>
      <c r="AJ191" s="39">
        <f t="shared" si="62"/>
        <v>-139.34548337626327</v>
      </c>
      <c r="AK191" s="37">
        <f t="shared" si="63"/>
        <v>61908.385481065896</v>
      </c>
      <c r="AL191" s="37">
        <f t="shared" si="64"/>
        <v>22528.791854582167</v>
      </c>
      <c r="AM191" s="37">
        <f t="shared" si="65"/>
        <v>48971.949334700752</v>
      </c>
    </row>
    <row r="192" spans="12:39">
      <c r="L192">
        <v>188</v>
      </c>
      <c r="M192" s="37">
        <f t="shared" si="50"/>
        <v>1.1812388377497678</v>
      </c>
      <c r="N192" s="37">
        <f t="shared" si="44"/>
        <v>21898.895477608981</v>
      </c>
      <c r="O192" s="37">
        <f t="shared" si="45"/>
        <v>12125.386034172301</v>
      </c>
      <c r="R192" s="37">
        <f t="shared" si="46"/>
        <v>-18670.773165673712</v>
      </c>
      <c r="S192" s="37">
        <f t="shared" si="47"/>
        <v>13237.77022392061</v>
      </c>
      <c r="V192" s="37">
        <f t="shared" si="48"/>
        <v>-3101.1045223910201</v>
      </c>
      <c r="W192" s="37">
        <f t="shared" si="49"/>
        <v>-10374.613965827699</v>
      </c>
      <c r="Y192" s="37">
        <f t="shared" si="51"/>
        <v>-39115.38271754689</v>
      </c>
      <c r="Z192" s="37">
        <f t="shared" si="52"/>
        <v>18192.67920955196</v>
      </c>
      <c r="AA192" s="37">
        <f t="shared" si="53"/>
        <v>3853.3876929787466</v>
      </c>
      <c r="AB192" s="37">
        <f t="shared" si="54"/>
        <v>-146.11549826820465</v>
      </c>
      <c r="AC192" s="37">
        <f t="shared" si="55"/>
        <v>617.18770432480721</v>
      </c>
      <c r="AD192" s="37">
        <f t="shared" si="56"/>
        <v>-315.08917230283566</v>
      </c>
      <c r="AE192" s="39">
        <f t="shared" si="57"/>
        <v>137.03155194328932</v>
      </c>
      <c r="AF192" s="39">
        <f t="shared" si="58"/>
        <v>-24.786009311950739</v>
      </c>
      <c r="AG192" s="39">
        <f t="shared" si="59"/>
        <v>324.9055683410096</v>
      </c>
      <c r="AH192" s="39">
        <f t="shared" si="60"/>
        <v>-139.25157210541335</v>
      </c>
      <c r="AI192" s="39">
        <f t="shared" si="61"/>
        <v>155.2505840405083</v>
      </c>
      <c r="AJ192" s="39">
        <f t="shared" si="62"/>
        <v>-151.05159088547157</v>
      </c>
      <c r="AK192" s="37">
        <f t="shared" si="63"/>
        <v>60074.635766856103</v>
      </c>
      <c r="AL192" s="37">
        <f t="shared" si="64"/>
        <v>20797.063472252885</v>
      </c>
      <c r="AM192" s="37">
        <f t="shared" si="65"/>
        <v>47598.45891489472</v>
      </c>
    </row>
    <row r="193" spans="12:39">
      <c r="L193">
        <v>189</v>
      </c>
      <c r="M193" s="37">
        <f t="shared" si="50"/>
        <v>1.1875220230569474</v>
      </c>
      <c r="N193" s="37">
        <f t="shared" si="44"/>
        <v>21869.796028688976</v>
      </c>
      <c r="O193" s="37">
        <f t="shared" si="45"/>
        <v>12137.225766673317</v>
      </c>
      <c r="R193" s="37">
        <f t="shared" si="46"/>
        <v>-18691.142779917718</v>
      </c>
      <c r="S193" s="37">
        <f t="shared" si="47"/>
        <v>13246.058036671322</v>
      </c>
      <c r="V193" s="37">
        <f t="shared" si="48"/>
        <v>-3130.2039713110239</v>
      </c>
      <c r="W193" s="37">
        <f t="shared" si="49"/>
        <v>-10362.774233326683</v>
      </c>
      <c r="Y193" s="37">
        <f t="shared" si="51"/>
        <v>-37111.540408016917</v>
      </c>
      <c r="Z193" s="37">
        <f t="shared" si="52"/>
        <v>18080.235313880003</v>
      </c>
      <c r="AA193" s="37">
        <f t="shared" si="53"/>
        <v>4161.9815451411505</v>
      </c>
      <c r="AB193" s="37">
        <f t="shared" si="54"/>
        <v>-303.66008441962248</v>
      </c>
      <c r="AC193" s="37">
        <f t="shared" si="55"/>
        <v>680.35822779308023</v>
      </c>
      <c r="AD193" s="37">
        <f t="shared" si="56"/>
        <v>-368.71628484090297</v>
      </c>
      <c r="AE193" s="39">
        <f t="shared" si="57"/>
        <v>146.06284883610925</v>
      </c>
      <c r="AF193" s="39">
        <f t="shared" si="58"/>
        <v>-27.058967421666502</v>
      </c>
      <c r="AG193" s="39">
        <f t="shared" si="59"/>
        <v>374.14346882324742</v>
      </c>
      <c r="AH193" s="39">
        <f t="shared" si="60"/>
        <v>-176.67417410455829</v>
      </c>
      <c r="AI193" s="39">
        <f t="shared" si="61"/>
        <v>160.15191013372348</v>
      </c>
      <c r="AJ193" s="39">
        <f t="shared" si="62"/>
        <v>-164.98314331467822</v>
      </c>
      <c r="AK193" s="37">
        <f t="shared" si="63"/>
        <v>58083.297315782809</v>
      </c>
      <c r="AL193" s="37">
        <f t="shared" si="64"/>
        <v>18923.398686886805</v>
      </c>
      <c r="AM193" s="37">
        <f t="shared" si="65"/>
        <v>46102.635453923642</v>
      </c>
    </row>
    <row r="194" spans="12:39">
      <c r="L194">
        <v>190</v>
      </c>
      <c r="M194" s="37">
        <f t="shared" si="50"/>
        <v>1.1938052083641271</v>
      </c>
      <c r="N194" s="37">
        <f t="shared" si="44"/>
        <v>21840.622763423362</v>
      </c>
      <c r="O194" s="37">
        <f t="shared" si="45"/>
        <v>12148.882429441266</v>
      </c>
      <c r="R194" s="37">
        <f t="shared" si="46"/>
        <v>-18711.564065603645</v>
      </c>
      <c r="S194" s="37">
        <f t="shared" si="47"/>
        <v>13254.217700608888</v>
      </c>
      <c r="V194" s="37">
        <f t="shared" si="48"/>
        <v>-3159.3772365766363</v>
      </c>
      <c r="W194" s="37">
        <f t="shared" si="49"/>
        <v>-10351.117570558734</v>
      </c>
      <c r="Y194" s="37">
        <f t="shared" si="51"/>
        <v>-34945.504856972206</v>
      </c>
      <c r="Z194" s="37">
        <f t="shared" si="52"/>
        <v>17882.31573606508</v>
      </c>
      <c r="AA194" s="37">
        <f t="shared" si="53"/>
        <v>4502.1606590376905</v>
      </c>
      <c r="AB194" s="37">
        <f t="shared" si="54"/>
        <v>-488.01822684007396</v>
      </c>
      <c r="AC194" s="37">
        <f t="shared" si="55"/>
        <v>761.22468676184189</v>
      </c>
      <c r="AD194" s="37">
        <f t="shared" si="56"/>
        <v>-442.81296143059365</v>
      </c>
      <c r="AE194" s="39">
        <f t="shared" si="57"/>
        <v>156.95404740545487</v>
      </c>
      <c r="AF194" s="39">
        <f t="shared" si="58"/>
        <v>-29.657503019739398</v>
      </c>
      <c r="AG194" s="39">
        <f t="shared" si="59"/>
        <v>438.74387237463236</v>
      </c>
      <c r="AH194" s="39">
        <f t="shared" si="60"/>
        <v>-231.39517616946608</v>
      </c>
      <c r="AI194" s="39">
        <f t="shared" si="61"/>
        <v>165.52676698175466</v>
      </c>
      <c r="AJ194" s="39">
        <f t="shared" si="62"/>
        <v>-181.76028224138818</v>
      </c>
      <c r="AK194" s="37">
        <f t="shared" si="63"/>
        <v>55917.80560815044</v>
      </c>
      <c r="AL194" s="37">
        <f t="shared" si="64"/>
        <v>16896.716154117017</v>
      </c>
      <c r="AM194" s="37">
        <f t="shared" si="65"/>
        <v>44474.486498499551</v>
      </c>
    </row>
    <row r="195" spans="12:39">
      <c r="L195">
        <v>191</v>
      </c>
      <c r="M195" s="37">
        <f t="shared" si="50"/>
        <v>1.2000883936713067</v>
      </c>
      <c r="N195" s="37">
        <f t="shared" si="44"/>
        <v>21811.376833522703</v>
      </c>
      <c r="O195" s="37">
        <f t="shared" si="45"/>
        <v>12160.355562291064</v>
      </c>
      <c r="R195" s="37">
        <f t="shared" si="46"/>
        <v>-18732.03621653411</v>
      </c>
      <c r="S195" s="37">
        <f t="shared" si="47"/>
        <v>13262.248893603746</v>
      </c>
      <c r="V195" s="37">
        <f t="shared" si="48"/>
        <v>-3188.6231664772981</v>
      </c>
      <c r="W195" s="37">
        <f t="shared" si="49"/>
        <v>-10339.644437708936</v>
      </c>
      <c r="Y195" s="37">
        <f t="shared" si="51"/>
        <v>-32599.271441608129</v>
      </c>
      <c r="Z195" s="37">
        <f t="shared" si="52"/>
        <v>17582.95500246622</v>
      </c>
      <c r="AA195" s="37">
        <f t="shared" si="53"/>
        <v>4882.7730024186112</v>
      </c>
      <c r="AB195" s="37">
        <f t="shared" si="54"/>
        <v>-709.42470755537079</v>
      </c>
      <c r="AC195" s="37">
        <f t="shared" si="55"/>
        <v>865.42294715682738</v>
      </c>
      <c r="AD195" s="37">
        <f t="shared" si="56"/>
        <v>-550.15562585298289</v>
      </c>
      <c r="AE195" s="39">
        <f t="shared" si="57"/>
        <v>170.29654422161008</v>
      </c>
      <c r="AF195" s="39">
        <f t="shared" si="58"/>
        <v>-32.644794222448191</v>
      </c>
      <c r="AG195" s="39">
        <f t="shared" si="59"/>
        <v>523.80863401578472</v>
      </c>
      <c r="AH195" s="39">
        <f t="shared" si="60"/>
        <v>-315.25769724491443</v>
      </c>
      <c r="AI195" s="39">
        <f t="shared" si="61"/>
        <v>171.31776891943269</v>
      </c>
      <c r="AJ195" s="39">
        <f t="shared" si="62"/>
        <v>-202.25313438562031</v>
      </c>
      <c r="AK195" s="37">
        <f t="shared" si="63"/>
        <v>53556.972821190437</v>
      </c>
      <c r="AL195" s="37">
        <f t="shared" si="64"/>
        <v>14705.197973123302</v>
      </c>
      <c r="AM195" s="37">
        <f t="shared" si="65"/>
        <v>42700.922013468335</v>
      </c>
    </row>
    <row r="196" spans="12:39">
      <c r="L196">
        <v>192</v>
      </c>
      <c r="M196" s="37">
        <f t="shared" si="50"/>
        <v>1.2063715789784863</v>
      </c>
      <c r="N196" s="37">
        <f t="shared" si="44"/>
        <v>21782.059393566225</v>
      </c>
      <c r="O196" s="37">
        <f t="shared" si="45"/>
        <v>12171.64471228307</v>
      </c>
      <c r="R196" s="37">
        <f t="shared" si="46"/>
        <v>-18752.558424503641</v>
      </c>
      <c r="S196" s="37">
        <f t="shared" si="47"/>
        <v>13270.15129859815</v>
      </c>
      <c r="V196" s="37">
        <f t="shared" si="48"/>
        <v>-3217.9406064337736</v>
      </c>
      <c r="W196" s="37">
        <f t="shared" si="49"/>
        <v>-10328.35528771693</v>
      </c>
      <c r="Y196" s="37">
        <f t="shared" si="51"/>
        <v>-30049.707072004221</v>
      </c>
      <c r="Z196" s="37">
        <f t="shared" si="52"/>
        <v>17159.473195456911</v>
      </c>
      <c r="AA196" s="37">
        <f t="shared" si="53"/>
        <v>5315.4844759970247</v>
      </c>
      <c r="AB196" s="37">
        <f t="shared" si="54"/>
        <v>-984.50252048186223</v>
      </c>
      <c r="AC196" s="37">
        <f t="shared" si="55"/>
        <v>996.50594815372324</v>
      </c>
      <c r="AD196" s="37">
        <f t="shared" si="56"/>
        <v>-714.16010695238992</v>
      </c>
      <c r="AE196" s="39">
        <f t="shared" si="57"/>
        <v>186.96916079659746</v>
      </c>
      <c r="AF196" s="39">
        <f t="shared" si="58"/>
        <v>-36.084598746873034</v>
      </c>
      <c r="AG196" s="39">
        <f t="shared" si="59"/>
        <v>632.16027280296476</v>
      </c>
      <c r="AH196" s="39">
        <f t="shared" si="60"/>
        <v>-450.35487063832829</v>
      </c>
      <c r="AI196" s="39">
        <f t="shared" si="61"/>
        <v>177.37651455416102</v>
      </c>
      <c r="AJ196" s="39">
        <f t="shared" si="62"/>
        <v>-227.72063756718859</v>
      </c>
      <c r="AK196" s="37">
        <f t="shared" si="63"/>
        <v>50973.312629327716</v>
      </c>
      <c r="AL196" s="37">
        <f t="shared" si="64"/>
        <v>12339.151861840328</v>
      </c>
      <c r="AM196" s="37">
        <f t="shared" si="65"/>
        <v>40764.194345068689</v>
      </c>
    </row>
    <row r="197" spans="12:39">
      <c r="L197">
        <v>193</v>
      </c>
      <c r="M197" s="37">
        <f t="shared" si="50"/>
        <v>1.212654764285666</v>
      </c>
      <c r="N197" s="37">
        <f t="shared" ref="N197:N260" si="66">COS(M197)*$D$37+$D$36</f>
        <v>21752.671600956266</v>
      </c>
      <c r="O197" s="37">
        <f t="shared" ref="O197:O260" si="67">SIN(M197)*$D$37+$E$36</f>
        <v>12182.749433740972</v>
      </c>
      <c r="R197" s="37">
        <f t="shared" ref="R197:R260" si="68">COS(M197)*$D$48+$D$47</f>
        <v>-18773.129879330612</v>
      </c>
      <c r="S197" s="37">
        <f t="shared" ref="S197:S260" si="69">SIN(M197)*$D$48+$E$47</f>
        <v>13277.924603618681</v>
      </c>
      <c r="V197" s="37">
        <f t="shared" ref="V197:V260" si="70">COS(M197)*$D$57+$D$56</f>
        <v>-3247.3283990437321</v>
      </c>
      <c r="W197" s="37">
        <f t="shared" ref="W197:W260" si="71">SIN(M197)*$D$57+$E$56</f>
        <v>-10317.250566259028</v>
      </c>
      <c r="Y197" s="37">
        <f t="shared" si="51"/>
        <v>-27267.401590486494</v>
      </c>
      <c r="Z197" s="37">
        <f t="shared" si="52"/>
        <v>16577.951921846932</v>
      </c>
      <c r="AA197" s="37">
        <f t="shared" si="53"/>
        <v>5813.7374500738861</v>
      </c>
      <c r="AB197" s="37">
        <f t="shared" si="54"/>
        <v>-1341.5825739580573</v>
      </c>
      <c r="AC197" s="37">
        <f t="shared" si="55"/>
        <v>1138.566075228136</v>
      </c>
      <c r="AD197" s="37">
        <f t="shared" si="56"/>
        <v>-976.0683622286133</v>
      </c>
      <c r="AE197" s="39">
        <f t="shared" si="57"/>
        <v>208.32853317663071</v>
      </c>
      <c r="AF197" s="39">
        <f t="shared" si="58"/>
        <v>-40.010585403259988</v>
      </c>
      <c r="AG197" s="39">
        <f t="shared" si="59"/>
        <v>746.8614243011051</v>
      </c>
      <c r="AH197" s="39">
        <f t="shared" si="60"/>
        <v>-676.00757714641702</v>
      </c>
      <c r="AI197" s="39">
        <f t="shared" si="61"/>
        <v>183.37611775040014</v>
      </c>
      <c r="AJ197" s="39">
        <f t="shared" si="62"/>
        <v>-260.05019967893634</v>
      </c>
      <c r="AK197" s="37">
        <f t="shared" si="63"/>
        <v>48131.242080499957</v>
      </c>
      <c r="AL197" s="37">
        <f t="shared" si="64"/>
        <v>9802.2740914307924</v>
      </c>
      <c r="AM197" s="37">
        <f t="shared" si="65"/>
        <v>38639.412795363191</v>
      </c>
    </row>
    <row r="198" spans="12:39">
      <c r="L198">
        <v>194</v>
      </c>
      <c r="M198" s="37">
        <f t="shared" ref="M198:M261" si="72">M197+$J$3</f>
        <v>1.2189379495928456</v>
      </c>
      <c r="N198" s="37">
        <f t="shared" si="66"/>
        <v>21723.214615872559</v>
      </c>
      <c r="O198" s="37">
        <f t="shared" si="67"/>
        <v>12193.669288269381</v>
      </c>
      <c r="R198" s="37">
        <f t="shared" si="68"/>
        <v>-18793.749768889211</v>
      </c>
      <c r="S198" s="37">
        <f t="shared" si="69"/>
        <v>13285.568501788566</v>
      </c>
      <c r="V198" s="37">
        <f t="shared" si="70"/>
        <v>-3276.7853841274423</v>
      </c>
      <c r="W198" s="37">
        <f t="shared" si="71"/>
        <v>-10306.330711730619</v>
      </c>
      <c r="Y198" s="37">
        <f t="shared" ref="Y198:Y261" si="73">Y197+(AA197*$D$14)+((1/2)*AC197)*$D$14^2</f>
        <v>-24218.212106046034</v>
      </c>
      <c r="Z198" s="37">
        <f t="shared" ref="Z198:Z261" si="74">Z197+(AB197*$D$14)+((1/2)*AD197)*$D$14^2</f>
        <v>15785.152089589326</v>
      </c>
      <c r="AA198" s="37">
        <f t="shared" ref="AA198:AA261" si="75">AA197+(AC197*$D$14)</f>
        <v>6383.0204876879543</v>
      </c>
      <c r="AB198" s="37">
        <f t="shared" ref="AB198:AB261" si="76">AB197+(AD197*$D$14)</f>
        <v>-1829.616755072364</v>
      </c>
      <c r="AC198" s="37">
        <f t="shared" ref="AC198:AC261" si="77">AE198+AG198+AI198</f>
        <v>1179.7823602626347</v>
      </c>
      <c r="AD198" s="37">
        <f t="shared" ref="AD198:AD261" si="78">AF198+AH198+AJ198</f>
        <v>-1381.4144625673473</v>
      </c>
      <c r="AE198" s="39">
        <f t="shared" ref="AE198:AE261" si="79">$D$40*($D$36-Y198)/(AK198^2+$D$41^2)^(3/2)</f>
        <v>236.53779039356883</v>
      </c>
      <c r="AF198" s="39">
        <f t="shared" ref="AF198:AF261" si="80">$D$40*($E$36-Z198)/(AK198^2+$D$41^2)^(3/2)</f>
        <v>-44.320009222583622</v>
      </c>
      <c r="AG198" s="39">
        <f t="shared" ref="AG198:AG261" si="81">$D$51*($D$47-Y198)/(AL198^2+$D$52^2)^(3/2)</f>
        <v>754.60759414923825</v>
      </c>
      <c r="AH198" s="39">
        <f t="shared" ref="AH198:AH261" si="82">$D$51*($E$47-Z198)/(AL198^2+$D$52^2)^(3/2)</f>
        <v>-1034.9218081886559</v>
      </c>
      <c r="AI198" s="39">
        <f t="shared" ref="AI198:AI261" si="83">$D$60*($D$56-Y198)/(AM198^2+$D$61^2)^(3/2)</f>
        <v>188.63697571982769</v>
      </c>
      <c r="AJ198" s="39">
        <f t="shared" ref="AJ198:AJ261" si="84">$D$60*($E$56-Z198)/(AM198^2+$D$61^2)^(3/2)</f>
        <v>-302.17264515610782</v>
      </c>
      <c r="AK198" s="37">
        <f t="shared" ref="AK198:AK261" si="85">SQRT(($D$36-Y198)^2+($E$36-Z198)^2)</f>
        <v>44987.709732802607</v>
      </c>
      <c r="AL198" s="37">
        <f t="shared" ref="AL198:AL261" si="86">SQRT(($D$47-Y198)^2+($E$47-Z198)^2)</f>
        <v>7159.6995796802166</v>
      </c>
      <c r="AM198" s="37">
        <f t="shared" ref="AM198:AM261" si="87">SQRT(($D$56-Y198)^2+($E$56-Z198)^2)</f>
        <v>36291.393824598701</v>
      </c>
    </row>
    <row r="199" spans="12:39">
      <c r="L199">
        <v>195</v>
      </c>
      <c r="M199" s="37">
        <f t="shared" si="72"/>
        <v>1.2252211349000253</v>
      </c>
      <c r="N199" s="37">
        <f t="shared" si="66"/>
        <v>21693.68960122643</v>
      </c>
      <c r="O199" s="37">
        <f t="shared" si="67"/>
        <v>12204.403844771137</v>
      </c>
      <c r="R199" s="37">
        <f t="shared" si="68"/>
        <v>-18814.4172791415</v>
      </c>
      <c r="S199" s="37">
        <f t="shared" si="69"/>
        <v>13293.082691339796</v>
      </c>
      <c r="V199" s="37">
        <f t="shared" si="70"/>
        <v>-3306.3103987735713</v>
      </c>
      <c r="W199" s="37">
        <f t="shared" si="71"/>
        <v>-10295.596155228863</v>
      </c>
      <c r="Y199" s="37">
        <f t="shared" si="73"/>
        <v>-20879.229067169224</v>
      </c>
      <c r="Z199" s="37">
        <f t="shared" si="74"/>
        <v>14697.666904232226</v>
      </c>
      <c r="AA199" s="37">
        <f t="shared" si="75"/>
        <v>6972.9116678192713</v>
      </c>
      <c r="AB199" s="37">
        <f t="shared" si="76"/>
        <v>-2520.3239863560375</v>
      </c>
      <c r="AC199" s="37">
        <f t="shared" si="77"/>
        <v>726.11022155899229</v>
      </c>
      <c r="AD199" s="37">
        <f t="shared" si="78"/>
        <v>-1792.6194909943108</v>
      </c>
      <c r="AE199" s="39">
        <f t="shared" si="79"/>
        <v>275.0114010720356</v>
      </c>
      <c r="AF199" s="39">
        <f t="shared" si="80"/>
        <v>-48.421668043941828</v>
      </c>
      <c r="AG199" s="39">
        <f t="shared" si="81"/>
        <v>259.31948800034473</v>
      </c>
      <c r="AH199" s="39">
        <f t="shared" si="82"/>
        <v>-1385.5280971587808</v>
      </c>
      <c r="AI199" s="39">
        <f t="shared" si="83"/>
        <v>191.77933248661193</v>
      </c>
      <c r="AJ199" s="39">
        <f t="shared" si="84"/>
        <v>-358.66972579158823</v>
      </c>
      <c r="AK199" s="37">
        <f t="shared" si="85"/>
        <v>41508.044738223616</v>
      </c>
      <c r="AL199" s="37">
        <f t="shared" si="86"/>
        <v>4779.2382338270245</v>
      </c>
      <c r="AM199" s="37">
        <f t="shared" si="87"/>
        <v>33676.421058692715</v>
      </c>
    </row>
    <row r="200" spans="12:39">
      <c r="L200">
        <v>196</v>
      </c>
      <c r="M200" s="37">
        <f t="shared" si="72"/>
        <v>1.2315043202072049</v>
      </c>
      <c r="N200" s="37">
        <f t="shared" si="66"/>
        <v>21664.097722614904</v>
      </c>
      <c r="O200" s="37">
        <f t="shared" si="67"/>
        <v>12214.952679464332</v>
      </c>
      <c r="R200" s="37">
        <f t="shared" si="68"/>
        <v>-18835.131594169565</v>
      </c>
      <c r="S200" s="37">
        <f t="shared" si="69"/>
        <v>13300.466875625032</v>
      </c>
      <c r="V200" s="37">
        <f t="shared" si="70"/>
        <v>-3335.9022773850947</v>
      </c>
      <c r="W200" s="37">
        <f t="shared" si="71"/>
        <v>-10285.047320535668</v>
      </c>
      <c r="Y200" s="37">
        <f t="shared" si="73"/>
        <v>-17302.009455564716</v>
      </c>
      <c r="Z200" s="37">
        <f t="shared" si="74"/>
        <v>13213.427474679918</v>
      </c>
      <c r="AA200" s="37">
        <f t="shared" si="75"/>
        <v>7335.9667785987676</v>
      </c>
      <c r="AB200" s="37">
        <f t="shared" si="76"/>
        <v>-3416.6337318531928</v>
      </c>
      <c r="AC200" s="37">
        <f t="shared" si="77"/>
        <v>-373.09525738432319</v>
      </c>
      <c r="AD200" s="37">
        <f t="shared" si="78"/>
        <v>-1547.8078146170269</v>
      </c>
      <c r="AE200" s="39">
        <f t="shared" si="79"/>
        <v>328.25991460914855</v>
      </c>
      <c r="AF200" s="39">
        <f t="shared" si="80"/>
        <v>-50.278503553491738</v>
      </c>
      <c r="AG200" s="39">
        <f t="shared" si="81"/>
        <v>-891.39518648893966</v>
      </c>
      <c r="AH200" s="39">
        <f t="shared" si="82"/>
        <v>-1061.6915574329937</v>
      </c>
      <c r="AI200" s="39">
        <f t="shared" si="83"/>
        <v>190.040014495468</v>
      </c>
      <c r="AJ200" s="39">
        <f t="shared" si="84"/>
        <v>-435.83775363054156</v>
      </c>
      <c r="AK200" s="37">
        <f t="shared" si="85"/>
        <v>37737.026418776913</v>
      </c>
      <c r="AL200" s="37">
        <f t="shared" si="86"/>
        <v>4195.8633334380611</v>
      </c>
      <c r="AM200" s="37">
        <f t="shared" si="87"/>
        <v>30778.838940314618</v>
      </c>
    </row>
    <row r="201" spans="12:39">
      <c r="L201">
        <v>197</v>
      </c>
      <c r="M201" s="37">
        <f t="shared" si="72"/>
        <v>1.2377875055143845</v>
      </c>
      <c r="N201" s="37">
        <f t="shared" si="66"/>
        <v>21634.440148274683</v>
      </c>
      <c r="O201" s="37">
        <f t="shared" si="67"/>
        <v>12225.315375899034</v>
      </c>
      <c r="R201" s="37">
        <f t="shared" si="68"/>
        <v>-18855.891896207722</v>
      </c>
      <c r="S201" s="37">
        <f t="shared" si="69"/>
        <v>13307.720763129324</v>
      </c>
      <c r="V201" s="37">
        <f t="shared" si="70"/>
        <v>-3365.5598517253161</v>
      </c>
      <c r="W201" s="37">
        <f t="shared" si="71"/>
        <v>-10274.684624100966</v>
      </c>
      <c r="Y201" s="37">
        <f t="shared" si="73"/>
        <v>-13680.662973438371</v>
      </c>
      <c r="Z201" s="37">
        <f t="shared" si="74"/>
        <v>11311.634631926194</v>
      </c>
      <c r="AA201" s="37">
        <f t="shared" si="75"/>
        <v>7149.4191499066064</v>
      </c>
      <c r="AB201" s="37">
        <f t="shared" si="76"/>
        <v>-4190.5376391617065</v>
      </c>
      <c r="AC201" s="37">
        <f t="shared" si="77"/>
        <v>-737.46607856789637</v>
      </c>
      <c r="AD201" s="37">
        <f t="shared" si="78"/>
        <v>-857.17470080923124</v>
      </c>
      <c r="AE201" s="39">
        <f t="shared" si="79"/>
        <v>399.55779667926055</v>
      </c>
      <c r="AF201" s="39">
        <f t="shared" si="80"/>
        <v>-45.217884709688008</v>
      </c>
      <c r="AG201" s="39">
        <f t="shared" si="81"/>
        <v>-1314.8641562176156</v>
      </c>
      <c r="AH201" s="39">
        <f t="shared" si="82"/>
        <v>-272.91175582572299</v>
      </c>
      <c r="AI201" s="39">
        <f t="shared" si="83"/>
        <v>177.84028097045871</v>
      </c>
      <c r="AJ201" s="39">
        <f t="shared" si="84"/>
        <v>-539.04506027382024</v>
      </c>
      <c r="AK201" s="37">
        <f t="shared" si="85"/>
        <v>33895.657788242461</v>
      </c>
      <c r="AL201" s="37">
        <f t="shared" si="86"/>
        <v>6454.0224560301094</v>
      </c>
      <c r="AM201" s="37">
        <f t="shared" si="87"/>
        <v>27706.606191708175</v>
      </c>
    </row>
    <row r="202" spans="12:39">
      <c r="L202">
        <v>198</v>
      </c>
      <c r="M202" s="37">
        <f t="shared" si="72"/>
        <v>1.2440706908215642</v>
      </c>
      <c r="N202" s="37">
        <f t="shared" si="66"/>
        <v>21604.718049036019</v>
      </c>
      <c r="O202" s="37">
        <f t="shared" si="67"/>
        <v>12235.491524973731</v>
      </c>
      <c r="R202" s="37">
        <f t="shared" si="68"/>
        <v>-18876.697365674787</v>
      </c>
      <c r="S202" s="37">
        <f t="shared" si="69"/>
        <v>13314.844067481612</v>
      </c>
      <c r="V202" s="37">
        <f t="shared" si="70"/>
        <v>-3395.2819509639812</v>
      </c>
      <c r="W202" s="37">
        <f t="shared" si="71"/>
        <v>-10264.508475026269</v>
      </c>
      <c r="Y202" s="37">
        <f t="shared" si="73"/>
        <v>-10198.136658306055</v>
      </c>
      <c r="Z202" s="37">
        <f t="shared" si="74"/>
        <v>9109.2189747441862</v>
      </c>
      <c r="AA202" s="37">
        <f t="shared" si="75"/>
        <v>6780.6861106226579</v>
      </c>
      <c r="AB202" s="37">
        <f t="shared" si="76"/>
        <v>-4619.1249895663223</v>
      </c>
      <c r="AC202" s="37">
        <f t="shared" si="77"/>
        <v>-365.49134774372828</v>
      </c>
      <c r="AD202" s="37">
        <f t="shared" si="78"/>
        <v>-604.96674627786751</v>
      </c>
      <c r="AE202" s="39">
        <f t="shared" si="79"/>
        <v>489.31637245031891</v>
      </c>
      <c r="AF202" s="39">
        <f t="shared" si="80"/>
        <v>-26.075025757705678</v>
      </c>
      <c r="AG202" s="39">
        <f t="shared" si="81"/>
        <v>-999.19980496077562</v>
      </c>
      <c r="AH202" s="39">
        <f t="shared" si="82"/>
        <v>90.806022862235551</v>
      </c>
      <c r="AI202" s="39">
        <f t="shared" si="83"/>
        <v>144.39208476672846</v>
      </c>
      <c r="AJ202" s="39">
        <f t="shared" si="84"/>
        <v>-669.69774338239745</v>
      </c>
      <c r="AK202" s="37">
        <f t="shared" si="85"/>
        <v>30240.982843525519</v>
      </c>
      <c r="AL202" s="37">
        <f t="shared" si="86"/>
        <v>9842.2566418580755</v>
      </c>
      <c r="AM202" s="37">
        <f t="shared" si="87"/>
        <v>24663.233046188216</v>
      </c>
    </row>
    <row r="203" spans="12:39">
      <c r="L203">
        <v>199</v>
      </c>
      <c r="M203" s="37">
        <f t="shared" si="72"/>
        <v>1.2503538761287438</v>
      </c>
      <c r="N203" s="37">
        <f t="shared" si="66"/>
        <v>21574.932598276493</v>
      </c>
      <c r="O203" s="37">
        <f t="shared" si="67"/>
        <v>12245.480724951482</v>
      </c>
      <c r="R203" s="37">
        <f t="shared" si="68"/>
        <v>-18897.547181206453</v>
      </c>
      <c r="S203" s="37">
        <f t="shared" si="69"/>
        <v>13321.836507466038</v>
      </c>
      <c r="V203" s="37">
        <f t="shared" si="70"/>
        <v>-3425.0674017235051</v>
      </c>
      <c r="W203" s="37">
        <f t="shared" si="71"/>
        <v>-10254.519275048518</v>
      </c>
      <c r="Y203" s="37">
        <f t="shared" si="73"/>
        <v>-6853.480021462693</v>
      </c>
      <c r="Z203" s="37">
        <f t="shared" si="74"/>
        <v>6724.0356366762917</v>
      </c>
      <c r="AA203" s="37">
        <f t="shared" si="75"/>
        <v>6597.9404367507941</v>
      </c>
      <c r="AB203" s="37">
        <f t="shared" si="76"/>
        <v>-4921.6083627052558</v>
      </c>
      <c r="AC203" s="37">
        <f t="shared" si="77"/>
        <v>1.5216956933034993</v>
      </c>
      <c r="AD203" s="37">
        <f t="shared" si="78"/>
        <v>-641.03549739571179</v>
      </c>
      <c r="AE203" s="39">
        <f t="shared" si="79"/>
        <v>596.92551396642011</v>
      </c>
      <c r="AF203" s="39">
        <f t="shared" si="80"/>
        <v>17.248897574035947</v>
      </c>
      <c r="AG203" s="39">
        <f t="shared" si="81"/>
        <v>-665.72185154957265</v>
      </c>
      <c r="AH203" s="39">
        <f t="shared" si="82"/>
        <v>165.8903698562608</v>
      </c>
      <c r="AI203" s="39">
        <f t="shared" si="83"/>
        <v>70.318033276456035</v>
      </c>
      <c r="AJ203" s="39">
        <f t="shared" si="84"/>
        <v>-824.17476482600853</v>
      </c>
      <c r="AK203" s="37">
        <f t="shared" si="85"/>
        <v>26864.688904884872</v>
      </c>
      <c r="AL203" s="37">
        <f t="shared" si="86"/>
        <v>13548.539775778328</v>
      </c>
      <c r="AM203" s="37">
        <f t="shared" si="87"/>
        <v>21802.961095537987</v>
      </c>
    </row>
    <row r="204" spans="12:39">
      <c r="L204">
        <v>200</v>
      </c>
      <c r="M204" s="37">
        <f t="shared" si="72"/>
        <v>1.2566370614359235</v>
      </c>
      <c r="N204" s="37">
        <f t="shared" si="66"/>
        <v>21545.084971874709</v>
      </c>
      <c r="O204" s="37">
        <f t="shared" si="67"/>
        <v>12255.282581475778</v>
      </c>
      <c r="R204" s="37">
        <f t="shared" si="68"/>
        <v>-18918.440519687705</v>
      </c>
      <c r="S204" s="37">
        <f t="shared" si="69"/>
        <v>13328.697807033044</v>
      </c>
      <c r="V204" s="37">
        <f t="shared" si="70"/>
        <v>-3454.9150281252923</v>
      </c>
      <c r="W204" s="37">
        <f t="shared" si="71"/>
        <v>-10244.717418524222</v>
      </c>
      <c r="Y204" s="37">
        <f t="shared" si="73"/>
        <v>-3554.319591125633</v>
      </c>
      <c r="Z204" s="37">
        <f t="shared" si="74"/>
        <v>4183.1020181491995</v>
      </c>
      <c r="AA204" s="37">
        <f t="shared" si="75"/>
        <v>6598.7012845974459</v>
      </c>
      <c r="AB204" s="37">
        <f t="shared" si="76"/>
        <v>-5242.1261114031113</v>
      </c>
      <c r="AC204" s="37">
        <f t="shared" si="77"/>
        <v>198.83077734146053</v>
      </c>
      <c r="AD204" s="37">
        <f t="shared" si="78"/>
        <v>-727.09628959588701</v>
      </c>
      <c r="AE204" s="39">
        <f t="shared" si="79"/>
        <v>717.87013111199224</v>
      </c>
      <c r="AF204" s="39">
        <f t="shared" si="80"/>
        <v>101.08982260788568</v>
      </c>
      <c r="AG204" s="39">
        <f t="shared" si="81"/>
        <v>-444.76971291207025</v>
      </c>
      <c r="AH204" s="39">
        <f t="shared" si="82"/>
        <v>157.31669235348241</v>
      </c>
      <c r="AI204" s="39">
        <f t="shared" si="83"/>
        <v>-74.269640858461443</v>
      </c>
      <c r="AJ204" s="39">
        <f t="shared" si="84"/>
        <v>-985.5028045572551</v>
      </c>
      <c r="AK204" s="37">
        <f t="shared" si="85"/>
        <v>23786.714435223937</v>
      </c>
      <c r="AL204" s="37">
        <f t="shared" si="86"/>
        <v>17444.102334086845</v>
      </c>
      <c r="AM204" s="37">
        <f t="shared" si="87"/>
        <v>19237.499704569796</v>
      </c>
    </row>
    <row r="205" spans="12:39">
      <c r="L205">
        <v>201</v>
      </c>
      <c r="M205" s="37">
        <f t="shared" si="72"/>
        <v>1.2629202467431031</v>
      </c>
      <c r="N205" s="37">
        <f t="shared" si="66"/>
        <v>21515.176348163841</v>
      </c>
      <c r="O205" s="37">
        <f t="shared" si="67"/>
        <v>12264.896707586104</v>
      </c>
      <c r="R205" s="37">
        <f t="shared" si="68"/>
        <v>-18939.376556285311</v>
      </c>
      <c r="S205" s="37">
        <f t="shared" si="69"/>
        <v>13335.427695310273</v>
      </c>
      <c r="V205" s="37">
        <f t="shared" si="70"/>
        <v>-3484.82365183616</v>
      </c>
      <c r="W205" s="37">
        <f t="shared" si="71"/>
        <v>-10235.103292413896</v>
      </c>
      <c r="Y205" s="37">
        <f t="shared" si="73"/>
        <v>-230.11510165922746</v>
      </c>
      <c r="Z205" s="37">
        <f t="shared" si="74"/>
        <v>1471.1519262481579</v>
      </c>
      <c r="AA205" s="37">
        <f t="shared" si="75"/>
        <v>6698.1166732681759</v>
      </c>
      <c r="AB205" s="37">
        <f t="shared" si="76"/>
        <v>-5605.674256201055</v>
      </c>
      <c r="AC205" s="37">
        <f t="shared" si="77"/>
        <v>205.92195934381346</v>
      </c>
      <c r="AD205" s="37">
        <f t="shared" si="78"/>
        <v>-722.85998960159168</v>
      </c>
      <c r="AE205" s="39">
        <f t="shared" si="79"/>
        <v>831.15109561287466</v>
      </c>
      <c r="AF205" s="39">
        <f t="shared" si="80"/>
        <v>247.69427443205362</v>
      </c>
      <c r="AG205" s="39">
        <f t="shared" si="81"/>
        <v>-305.94418250563768</v>
      </c>
      <c r="AH205" s="39">
        <f t="shared" si="82"/>
        <v>131.98617316470995</v>
      </c>
      <c r="AI205" s="39">
        <f t="shared" si="83"/>
        <v>-319.28495376342346</v>
      </c>
      <c r="AJ205" s="39">
        <f t="shared" si="84"/>
        <v>-1102.5404371983552</v>
      </c>
      <c r="AK205" s="37">
        <f t="shared" si="85"/>
        <v>21109.347837457273</v>
      </c>
      <c r="AL205" s="37">
        <f t="shared" si="86"/>
        <v>21531.130912211349</v>
      </c>
      <c r="AM205" s="37">
        <f t="shared" si="87"/>
        <v>17147.905053415936</v>
      </c>
    </row>
    <row r="206" spans="12:39">
      <c r="L206">
        <v>202</v>
      </c>
      <c r="M206" s="37">
        <f t="shared" si="72"/>
        <v>1.2692034320502827</v>
      </c>
      <c r="N206" s="37">
        <f t="shared" si="66"/>
        <v>21485.207907885146</v>
      </c>
      <c r="O206" s="37">
        <f t="shared" si="67"/>
        <v>12274.322723733225</v>
      </c>
      <c r="R206" s="37">
        <f t="shared" si="68"/>
        <v>-18960.354464480399</v>
      </c>
      <c r="S206" s="37">
        <f t="shared" si="69"/>
        <v>13342.025906613257</v>
      </c>
      <c r="V206" s="37">
        <f t="shared" si="70"/>
        <v>-3514.7920921148552</v>
      </c>
      <c r="W206" s="37">
        <f t="shared" si="71"/>
        <v>-10225.677276266775</v>
      </c>
      <c r="Y206" s="37">
        <f t="shared" si="73"/>
        <v>3144.6834798928371</v>
      </c>
      <c r="Z206" s="37">
        <f t="shared" si="74"/>
        <v>-1422.0427005525685</v>
      </c>
      <c r="AA206" s="37">
        <f t="shared" si="75"/>
        <v>6801.0776529400828</v>
      </c>
      <c r="AB206" s="37">
        <f t="shared" si="76"/>
        <v>-5967.1042510018506</v>
      </c>
      <c r="AC206" s="37">
        <f t="shared" si="77"/>
        <v>17.146123605401954</v>
      </c>
      <c r="AD206" s="37">
        <f t="shared" si="78"/>
        <v>-507.4116617769032</v>
      </c>
      <c r="AE206" s="39">
        <f t="shared" si="79"/>
        <v>883.83971277182582</v>
      </c>
      <c r="AF206" s="39">
        <f t="shared" si="80"/>
        <v>467.84381939000292</v>
      </c>
      <c r="AG206" s="39">
        <f t="shared" si="81"/>
        <v>-217.34912673953465</v>
      </c>
      <c r="AH206" s="39">
        <f t="shared" si="82"/>
        <v>107.26312194779133</v>
      </c>
      <c r="AI206" s="39">
        <f t="shared" si="83"/>
        <v>-649.34446242688921</v>
      </c>
      <c r="AJ206" s="39">
        <f t="shared" si="84"/>
        <v>-1082.5186031146975</v>
      </c>
      <c r="AK206" s="37">
        <f t="shared" si="85"/>
        <v>19071.039325204089</v>
      </c>
      <c r="AL206" s="37">
        <f t="shared" si="86"/>
        <v>25809.677116106483</v>
      </c>
      <c r="AM206" s="37">
        <f t="shared" si="87"/>
        <v>15833.407511122079</v>
      </c>
    </row>
    <row r="207" spans="12:39">
      <c r="L207">
        <v>203</v>
      </c>
      <c r="M207" s="37">
        <f t="shared" si="72"/>
        <v>1.2754866173574624</v>
      </c>
      <c r="N207" s="37">
        <f t="shared" si="66"/>
        <v>21455.180834141327</v>
      </c>
      <c r="O207" s="37">
        <f t="shared" si="67"/>
        <v>12283.560257794161</v>
      </c>
      <c r="R207" s="37">
        <f t="shared" si="68"/>
        <v>-18981.373416101069</v>
      </c>
      <c r="S207" s="37">
        <f t="shared" si="69"/>
        <v>13348.492180455913</v>
      </c>
      <c r="V207" s="37">
        <f t="shared" si="70"/>
        <v>-3544.8191658586711</v>
      </c>
      <c r="W207" s="37">
        <f t="shared" si="71"/>
        <v>-10216.439742205839</v>
      </c>
      <c r="Y207" s="37">
        <f t="shared" si="73"/>
        <v>6547.3655718135542</v>
      </c>
      <c r="Z207" s="37">
        <f t="shared" si="74"/>
        <v>-4469.0212837756062</v>
      </c>
      <c r="AA207" s="37">
        <f t="shared" si="75"/>
        <v>6809.6507147427837</v>
      </c>
      <c r="AB207" s="37">
        <f t="shared" si="76"/>
        <v>-6220.8100818903022</v>
      </c>
      <c r="AC207" s="37">
        <f t="shared" si="77"/>
        <v>-300.02503928713145</v>
      </c>
      <c r="AD207" s="37">
        <f t="shared" si="78"/>
        <v>-59.153691079724126</v>
      </c>
      <c r="AE207" s="39">
        <f t="shared" si="79"/>
        <v>806.12539360867152</v>
      </c>
      <c r="AF207" s="39">
        <f t="shared" si="80"/>
        <v>717.2224923676082</v>
      </c>
      <c r="AG207" s="39">
        <f t="shared" si="81"/>
        <v>-159.51327072876069</v>
      </c>
      <c r="AH207" s="39">
        <f t="shared" si="82"/>
        <v>86.938980931109782</v>
      </c>
      <c r="AI207" s="39">
        <f t="shared" si="83"/>
        <v>-946.63716216704233</v>
      </c>
      <c r="AJ207" s="39">
        <f t="shared" si="84"/>
        <v>-863.31516437844209</v>
      </c>
      <c r="AK207" s="37">
        <f t="shared" si="85"/>
        <v>18006.411179074545</v>
      </c>
      <c r="AL207" s="37">
        <f t="shared" si="86"/>
        <v>30234.338023410786</v>
      </c>
      <c r="AM207" s="37">
        <f t="shared" si="87"/>
        <v>15628.28091540065</v>
      </c>
    </row>
    <row r="208" spans="12:39">
      <c r="L208">
        <v>204</v>
      </c>
      <c r="M208" s="37">
        <f t="shared" si="72"/>
        <v>1.281769802664642</v>
      </c>
      <c r="N208" s="37">
        <f t="shared" si="66"/>
        <v>21425.096312349851</v>
      </c>
      <c r="O208" s="37">
        <f t="shared" si="67"/>
        <v>12292.608945086889</v>
      </c>
      <c r="R208" s="37">
        <f t="shared" si="68"/>
        <v>-19002.432581355104</v>
      </c>
      <c r="S208" s="37">
        <f t="shared" si="69"/>
        <v>13354.826261560822</v>
      </c>
      <c r="V208" s="37">
        <f t="shared" si="70"/>
        <v>-3574.90368765015</v>
      </c>
      <c r="W208" s="37">
        <f t="shared" si="71"/>
        <v>-10207.391054913111</v>
      </c>
      <c r="Y208" s="37">
        <f t="shared" si="73"/>
        <v>9914.6877992740538</v>
      </c>
      <c r="Z208" s="37">
        <f t="shared" si="74"/>
        <v>-7586.8205361057226</v>
      </c>
      <c r="AA208" s="37">
        <f t="shared" si="75"/>
        <v>6659.6381950992181</v>
      </c>
      <c r="AB208" s="37">
        <f t="shared" si="76"/>
        <v>-6250.3869274301642</v>
      </c>
      <c r="AC208" s="37">
        <f t="shared" si="77"/>
        <v>-592.6187318542585</v>
      </c>
      <c r="AD208" s="37">
        <f t="shared" si="78"/>
        <v>429.78928081042352</v>
      </c>
      <c r="AE208" s="39">
        <f t="shared" si="79"/>
        <v>593.61883919618469</v>
      </c>
      <c r="AF208" s="39">
        <f t="shared" si="80"/>
        <v>888.00631210599477</v>
      </c>
      <c r="AG208" s="39">
        <f t="shared" si="81"/>
        <v>-121.10289849383413</v>
      </c>
      <c r="AH208" s="39">
        <f t="shared" si="82"/>
        <v>71.196295161234261</v>
      </c>
      <c r="AI208" s="39">
        <f t="shared" si="83"/>
        <v>-1065.1346725566091</v>
      </c>
      <c r="AJ208" s="39">
        <f t="shared" si="84"/>
        <v>-529.41332645680552</v>
      </c>
      <c r="AK208" s="37">
        <f t="shared" si="85"/>
        <v>18147.332478212134</v>
      </c>
      <c r="AL208" s="37">
        <f t="shared" si="86"/>
        <v>34701.366006214019</v>
      </c>
      <c r="AM208" s="37">
        <f t="shared" si="87"/>
        <v>16655.423798682463</v>
      </c>
    </row>
    <row r="209" spans="12:39">
      <c r="L209">
        <v>205</v>
      </c>
      <c r="M209" s="37">
        <f t="shared" si="72"/>
        <v>1.2880529879718217</v>
      </c>
      <c r="N209" s="37">
        <f t="shared" si="66"/>
        <v>21394.955530196115</v>
      </c>
      <c r="O209" s="37">
        <f t="shared" si="67"/>
        <v>12301.468428384724</v>
      </c>
      <c r="R209" s="37">
        <f t="shared" si="68"/>
        <v>-19023.53112886272</v>
      </c>
      <c r="S209" s="37">
        <f t="shared" si="69"/>
        <v>13361.027899869307</v>
      </c>
      <c r="V209" s="37">
        <f t="shared" si="70"/>
        <v>-3605.0444698038846</v>
      </c>
      <c r="W209" s="37">
        <f t="shared" si="71"/>
        <v>-10198.531571615276</v>
      </c>
      <c r="Y209" s="37">
        <f t="shared" si="73"/>
        <v>13170.42955534188</v>
      </c>
      <c r="Z209" s="37">
        <f t="shared" si="74"/>
        <v>-10658.290339719502</v>
      </c>
      <c r="AA209" s="37">
        <f t="shared" si="75"/>
        <v>6363.3288291720892</v>
      </c>
      <c r="AB209" s="37">
        <f t="shared" si="76"/>
        <v>-6035.492287024952</v>
      </c>
      <c r="AC209" s="37">
        <f t="shared" si="77"/>
        <v>-751.21102556120513</v>
      </c>
      <c r="AD209" s="37">
        <f t="shared" si="78"/>
        <v>734.82238336846638</v>
      </c>
      <c r="AE209" s="39">
        <f t="shared" si="79"/>
        <v>343.93798062522148</v>
      </c>
      <c r="AF209" s="39">
        <f t="shared" si="80"/>
        <v>914.45366317796675</v>
      </c>
      <c r="AG209" s="39">
        <f t="shared" si="81"/>
        <v>-95.212070679215188</v>
      </c>
      <c r="AH209" s="39">
        <f t="shared" si="82"/>
        <v>59.297350872574476</v>
      </c>
      <c r="AI209" s="39">
        <f t="shared" si="83"/>
        <v>-999.93693550721139</v>
      </c>
      <c r="AJ209" s="39">
        <f t="shared" si="84"/>
        <v>-238.92863068207484</v>
      </c>
      <c r="AK209" s="37">
        <f t="shared" si="85"/>
        <v>19400.168569373265</v>
      </c>
      <c r="AL209" s="37">
        <f t="shared" si="86"/>
        <v>39077.389327410885</v>
      </c>
      <c r="AM209" s="37">
        <f t="shared" si="87"/>
        <v>18681.9418958473</v>
      </c>
    </row>
    <row r="210" spans="12:39">
      <c r="L210">
        <v>206</v>
      </c>
      <c r="M210" s="37">
        <f t="shared" si="72"/>
        <v>1.2943361732790013</v>
      </c>
      <c r="N210" s="37">
        <f t="shared" si="66"/>
        <v>21364.759677586597</v>
      </c>
      <c r="O210" s="37">
        <f t="shared" si="67"/>
        <v>12310.138357930438</v>
      </c>
      <c r="R210" s="37">
        <f t="shared" si="68"/>
        <v>-19044.668225689384</v>
      </c>
      <c r="S210" s="37">
        <f t="shared" si="69"/>
        <v>13367.096850551306</v>
      </c>
      <c r="V210" s="37">
        <f t="shared" si="70"/>
        <v>-3635.240322413405</v>
      </c>
      <c r="W210" s="37">
        <f t="shared" si="71"/>
        <v>-10189.861642069562</v>
      </c>
      <c r="Y210" s="37">
        <f t="shared" si="73"/>
        <v>16258.192591732774</v>
      </c>
      <c r="Z210" s="37">
        <f t="shared" si="74"/>
        <v>-13584.183685310922</v>
      </c>
      <c r="AA210" s="37">
        <f t="shared" si="75"/>
        <v>5987.7233163914862</v>
      </c>
      <c r="AB210" s="37">
        <f t="shared" si="76"/>
        <v>-5668.081095340719</v>
      </c>
      <c r="AC210" s="37">
        <f t="shared" si="77"/>
        <v>-782.79580970159975</v>
      </c>
      <c r="AD210" s="37">
        <f t="shared" si="78"/>
        <v>829.8004172241524</v>
      </c>
      <c r="AE210" s="39">
        <f t="shared" si="79"/>
        <v>148.42055618038336</v>
      </c>
      <c r="AF210" s="39">
        <f t="shared" si="80"/>
        <v>836.31409309554874</v>
      </c>
      <c r="AG210" s="39">
        <f t="shared" si="81"/>
        <v>-77.408931968768712</v>
      </c>
      <c r="AH210" s="39">
        <f t="shared" si="82"/>
        <v>50.350730136819863</v>
      </c>
      <c r="AI210" s="39">
        <f t="shared" si="83"/>
        <v>-853.80743391321437</v>
      </c>
      <c r="AJ210" s="39">
        <f t="shared" si="84"/>
        <v>-56.864406008216179</v>
      </c>
      <c r="AK210" s="37">
        <f t="shared" si="85"/>
        <v>21413.638746287252</v>
      </c>
      <c r="AL210" s="37">
        <f t="shared" si="86"/>
        <v>43253.557658551872</v>
      </c>
      <c r="AM210" s="37">
        <f t="shared" si="87"/>
        <v>21305.287796792185</v>
      </c>
    </row>
    <row r="211" spans="12:39">
      <c r="L211">
        <v>207</v>
      </c>
      <c r="M211" s="37">
        <f t="shared" si="72"/>
        <v>1.3006193585861809</v>
      </c>
      <c r="N211" s="37">
        <f t="shared" si="66"/>
        <v>21334.509946601847</v>
      </c>
      <c r="O211" s="37">
        <f t="shared" si="67"/>
        <v>12318.618391450058</v>
      </c>
      <c r="R211" s="37">
        <f t="shared" si="68"/>
        <v>-19065.843037378709</v>
      </c>
      <c r="S211" s="37">
        <f t="shared" si="69"/>
        <v>13373.03287401504</v>
      </c>
      <c r="V211" s="37">
        <f t="shared" si="70"/>
        <v>-3665.4900533981536</v>
      </c>
      <c r="W211" s="37">
        <f t="shared" si="71"/>
        <v>-10181.381608549942</v>
      </c>
      <c r="Y211" s="37">
        <f t="shared" si="73"/>
        <v>19154.204773715814</v>
      </c>
      <c r="Z211" s="37">
        <f t="shared" si="74"/>
        <v>-16314.499180828261</v>
      </c>
      <c r="AA211" s="37">
        <f t="shared" si="75"/>
        <v>5596.3254115406862</v>
      </c>
      <c r="AB211" s="37">
        <f t="shared" si="76"/>
        <v>-5253.1808867286427</v>
      </c>
      <c r="AC211" s="37">
        <f t="shared" si="77"/>
        <v>-744.36067148215363</v>
      </c>
      <c r="AD211" s="37">
        <f t="shared" si="78"/>
        <v>804.42454178333969</v>
      </c>
      <c r="AE211" s="39">
        <f t="shared" si="79"/>
        <v>25.659583991476744</v>
      </c>
      <c r="AF211" s="39">
        <f t="shared" si="80"/>
        <v>722.4800081102585</v>
      </c>
      <c r="AG211" s="39">
        <f t="shared" si="81"/>
        <v>-64.824759709062562</v>
      </c>
      <c r="AH211" s="39">
        <f t="shared" si="82"/>
        <v>43.566996089437588</v>
      </c>
      <c r="AI211" s="39">
        <f t="shared" si="83"/>
        <v>-705.1954957645678</v>
      </c>
      <c r="AJ211" s="39">
        <f t="shared" si="84"/>
        <v>38.377537583643672</v>
      </c>
      <c r="AK211" s="37">
        <f t="shared" si="85"/>
        <v>23829.514069709334</v>
      </c>
      <c r="AL211" s="37">
        <f t="shared" si="86"/>
        <v>47175.254303499853</v>
      </c>
      <c r="AM211" s="37">
        <f t="shared" si="87"/>
        <v>24189.946596613103</v>
      </c>
    </row>
    <row r="212" spans="12:39">
      <c r="L212">
        <v>208</v>
      </c>
      <c r="M212" s="37">
        <f t="shared" si="72"/>
        <v>1.3069025438933606</v>
      </c>
      <c r="N212" s="37">
        <f t="shared" si="66"/>
        <v>21304.207531449454</v>
      </c>
      <c r="O212" s="37">
        <f t="shared" si="67"/>
        <v>12326.908194166379</v>
      </c>
      <c r="R212" s="37">
        <f t="shared" si="68"/>
        <v>-19087.054727985382</v>
      </c>
      <c r="S212" s="37">
        <f t="shared" si="69"/>
        <v>13378.835735916466</v>
      </c>
      <c r="V212" s="37">
        <f t="shared" si="70"/>
        <v>-3695.7924685505473</v>
      </c>
      <c r="W212" s="37">
        <f t="shared" si="71"/>
        <v>-10173.091805833621</v>
      </c>
      <c r="Y212" s="37">
        <f t="shared" si="73"/>
        <v>21859.322395550887</v>
      </c>
      <c r="Z212" s="37">
        <f t="shared" si="74"/>
        <v>-18840.536556469666</v>
      </c>
      <c r="AA212" s="37">
        <f t="shared" si="75"/>
        <v>5224.145075799609</v>
      </c>
      <c r="AB212" s="37">
        <f t="shared" si="76"/>
        <v>-4850.9686158369732</v>
      </c>
      <c r="AC212" s="37">
        <f t="shared" si="77"/>
        <v>-680.52209692617305</v>
      </c>
      <c r="AD212" s="37">
        <f t="shared" si="78"/>
        <v>734.14485121689199</v>
      </c>
      <c r="AE212" s="39">
        <f t="shared" si="79"/>
        <v>-43.245034223519546</v>
      </c>
      <c r="AF212" s="39">
        <f t="shared" si="80"/>
        <v>612.64114689098994</v>
      </c>
      <c r="AG212" s="39">
        <f t="shared" si="81"/>
        <v>-55.643410286486507</v>
      </c>
      <c r="AH212" s="39">
        <f t="shared" si="82"/>
        <v>38.337596421881464</v>
      </c>
      <c r="AI212" s="39">
        <f t="shared" si="83"/>
        <v>-581.63365241616702</v>
      </c>
      <c r="AJ212" s="39">
        <f t="shared" si="84"/>
        <v>83.166107904020535</v>
      </c>
      <c r="AK212" s="37">
        <f t="shared" si="85"/>
        <v>26406.07782032977</v>
      </c>
      <c r="AL212" s="37">
        <f t="shared" si="86"/>
        <v>50832.857683586226</v>
      </c>
      <c r="AM212" s="37">
        <f t="shared" si="87"/>
        <v>27132.506714082305</v>
      </c>
    </row>
    <row r="213" spans="12:39">
      <c r="L213">
        <v>209</v>
      </c>
      <c r="M213" s="37">
        <f t="shared" si="72"/>
        <v>1.3131857292005402</v>
      </c>
      <c r="N213" s="37">
        <f t="shared" si="66"/>
        <v>21273.85362841688</v>
      </c>
      <c r="O213" s="37">
        <f t="shared" si="67"/>
        <v>12335.007438812183</v>
      </c>
      <c r="R213" s="37">
        <f t="shared" si="68"/>
        <v>-19108.302460108185</v>
      </c>
      <c r="S213" s="37">
        <f t="shared" si="69"/>
        <v>13384.505207168528</v>
      </c>
      <c r="V213" s="37">
        <f t="shared" si="70"/>
        <v>-3726.1463715831214</v>
      </c>
      <c r="W213" s="37">
        <f t="shared" si="71"/>
        <v>-10164.992561187817</v>
      </c>
      <c r="Y213" s="37">
        <f t="shared" si="73"/>
        <v>24386.329671334919</v>
      </c>
      <c r="Z213" s="37">
        <f t="shared" si="74"/>
        <v>-21174.25275798604</v>
      </c>
      <c r="AA213" s="37">
        <f t="shared" si="75"/>
        <v>4883.8840273365222</v>
      </c>
      <c r="AB213" s="37">
        <f t="shared" si="76"/>
        <v>-4483.8961902285273</v>
      </c>
      <c r="AC213" s="37">
        <f t="shared" si="77"/>
        <v>-613.58576077244288</v>
      </c>
      <c r="AD213" s="37">
        <f t="shared" si="78"/>
        <v>655.94953693666446</v>
      </c>
      <c r="AE213" s="39">
        <f t="shared" si="79"/>
        <v>-79.506413345585599</v>
      </c>
      <c r="AF213" s="39">
        <f t="shared" si="80"/>
        <v>519.74820931743011</v>
      </c>
      <c r="AG213" s="39">
        <f t="shared" si="81"/>
        <v>-48.73283183300876</v>
      </c>
      <c r="AH213" s="39">
        <f t="shared" si="82"/>
        <v>34.226970971104237</v>
      </c>
      <c r="AI213" s="39">
        <f t="shared" si="83"/>
        <v>-485.34651559384849</v>
      </c>
      <c r="AJ213" s="39">
        <f t="shared" si="84"/>
        <v>101.97435664813007</v>
      </c>
      <c r="AK213" s="37">
        <f t="shared" si="85"/>
        <v>29007.803419330172</v>
      </c>
      <c r="AL213" s="37">
        <f t="shared" si="86"/>
        <v>54240.024859057972</v>
      </c>
      <c r="AM213" s="37">
        <f t="shared" si="87"/>
        <v>30027.949791350678</v>
      </c>
    </row>
    <row r="214" spans="12:39">
      <c r="L214">
        <v>210</v>
      </c>
      <c r="M214" s="37">
        <f t="shared" si="72"/>
        <v>1.3194689145077199</v>
      </c>
      <c r="N214" s="37">
        <f t="shared" si="66"/>
        <v>21243.449435824241</v>
      </c>
      <c r="O214" s="37">
        <f t="shared" si="67"/>
        <v>12342.915805643162</v>
      </c>
      <c r="R214" s="37">
        <f t="shared" si="68"/>
        <v>-19129.58539492303</v>
      </c>
      <c r="S214" s="37">
        <f t="shared" si="69"/>
        <v>13390.041063950215</v>
      </c>
      <c r="V214" s="37">
        <f t="shared" si="70"/>
        <v>-3756.5505641757586</v>
      </c>
      <c r="W214" s="37">
        <f t="shared" si="71"/>
        <v>-10157.084194356838</v>
      </c>
      <c r="Y214" s="37">
        <f t="shared" si="73"/>
        <v>26751.573464906625</v>
      </c>
      <c r="Z214" s="37">
        <f t="shared" si="74"/>
        <v>-23334.20716098322</v>
      </c>
      <c r="AA214" s="37">
        <f t="shared" si="75"/>
        <v>4577.0911469503008</v>
      </c>
      <c r="AB214" s="37">
        <f t="shared" si="76"/>
        <v>-4155.9214217601948</v>
      </c>
      <c r="AC214" s="37">
        <f t="shared" si="77"/>
        <v>-552.15955001075884</v>
      </c>
      <c r="AD214" s="37">
        <f t="shared" si="78"/>
        <v>583.66774939394816</v>
      </c>
      <c r="AE214" s="39">
        <f t="shared" si="79"/>
        <v>-97.384634633669648</v>
      </c>
      <c r="AF214" s="39">
        <f t="shared" si="80"/>
        <v>444.75232539482704</v>
      </c>
      <c r="AG214" s="39">
        <f t="shared" si="81"/>
        <v>-43.383404475984662</v>
      </c>
      <c r="AH214" s="39">
        <f t="shared" si="82"/>
        <v>30.932678516942989</v>
      </c>
      <c r="AI214" s="39">
        <f t="shared" si="83"/>
        <v>-411.39151090110454</v>
      </c>
      <c r="AJ214" s="39">
        <f t="shared" si="84"/>
        <v>107.98274548217809</v>
      </c>
      <c r="AK214" s="37">
        <f t="shared" si="85"/>
        <v>31564.728345076252</v>
      </c>
      <c r="AL214" s="37">
        <f t="shared" si="86"/>
        <v>57418.455121118561</v>
      </c>
      <c r="AM214" s="37">
        <f t="shared" si="87"/>
        <v>32827.144659557991</v>
      </c>
    </row>
    <row r="215" spans="12:39">
      <c r="L215">
        <v>211</v>
      </c>
      <c r="M215" s="37">
        <f t="shared" si="72"/>
        <v>1.3257520998148995</v>
      </c>
      <c r="N215" s="37">
        <f t="shared" si="66"/>
        <v>21212.996153977005</v>
      </c>
      <c r="O215" s="37">
        <f t="shared" si="67"/>
        <v>12350.632982450537</v>
      </c>
      <c r="R215" s="37">
        <f t="shared" si="68"/>
        <v>-19150.902692216096</v>
      </c>
      <c r="S215" s="37">
        <f t="shared" si="69"/>
        <v>13395.443087715375</v>
      </c>
      <c r="V215" s="37">
        <f t="shared" si="70"/>
        <v>-3787.0038460229953</v>
      </c>
      <c r="W215" s="37">
        <f t="shared" si="71"/>
        <v>-10149.367017549463</v>
      </c>
      <c r="Y215" s="37">
        <f t="shared" si="73"/>
        <v>28971.09909463043</v>
      </c>
      <c r="Z215" s="37">
        <f t="shared" si="74"/>
        <v>-25339.209403189077</v>
      </c>
      <c r="AA215" s="37">
        <f t="shared" si="75"/>
        <v>4301.0113719449209</v>
      </c>
      <c r="AB215" s="37">
        <f t="shared" si="76"/>
        <v>-3864.0875470632209</v>
      </c>
      <c r="AC215" s="37">
        <f t="shared" si="77"/>
        <v>-498.58773361655574</v>
      </c>
      <c r="AD215" s="37">
        <f t="shared" si="78"/>
        <v>521.02567801637497</v>
      </c>
      <c r="AE215" s="39">
        <f t="shared" si="79"/>
        <v>-105.16237337859516</v>
      </c>
      <c r="AF215" s="39">
        <f t="shared" si="80"/>
        <v>384.95274261133437</v>
      </c>
      <c r="AG215" s="39">
        <f t="shared" si="81"/>
        <v>-39.14079725456341</v>
      </c>
      <c r="AH215" s="39">
        <f t="shared" si="82"/>
        <v>28.245329509838378</v>
      </c>
      <c r="AI215" s="39">
        <f t="shared" si="83"/>
        <v>-354.28456298339717</v>
      </c>
      <c r="AJ215" s="39">
        <f t="shared" si="84"/>
        <v>107.82760589520228</v>
      </c>
      <c r="AK215" s="37">
        <f t="shared" si="85"/>
        <v>34042.536527000753</v>
      </c>
      <c r="AL215" s="37">
        <f t="shared" si="86"/>
        <v>60390.630629084844</v>
      </c>
      <c r="AM215" s="37">
        <f t="shared" si="87"/>
        <v>35509.644109455592</v>
      </c>
    </row>
    <row r="216" spans="12:39">
      <c r="L216">
        <v>212</v>
      </c>
      <c r="M216" s="37">
        <f t="shared" si="72"/>
        <v>1.3320352851220791</v>
      </c>
      <c r="N216" s="37">
        <f t="shared" si="66"/>
        <v>21182.494985118592</v>
      </c>
      <c r="O216" s="37">
        <f t="shared" si="67"/>
        <v>12358.158664573377</v>
      </c>
      <c r="R216" s="37">
        <f t="shared" si="68"/>
        <v>-19172.253510416987</v>
      </c>
      <c r="S216" s="37">
        <f t="shared" si="69"/>
        <v>13400.711065201365</v>
      </c>
      <c r="V216" s="37">
        <f t="shared" si="70"/>
        <v>-3817.5050148814098</v>
      </c>
      <c r="W216" s="37">
        <f t="shared" si="71"/>
        <v>-10141.841335426623</v>
      </c>
      <c r="Y216" s="37">
        <f t="shared" si="73"/>
        <v>31059.281313900821</v>
      </c>
      <c r="Z216" s="37">
        <f t="shared" si="74"/>
        <v>-27206.124966968644</v>
      </c>
      <c r="AA216" s="37">
        <f t="shared" si="75"/>
        <v>4051.717505136643</v>
      </c>
      <c r="AB216" s="37">
        <f t="shared" si="76"/>
        <v>-3603.5747080550336</v>
      </c>
      <c r="AC216" s="37">
        <f t="shared" si="77"/>
        <v>-452.7667538727834</v>
      </c>
      <c r="AD216" s="37">
        <f t="shared" si="78"/>
        <v>467.99570880433839</v>
      </c>
      <c r="AE216" s="39">
        <f t="shared" si="79"/>
        <v>-107.4411036127223</v>
      </c>
      <c r="AF216" s="39">
        <f t="shared" si="80"/>
        <v>337.17058665333144</v>
      </c>
      <c r="AG216" s="39">
        <f t="shared" si="81"/>
        <v>-35.705869388441393</v>
      </c>
      <c r="AH216" s="39">
        <f t="shared" si="82"/>
        <v>26.018326234430067</v>
      </c>
      <c r="AI216" s="39">
        <f t="shared" si="83"/>
        <v>-309.6197808716197</v>
      </c>
      <c r="AJ216" s="39">
        <f t="shared" si="84"/>
        <v>104.80679591657687</v>
      </c>
      <c r="AK216" s="37">
        <f t="shared" si="85"/>
        <v>36425.579108681857</v>
      </c>
      <c r="AL216" s="37">
        <f t="shared" si="86"/>
        <v>63177.0998333237</v>
      </c>
      <c r="AM216" s="37">
        <f t="shared" si="87"/>
        <v>38069.164104092073</v>
      </c>
    </row>
    <row r="217" spans="12:39">
      <c r="L217">
        <v>213</v>
      </c>
      <c r="M217" s="37">
        <f t="shared" si="72"/>
        <v>1.3383184704292588</v>
      </c>
      <c r="N217" s="37">
        <f t="shared" si="66"/>
        <v>21151.947133382921</v>
      </c>
      <c r="O217" s="37">
        <f t="shared" si="67"/>
        <v>12365.492554910641</v>
      </c>
      <c r="R217" s="37">
        <f t="shared" si="68"/>
        <v>-19193.637006631958</v>
      </c>
      <c r="S217" s="37">
        <f t="shared" si="69"/>
        <v>13405.844788437449</v>
      </c>
      <c r="V217" s="37">
        <f t="shared" si="70"/>
        <v>-3848.0528666170803</v>
      </c>
      <c r="W217" s="37">
        <f t="shared" si="71"/>
        <v>-10134.507445089359</v>
      </c>
      <c r="Y217" s="37">
        <f t="shared" si="73"/>
        <v>33028.544222235047</v>
      </c>
      <c r="Z217" s="37">
        <f t="shared" si="74"/>
        <v>-28949.412857395619</v>
      </c>
      <c r="AA217" s="37">
        <f t="shared" si="75"/>
        <v>3825.3341282002511</v>
      </c>
      <c r="AB217" s="37">
        <f t="shared" si="76"/>
        <v>-3369.5768536528644</v>
      </c>
      <c r="AC217" s="37">
        <f t="shared" si="77"/>
        <v>-413.79344788430075</v>
      </c>
      <c r="AD217" s="37">
        <f t="shared" si="78"/>
        <v>423.38862203534705</v>
      </c>
      <c r="AE217" s="39">
        <f t="shared" si="79"/>
        <v>-106.75936438913548</v>
      </c>
      <c r="AF217" s="39">
        <f t="shared" si="80"/>
        <v>298.67620531015729</v>
      </c>
      <c r="AG217" s="39">
        <f t="shared" si="81"/>
        <v>-32.875806960925793</v>
      </c>
      <c r="AH217" s="39">
        <f t="shared" si="82"/>
        <v>24.1472474329066</v>
      </c>
      <c r="AI217" s="39">
        <f t="shared" si="83"/>
        <v>-274.15827653423946</v>
      </c>
      <c r="AJ217" s="39">
        <f t="shared" si="84"/>
        <v>100.56516929228313</v>
      </c>
      <c r="AK217" s="37">
        <f t="shared" si="85"/>
        <v>38707.914722955713</v>
      </c>
      <c r="AL217" s="37">
        <f t="shared" si="86"/>
        <v>65795.769349293216</v>
      </c>
      <c r="AM217" s="37">
        <f t="shared" si="87"/>
        <v>40506.250069940572</v>
      </c>
    </row>
    <row r="218" spans="12:39">
      <c r="L218">
        <v>214</v>
      </c>
      <c r="M218" s="37">
        <f t="shared" si="72"/>
        <v>1.3446016557364384</v>
      </c>
      <c r="N218" s="37">
        <f t="shared" si="66"/>
        <v>21121.353804746872</v>
      </c>
      <c r="O218" s="37">
        <f t="shared" si="67"/>
        <v>12372.634363932893</v>
      </c>
      <c r="R218" s="37">
        <f t="shared" si="68"/>
        <v>-19215.052336677189</v>
      </c>
      <c r="S218" s="37">
        <f t="shared" si="69"/>
        <v>13410.844054753026</v>
      </c>
      <c r="V218" s="37">
        <f t="shared" si="70"/>
        <v>-3878.6461952531276</v>
      </c>
      <c r="W218" s="37">
        <f t="shared" si="71"/>
        <v>-10127.365636067107</v>
      </c>
      <c r="Y218" s="37">
        <f t="shared" si="73"/>
        <v>34889.487105349632</v>
      </c>
      <c r="Z218" s="37">
        <f t="shared" si="74"/>
        <v>-30581.27770646763</v>
      </c>
      <c r="AA218" s="37">
        <f t="shared" si="75"/>
        <v>3618.4374042581007</v>
      </c>
      <c r="AB218" s="37">
        <f t="shared" si="76"/>
        <v>-3157.8825426351909</v>
      </c>
      <c r="AC218" s="37">
        <f t="shared" si="77"/>
        <v>-380.6141368259855</v>
      </c>
      <c r="AD218" s="37">
        <f t="shared" si="78"/>
        <v>385.81855551917954</v>
      </c>
      <c r="AE218" s="39">
        <f t="shared" si="79"/>
        <v>-104.52657094232543</v>
      </c>
      <c r="AF218" s="39">
        <f t="shared" si="80"/>
        <v>267.33663474071801</v>
      </c>
      <c r="AG218" s="39">
        <f t="shared" si="81"/>
        <v>-30.509209178119942</v>
      </c>
      <c r="AH218" s="39">
        <f t="shared" si="82"/>
        <v>22.556280911965903</v>
      </c>
      <c r="AI218" s="39">
        <f t="shared" si="83"/>
        <v>-245.57835670554016</v>
      </c>
      <c r="AJ218" s="39">
        <f t="shared" si="84"/>
        <v>95.925639866495601</v>
      </c>
      <c r="AK218" s="37">
        <f t="shared" si="85"/>
        <v>40888.635805288024</v>
      </c>
      <c r="AL218" s="37">
        <f t="shared" si="86"/>
        <v>68261.965214735726</v>
      </c>
      <c r="AM218" s="37">
        <f t="shared" si="87"/>
        <v>42824.612041370783</v>
      </c>
    </row>
    <row r="219" spans="12:39">
      <c r="L219">
        <v>215</v>
      </c>
      <c r="M219" s="37">
        <f t="shared" si="72"/>
        <v>1.3508848410436181</v>
      </c>
      <c r="N219" s="37">
        <f t="shared" si="66"/>
        <v>21090.716206982677</v>
      </c>
      <c r="O219" s="37">
        <f t="shared" si="67"/>
        <v>12379.583809693744</v>
      </c>
      <c r="R219" s="37">
        <f t="shared" si="68"/>
        <v>-19236.498655112126</v>
      </c>
      <c r="S219" s="37">
        <f t="shared" si="69"/>
        <v>13415.70866678562</v>
      </c>
      <c r="V219" s="37">
        <f t="shared" si="70"/>
        <v>-3909.2837930173209</v>
      </c>
      <c r="W219" s="37">
        <f t="shared" si="71"/>
        <v>-10120.416190306256</v>
      </c>
      <c r="Y219" s="37">
        <f t="shared" si="73"/>
        <v>36651.129040375432</v>
      </c>
      <c r="Z219" s="37">
        <f t="shared" si="74"/>
        <v>-32111.991658345327</v>
      </c>
      <c r="AA219" s="37">
        <f t="shared" si="75"/>
        <v>3428.1303358451078</v>
      </c>
      <c r="AB219" s="37">
        <f t="shared" si="76"/>
        <v>-2964.9732648756012</v>
      </c>
      <c r="AC219" s="37">
        <f t="shared" si="77"/>
        <v>-352.25519621475183</v>
      </c>
      <c r="AD219" s="37">
        <f t="shared" si="78"/>
        <v>354.02455143852308</v>
      </c>
      <c r="AE219" s="39">
        <f t="shared" si="79"/>
        <v>-101.53229709151219</v>
      </c>
      <c r="AF219" s="39">
        <f t="shared" si="80"/>
        <v>241.53896685860644</v>
      </c>
      <c r="AG219" s="39">
        <f t="shared" si="81"/>
        <v>-28.504938328740337</v>
      </c>
      <c r="AH219" s="39">
        <f t="shared" si="82"/>
        <v>21.189334536757997</v>
      </c>
      <c r="AI219" s="39">
        <f t="shared" si="83"/>
        <v>-222.21796079449931</v>
      </c>
      <c r="AJ219" s="39">
        <f t="shared" si="84"/>
        <v>91.296250043158622</v>
      </c>
      <c r="AK219" s="37">
        <f t="shared" si="85"/>
        <v>42969.407506504605</v>
      </c>
      <c r="AL219" s="37">
        <f t="shared" si="86"/>
        <v>70588.740341373254</v>
      </c>
      <c r="AM219" s="37">
        <f t="shared" si="87"/>
        <v>45029.288344957058</v>
      </c>
    </row>
    <row r="220" spans="12:39">
      <c r="L220">
        <v>216</v>
      </c>
      <c r="M220" s="37">
        <f t="shared" si="72"/>
        <v>1.3571680263507977</v>
      </c>
      <c r="N220" s="37">
        <f t="shared" si="66"/>
        <v>21060.035549610238</v>
      </c>
      <c r="O220" s="37">
        <f t="shared" si="67"/>
        <v>12386.340617840975</v>
      </c>
      <c r="R220" s="37">
        <f t="shared" si="68"/>
        <v>-19257.975115272831</v>
      </c>
      <c r="S220" s="37">
        <f t="shared" si="69"/>
        <v>13420.438432488681</v>
      </c>
      <c r="V220" s="37">
        <f t="shared" si="70"/>
        <v>-3939.9644503897612</v>
      </c>
      <c r="W220" s="37">
        <f t="shared" si="71"/>
        <v>-10113.659382159025</v>
      </c>
      <c r="Y220" s="37">
        <f t="shared" si="73"/>
        <v>38321.162308771141</v>
      </c>
      <c r="Z220" s="37">
        <f t="shared" si="74"/>
        <v>-33550.22522185331</v>
      </c>
      <c r="AA220" s="37">
        <f t="shared" si="75"/>
        <v>3252.0027377377319</v>
      </c>
      <c r="AB220" s="37">
        <f t="shared" si="76"/>
        <v>-2787.9609891563396</v>
      </c>
      <c r="AC220" s="37">
        <f t="shared" si="77"/>
        <v>-327.88733916604565</v>
      </c>
      <c r="AD220" s="37">
        <f t="shared" si="78"/>
        <v>326.95061879328279</v>
      </c>
      <c r="AE220" s="39">
        <f t="shared" si="79"/>
        <v>-98.221458605320677</v>
      </c>
      <c r="AF220" s="39">
        <f t="shared" si="80"/>
        <v>220.07408315121222</v>
      </c>
      <c r="AG220" s="39">
        <f t="shared" si="81"/>
        <v>-26.788972878980971</v>
      </c>
      <c r="AH220" s="39">
        <f t="shared" si="82"/>
        <v>20.004158973462062</v>
      </c>
      <c r="AI220" s="39">
        <f t="shared" si="83"/>
        <v>-202.87690768174397</v>
      </c>
      <c r="AJ220" s="39">
        <f t="shared" si="84"/>
        <v>86.87237666860851</v>
      </c>
      <c r="AK220" s="37">
        <f t="shared" si="85"/>
        <v>44953.153160920956</v>
      </c>
      <c r="AL220" s="37">
        <f t="shared" si="86"/>
        <v>72787.224771385372</v>
      </c>
      <c r="AM220" s="37">
        <f t="shared" si="87"/>
        <v>47125.725029588415</v>
      </c>
    </row>
    <row r="221" spans="12:39">
      <c r="L221">
        <v>217</v>
      </c>
      <c r="M221" s="37">
        <f t="shared" si="72"/>
        <v>1.3634512116579773</v>
      </c>
      <c r="N221" s="37">
        <f t="shared" si="66"/>
        <v>21029.313043849372</v>
      </c>
      <c r="O221" s="37">
        <f t="shared" si="67"/>
        <v>12392.904521627366</v>
      </c>
      <c r="R221" s="37">
        <f t="shared" si="68"/>
        <v>-19279.48086930544</v>
      </c>
      <c r="S221" s="37">
        <f t="shared" si="69"/>
        <v>13425.033165139157</v>
      </c>
      <c r="V221" s="37">
        <f t="shared" si="70"/>
        <v>-3970.6869561506282</v>
      </c>
      <c r="W221" s="37">
        <f t="shared" si="71"/>
        <v>-10107.095478372634</v>
      </c>
      <c r="Y221" s="37">
        <f t="shared" si="73"/>
        <v>39906.177760244245</v>
      </c>
      <c r="Z221" s="37">
        <f t="shared" si="74"/>
        <v>-34903.336889082326</v>
      </c>
      <c r="AA221" s="37">
        <f t="shared" si="75"/>
        <v>3088.0590681547092</v>
      </c>
      <c r="AB221" s="37">
        <f t="shared" si="76"/>
        <v>-2624.4856797596981</v>
      </c>
      <c r="AC221" s="37">
        <f t="shared" si="77"/>
        <v>-306.82778898808283</v>
      </c>
      <c r="AD221" s="37">
        <f t="shared" si="78"/>
        <v>303.74128132231471</v>
      </c>
      <c r="AE221" s="39">
        <f t="shared" si="79"/>
        <v>-94.844359298983392</v>
      </c>
      <c r="AF221" s="39">
        <f t="shared" si="80"/>
        <v>202.03362834506382</v>
      </c>
      <c r="AG221" s="39">
        <f t="shared" si="81"/>
        <v>-25.306014774379854</v>
      </c>
      <c r="AH221" s="39">
        <f t="shared" si="82"/>
        <v>18.968402746071646</v>
      </c>
      <c r="AI221" s="39">
        <f t="shared" si="83"/>
        <v>-186.67741491471961</v>
      </c>
      <c r="AJ221" s="39">
        <f t="shared" si="84"/>
        <v>82.73925023117927</v>
      </c>
      <c r="AK221" s="37">
        <f t="shared" si="85"/>
        <v>46843.344162767164</v>
      </c>
      <c r="AL221" s="37">
        <f t="shared" si="86"/>
        <v>74866.947297298044</v>
      </c>
      <c r="AM221" s="37">
        <f t="shared" si="87"/>
        <v>49119.320235065956</v>
      </c>
    </row>
    <row r="222" spans="12:39">
      <c r="L222">
        <v>218</v>
      </c>
      <c r="M222" s="37">
        <f t="shared" si="72"/>
        <v>1.369734396965157</v>
      </c>
      <c r="N222" s="37">
        <f t="shared" si="66"/>
        <v>20998.549902572002</v>
      </c>
      <c r="O222" s="37">
        <f t="shared" si="67"/>
        <v>12399.275261921241</v>
      </c>
      <c r="R222" s="37">
        <f t="shared" si="68"/>
        <v>-19301.015068199598</v>
      </c>
      <c r="S222" s="37">
        <f t="shared" si="69"/>
        <v>13429.49268334487</v>
      </c>
      <c r="V222" s="37">
        <f t="shared" si="70"/>
        <v>-4001.4500974279999</v>
      </c>
      <c r="W222" s="37">
        <f t="shared" si="71"/>
        <v>-10100.724738078759</v>
      </c>
      <c r="Y222" s="37">
        <f t="shared" si="73"/>
        <v>41411.853820698088</v>
      </c>
      <c r="Z222" s="37">
        <f t="shared" si="74"/>
        <v>-36177.612068796887</v>
      </c>
      <c r="AA222" s="37">
        <f t="shared" si="75"/>
        <v>2934.6451736606678</v>
      </c>
      <c r="AB222" s="37">
        <f t="shared" si="76"/>
        <v>-2472.6150390985408</v>
      </c>
      <c r="AC222" s="37">
        <f t="shared" si="77"/>
        <v>-288.52215278019918</v>
      </c>
      <c r="AD222" s="37">
        <f t="shared" si="78"/>
        <v>283.71220317388588</v>
      </c>
      <c r="AE222" s="39">
        <f t="shared" si="79"/>
        <v>-91.5398325885253</v>
      </c>
      <c r="AF222" s="39">
        <f t="shared" si="80"/>
        <v>186.73027240543081</v>
      </c>
      <c r="AG222" s="39">
        <f t="shared" si="81"/>
        <v>-24.013992159409188</v>
      </c>
      <c r="AH222" s="39">
        <f t="shared" si="82"/>
        <v>18.056918089428915</v>
      </c>
      <c r="AI222" s="39">
        <f t="shared" si="83"/>
        <v>-172.96832803226468</v>
      </c>
      <c r="AJ222" s="39">
        <f t="shared" si="84"/>
        <v>78.925012679026196</v>
      </c>
      <c r="AK222" s="37">
        <f t="shared" si="85"/>
        <v>48643.614997975375</v>
      </c>
      <c r="AL222" s="37">
        <f t="shared" si="86"/>
        <v>76836.108998771437</v>
      </c>
      <c r="AM222" s="37">
        <f t="shared" si="87"/>
        <v>51015.207811105691</v>
      </c>
    </row>
    <row r="223" spans="12:39">
      <c r="L223">
        <v>219</v>
      </c>
      <c r="M223" s="37">
        <f t="shared" si="72"/>
        <v>1.3760175822723366</v>
      </c>
      <c r="N223" s="37">
        <f t="shared" si="66"/>
        <v>20967.747340254267</v>
      </c>
      <c r="O223" s="37">
        <f t="shared" si="67"/>
        <v>12405.452587216678</v>
      </c>
      <c r="R223" s="37">
        <f t="shared" si="68"/>
        <v>-19322.576861822014</v>
      </c>
      <c r="S223" s="37">
        <f t="shared" si="69"/>
        <v>13433.816811051674</v>
      </c>
      <c r="V223" s="37">
        <f t="shared" si="70"/>
        <v>-4032.252659745734</v>
      </c>
      <c r="W223" s="37">
        <f t="shared" si="71"/>
        <v>-10094.547412783322</v>
      </c>
      <c r="Y223" s="37">
        <f t="shared" si="73"/>
        <v>42843.111138430897</v>
      </c>
      <c r="Z223" s="37">
        <f t="shared" si="74"/>
        <v>-37378.455562949421</v>
      </c>
      <c r="AA223" s="37">
        <f t="shared" si="75"/>
        <v>2790.384097270568</v>
      </c>
      <c r="AB223" s="37">
        <f t="shared" si="76"/>
        <v>-2330.7589375115977</v>
      </c>
      <c r="AC223" s="37">
        <f t="shared" si="77"/>
        <v>-272.52216446404174</v>
      </c>
      <c r="AD223" s="37">
        <f t="shared" si="78"/>
        <v>266.31752132402823</v>
      </c>
      <c r="AE223" s="39">
        <f t="shared" si="79"/>
        <v>-88.382149110173117</v>
      </c>
      <c r="AF223" s="39">
        <f t="shared" si="80"/>
        <v>173.63897270218033</v>
      </c>
      <c r="AG223" s="39">
        <f t="shared" si="81"/>
        <v>-22.880370909807233</v>
      </c>
      <c r="AH223" s="39">
        <f t="shared" si="82"/>
        <v>17.249888122600822</v>
      </c>
      <c r="AI223" s="39">
        <f t="shared" si="83"/>
        <v>-161.25964444406139</v>
      </c>
      <c r="AJ223" s="39">
        <f t="shared" si="84"/>
        <v>75.428660499247101</v>
      </c>
      <c r="AK223" s="37">
        <f t="shared" si="85"/>
        <v>50357.556535224496</v>
      </c>
      <c r="AL223" s="37">
        <f t="shared" si="86"/>
        <v>78701.808550296671</v>
      </c>
      <c r="AM223" s="37">
        <f t="shared" si="87"/>
        <v>52818.165026694674</v>
      </c>
    </row>
    <row r="224" spans="12:39">
      <c r="L224">
        <v>220</v>
      </c>
      <c r="M224" s="37">
        <f t="shared" si="72"/>
        <v>1.3823007675795163</v>
      </c>
      <c r="N224" s="37">
        <f t="shared" si="66"/>
        <v>20936.906572928587</v>
      </c>
      <c r="O224" s="37">
        <f t="shared" si="67"/>
        <v>12411.436253643449</v>
      </c>
      <c r="R224" s="37">
        <f t="shared" si="68"/>
        <v>-19344.16539894999</v>
      </c>
      <c r="S224" s="37">
        <f t="shared" si="69"/>
        <v>13438.005377550415</v>
      </c>
      <c r="V224" s="37">
        <f t="shared" si="70"/>
        <v>-4063.0934270714124</v>
      </c>
      <c r="W224" s="37">
        <f t="shared" si="71"/>
        <v>-10088.563746356551</v>
      </c>
      <c r="Y224" s="37">
        <f t="shared" si="73"/>
        <v>44204.237916508173</v>
      </c>
      <c r="Z224" s="37">
        <f t="shared" si="74"/>
        <v>-38510.545341539713</v>
      </c>
      <c r="AA224" s="37">
        <f t="shared" si="75"/>
        <v>2654.1230150385472</v>
      </c>
      <c r="AB224" s="37">
        <f t="shared" si="76"/>
        <v>-2197.6001768495835</v>
      </c>
      <c r="AC224" s="37">
        <f t="shared" si="77"/>
        <v>-258.46506432035903</v>
      </c>
      <c r="AD224" s="37">
        <f t="shared" si="78"/>
        <v>251.12091679003964</v>
      </c>
      <c r="AE224" s="39">
        <f t="shared" si="79"/>
        <v>-85.407948311502551</v>
      </c>
      <c r="AF224" s="39">
        <f t="shared" si="80"/>
        <v>162.35447246343966</v>
      </c>
      <c r="AG224" s="39">
        <f t="shared" si="81"/>
        <v>-21.879624301234031</v>
      </c>
      <c r="AH224" s="39">
        <f t="shared" si="82"/>
        <v>16.531502298977724</v>
      </c>
      <c r="AI224" s="39">
        <f t="shared" si="83"/>
        <v>-151.17749170762244</v>
      </c>
      <c r="AJ224" s="39">
        <f t="shared" si="84"/>
        <v>72.234942027622267</v>
      </c>
      <c r="AK224" s="37">
        <f t="shared" si="85"/>
        <v>51988.60851902861</v>
      </c>
      <c r="AL224" s="37">
        <f t="shared" si="86"/>
        <v>80470.225399045376</v>
      </c>
      <c r="AM224" s="37">
        <f t="shared" si="87"/>
        <v>54532.584490384601</v>
      </c>
    </row>
    <row r="225" spans="12:39">
      <c r="L225">
        <v>221</v>
      </c>
      <c r="M225" s="37">
        <f t="shared" si="72"/>
        <v>1.3885839528866959</v>
      </c>
      <c r="N225" s="37">
        <f t="shared" si="66"/>
        <v>20906.028818135652</v>
      </c>
      <c r="O225" s="37">
        <f t="shared" si="67"/>
        <v>12417.226024976655</v>
      </c>
      <c r="R225" s="37">
        <f t="shared" si="68"/>
        <v>-19365.779827305043</v>
      </c>
      <c r="S225" s="37">
        <f t="shared" si="69"/>
        <v>13442.058217483658</v>
      </c>
      <c r="V225" s="37">
        <f t="shared" si="70"/>
        <v>-4093.9711818643491</v>
      </c>
      <c r="W225" s="37">
        <f t="shared" si="71"/>
        <v>-10082.773975023345</v>
      </c>
      <c r="Y225" s="37">
        <f t="shared" si="73"/>
        <v>45498.991290987404</v>
      </c>
      <c r="Z225" s="37">
        <f t="shared" si="74"/>
        <v>-39577.955315365747</v>
      </c>
      <c r="AA225" s="37">
        <f t="shared" si="75"/>
        <v>2524.8904828783679</v>
      </c>
      <c r="AB225" s="37">
        <f t="shared" si="76"/>
        <v>-2072.0397184545636</v>
      </c>
      <c r="AC225" s="37">
        <f t="shared" si="77"/>
        <v>-246.05625385342012</v>
      </c>
      <c r="AD225" s="37">
        <f t="shared" si="78"/>
        <v>237.77200430953101</v>
      </c>
      <c r="AE225" s="39">
        <f t="shared" si="79"/>
        <v>-82.63194428041534</v>
      </c>
      <c r="AF225" s="39">
        <f t="shared" si="80"/>
        <v>152.56066155958698</v>
      </c>
      <c r="AG225" s="39">
        <f t="shared" si="81"/>
        <v>-20.991461579357573</v>
      </c>
      <c r="AH225" s="39">
        <f t="shared" si="82"/>
        <v>15.889004146065496</v>
      </c>
      <c r="AI225" s="39">
        <f t="shared" si="83"/>
        <v>-142.43284799364719</v>
      </c>
      <c r="AJ225" s="39">
        <f t="shared" si="84"/>
        <v>69.322338603878535</v>
      </c>
      <c r="AK225" s="37">
        <f t="shared" si="85"/>
        <v>53540.007784211477</v>
      </c>
      <c r="AL225" s="37">
        <f t="shared" si="86"/>
        <v>82146.768125040966</v>
      </c>
      <c r="AM225" s="37">
        <f t="shared" si="87"/>
        <v>56162.478656940861</v>
      </c>
    </row>
    <row r="226" spans="12:39">
      <c r="L226">
        <v>222</v>
      </c>
      <c r="M226" s="37">
        <f t="shared" si="72"/>
        <v>1.3948671381938755</v>
      </c>
      <c r="N226" s="37">
        <f t="shared" si="66"/>
        <v>20875.115294876345</v>
      </c>
      <c r="O226" s="37">
        <f t="shared" si="67"/>
        <v>12422.821672646034</v>
      </c>
      <c r="R226" s="37">
        <f t="shared" si="68"/>
        <v>-19387.419293586558</v>
      </c>
      <c r="S226" s="37">
        <f t="shared" si="69"/>
        <v>13445.975170852224</v>
      </c>
      <c r="V226" s="37">
        <f t="shared" si="70"/>
        <v>-4124.8847051236562</v>
      </c>
      <c r="W226" s="37">
        <f t="shared" si="71"/>
        <v>-10077.178327353966</v>
      </c>
      <c r="Y226" s="37">
        <f t="shared" si="73"/>
        <v>46730.679500694911</v>
      </c>
      <c r="Z226" s="37">
        <f t="shared" si="74"/>
        <v>-40584.253674054336</v>
      </c>
      <c r="AA226" s="37">
        <f t="shared" si="75"/>
        <v>2401.8623559516577</v>
      </c>
      <c r="AB226" s="37">
        <f t="shared" si="76"/>
        <v>-1953.1537162997981</v>
      </c>
      <c r="AC226" s="37">
        <f t="shared" si="77"/>
        <v>-235.05530780794962</v>
      </c>
      <c r="AD226" s="37">
        <f t="shared" si="78"/>
        <v>225.98772941945722</v>
      </c>
      <c r="AE226" s="39">
        <f t="shared" si="79"/>
        <v>-80.056204102999871</v>
      </c>
      <c r="AF226" s="39">
        <f t="shared" si="80"/>
        <v>144.00841647779444</v>
      </c>
      <c r="AG226" s="39">
        <f t="shared" si="81"/>
        <v>-20.199564639424786</v>
      </c>
      <c r="AH226" s="39">
        <f t="shared" si="82"/>
        <v>15.311996063452055</v>
      </c>
      <c r="AI226" s="39">
        <f t="shared" si="83"/>
        <v>-134.79953906552495</v>
      </c>
      <c r="AJ226" s="39">
        <f t="shared" si="84"/>
        <v>66.667316878210727</v>
      </c>
      <c r="AK226" s="37">
        <f t="shared" si="85"/>
        <v>55014.767817011452</v>
      </c>
      <c r="AL226" s="37">
        <f t="shared" si="86"/>
        <v>83736.194721192966</v>
      </c>
      <c r="AM226" s="37">
        <f t="shared" si="87"/>
        <v>57711.500046888228</v>
      </c>
    </row>
    <row r="227" spans="12:39">
      <c r="L227">
        <v>223</v>
      </c>
      <c r="M227" s="37">
        <f t="shared" si="72"/>
        <v>1.4011503235010552</v>
      </c>
      <c r="N227" s="37">
        <f t="shared" si="66"/>
        <v>20844.167223563632</v>
      </c>
      <c r="O227" s="37">
        <f t="shared" si="67"/>
        <v>12428.222975744997</v>
      </c>
      <c r="R227" s="37">
        <f t="shared" si="68"/>
        <v>-19409.082943505458</v>
      </c>
      <c r="S227" s="37">
        <f t="shared" si="69"/>
        <v>13449.756083021497</v>
      </c>
      <c r="V227" s="37">
        <f t="shared" si="70"/>
        <v>-4155.8327764363667</v>
      </c>
      <c r="W227" s="37">
        <f t="shared" si="71"/>
        <v>-10071.777024255003</v>
      </c>
      <c r="Y227" s="37">
        <f t="shared" si="73"/>
        <v>47902.228765194748</v>
      </c>
      <c r="Z227" s="37">
        <f t="shared" si="74"/>
        <v>-41532.582066026807</v>
      </c>
      <c r="AA227" s="37">
        <f t="shared" si="75"/>
        <v>2284.3347020476831</v>
      </c>
      <c r="AB227" s="37">
        <f t="shared" si="76"/>
        <v>-1840.1598515900696</v>
      </c>
      <c r="AC227" s="37">
        <f t="shared" si="77"/>
        <v>-225.26490992239081</v>
      </c>
      <c r="AD227" s="37">
        <f t="shared" si="78"/>
        <v>215.53793323125979</v>
      </c>
      <c r="AE227" s="39">
        <f t="shared" si="79"/>
        <v>-77.67568182068257</v>
      </c>
      <c r="AF227" s="39">
        <f t="shared" si="80"/>
        <v>136.49946301630581</v>
      </c>
      <c r="AG227" s="39">
        <f t="shared" si="81"/>
        <v>-19.490671727020636</v>
      </c>
      <c r="AH227" s="39">
        <f t="shared" si="82"/>
        <v>14.791924485540838</v>
      </c>
      <c r="AI227" s="39">
        <f t="shared" si="83"/>
        <v>-128.0985563746876</v>
      </c>
      <c r="AJ227" s="39">
        <f t="shared" si="84"/>
        <v>64.246545729413143</v>
      </c>
      <c r="AK227" s="37">
        <f t="shared" si="85"/>
        <v>56415.67578365888</v>
      </c>
      <c r="AL227" s="37">
        <f t="shared" si="86"/>
        <v>85242.71045475165</v>
      </c>
      <c r="AM227" s="37">
        <f t="shared" si="87"/>
        <v>59182.968153138841</v>
      </c>
    </row>
    <row r="228" spans="12:39">
      <c r="L228">
        <v>224</v>
      </c>
      <c r="M228" s="37">
        <f t="shared" si="72"/>
        <v>1.4074335088082348</v>
      </c>
      <c r="N228" s="37">
        <f t="shared" si="66"/>
        <v>20813.185825974382</v>
      </c>
      <c r="O228" s="37">
        <f t="shared" si="67"/>
        <v>12433.429721039345</v>
      </c>
      <c r="R228" s="37">
        <f t="shared" si="68"/>
        <v>-19430.769921817933</v>
      </c>
      <c r="S228" s="37">
        <f t="shared" si="69"/>
        <v>13453.400804727542</v>
      </c>
      <c r="V228" s="37">
        <f t="shared" si="70"/>
        <v>-4186.8141740256187</v>
      </c>
      <c r="W228" s="37">
        <f t="shared" si="71"/>
        <v>-10066.570278960655</v>
      </c>
      <c r="Y228" s="37">
        <f t="shared" si="73"/>
        <v>49016.238002478291</v>
      </c>
      <c r="Z228" s="37">
        <f t="shared" si="74"/>
        <v>-42425.719750167933</v>
      </c>
      <c r="AA228" s="37">
        <f t="shared" si="75"/>
        <v>2171.7022470864877</v>
      </c>
      <c r="AB228" s="37">
        <f t="shared" si="76"/>
        <v>-1732.3908849744398</v>
      </c>
      <c r="AC228" s="37">
        <f t="shared" si="77"/>
        <v>-216.52217227519566</v>
      </c>
      <c r="AD228" s="37">
        <f t="shared" si="78"/>
        <v>206.23421125104122</v>
      </c>
      <c r="AE228" s="39">
        <f t="shared" si="79"/>
        <v>-75.481537175980023</v>
      </c>
      <c r="AF228" s="39">
        <f t="shared" si="80"/>
        <v>129.87452305285041</v>
      </c>
      <c r="AG228" s="39">
        <f t="shared" si="81"/>
        <v>-18.853902515482719</v>
      </c>
      <c r="AH228" s="39">
        <f t="shared" si="82"/>
        <v>14.321693533023199</v>
      </c>
      <c r="AI228" s="39">
        <f t="shared" si="83"/>
        <v>-122.18673258373293</v>
      </c>
      <c r="AJ228" s="39">
        <f t="shared" si="84"/>
        <v>62.037994665167609</v>
      </c>
      <c r="AK228" s="37">
        <f t="shared" si="85"/>
        <v>57745.299032811097</v>
      </c>
      <c r="AL228" s="37">
        <f t="shared" si="86"/>
        <v>86670.047878940721</v>
      </c>
      <c r="AM228" s="37">
        <f t="shared" si="87"/>
        <v>60579.898248141122</v>
      </c>
    </row>
    <row r="229" spans="12:39">
      <c r="L229">
        <v>225</v>
      </c>
      <c r="M229" s="37">
        <f t="shared" si="72"/>
        <v>1.4137166941154145</v>
      </c>
      <c r="N229" s="37">
        <f t="shared" si="66"/>
        <v>20782.172325201118</v>
      </c>
      <c r="O229" s="37">
        <f t="shared" si="67"/>
        <v>12438.441702975695</v>
      </c>
      <c r="R229" s="37">
        <f t="shared" si="68"/>
        <v>-19452.479372359219</v>
      </c>
      <c r="S229" s="37">
        <f t="shared" si="69"/>
        <v>13456.909192082985</v>
      </c>
      <c r="V229" s="37">
        <f t="shared" si="70"/>
        <v>-4217.827674798883</v>
      </c>
      <c r="W229" s="37">
        <f t="shared" si="71"/>
        <v>-10061.558297024305</v>
      </c>
      <c r="Y229" s="37">
        <f t="shared" si="73"/>
        <v>50075.023854487139</v>
      </c>
      <c r="Z229" s="37">
        <f t="shared" si="74"/>
        <v>-43266.135916248772</v>
      </c>
      <c r="AA229" s="37">
        <f t="shared" si="75"/>
        <v>2063.4411609488898</v>
      </c>
      <c r="AB229" s="37">
        <f t="shared" si="76"/>
        <v>-1629.2737793489191</v>
      </c>
      <c r="AC229" s="37">
        <f t="shared" si="77"/>
        <v>-208.69183894028643</v>
      </c>
      <c r="AD229" s="37">
        <f t="shared" si="78"/>
        <v>197.9213149693949</v>
      </c>
      <c r="AE229" s="39">
        <f t="shared" si="79"/>
        <v>-73.463126470348257</v>
      </c>
      <c r="AF229" s="39">
        <f t="shared" si="80"/>
        <v>124.00452552491814</v>
      </c>
      <c r="AG229" s="39">
        <f t="shared" si="81"/>
        <v>-18.28025392487196</v>
      </c>
      <c r="AH229" s="39">
        <f t="shared" si="82"/>
        <v>13.895371511649074</v>
      </c>
      <c r="AI229" s="39">
        <f t="shared" si="83"/>
        <v>-116.94845854506622</v>
      </c>
      <c r="AJ229" s="39">
        <f t="shared" si="84"/>
        <v>60.021417932827681</v>
      </c>
      <c r="AK229" s="37">
        <f t="shared" si="85"/>
        <v>59005.996438624898</v>
      </c>
      <c r="AL229" s="37">
        <f t="shared" si="86"/>
        <v>88021.532613646472</v>
      </c>
      <c r="AM229" s="37">
        <f t="shared" si="87"/>
        <v>61905.029619637338</v>
      </c>
    </row>
    <row r="230" spans="12:39">
      <c r="L230">
        <v>226</v>
      </c>
      <c r="M230" s="37">
        <f t="shared" si="72"/>
        <v>1.4199998794225941</v>
      </c>
      <c r="N230" s="37">
        <f t="shared" si="66"/>
        <v>20751.127945603748</v>
      </c>
      <c r="O230" s="37">
        <f t="shared" si="67"/>
        <v>12443.258723689576</v>
      </c>
      <c r="R230" s="37">
        <f t="shared" si="68"/>
        <v>-19474.210438077378</v>
      </c>
      <c r="S230" s="37">
        <f t="shared" si="69"/>
        <v>13460.281106582703</v>
      </c>
      <c r="V230" s="37">
        <f t="shared" si="70"/>
        <v>-4248.8720543962518</v>
      </c>
      <c r="W230" s="37">
        <f t="shared" si="71"/>
        <v>-10056.741276310424</v>
      </c>
      <c r="Y230" s="37">
        <f t="shared" si="73"/>
        <v>51080.657955094044</v>
      </c>
      <c r="Z230" s="37">
        <f t="shared" si="74"/>
        <v>-44056.032641552061</v>
      </c>
      <c r="AA230" s="37">
        <f t="shared" si="75"/>
        <v>1959.0952414787466</v>
      </c>
      <c r="AB230" s="37">
        <f t="shared" si="76"/>
        <v>-1530.3131218642216</v>
      </c>
      <c r="AC230" s="37">
        <f t="shared" si="77"/>
        <v>-201.66095779558299</v>
      </c>
      <c r="AD230" s="37">
        <f t="shared" si="78"/>
        <v>190.47049637298704</v>
      </c>
      <c r="AE230" s="39">
        <f t="shared" si="79"/>
        <v>-71.609188946496815</v>
      </c>
      <c r="AF230" s="39">
        <f t="shared" si="80"/>
        <v>118.78402600404306</v>
      </c>
      <c r="AG230" s="39">
        <f t="shared" si="81"/>
        <v>-17.762218602365028</v>
      </c>
      <c r="AH230" s="39">
        <f t="shared" si="82"/>
        <v>13.507965404068367</v>
      </c>
      <c r="AI230" s="39">
        <f t="shared" si="83"/>
        <v>-112.28955024672116</v>
      </c>
      <c r="AJ230" s="39">
        <f t="shared" si="84"/>
        <v>58.178504964875621</v>
      </c>
      <c r="AK230" s="37">
        <f t="shared" si="85"/>
        <v>60199.931899117066</v>
      </c>
      <c r="AL230" s="37">
        <f t="shared" si="86"/>
        <v>89300.13773938769</v>
      </c>
      <c r="AM230" s="37">
        <f t="shared" si="87"/>
        <v>63160.852033068644</v>
      </c>
    </row>
    <row r="231" spans="12:39">
      <c r="L231">
        <v>227</v>
      </c>
      <c r="M231" s="37">
        <f t="shared" si="72"/>
        <v>1.4262830647297737</v>
      </c>
      <c r="N231" s="37">
        <f t="shared" si="66"/>
        <v>20720.053912761225</v>
      </c>
      <c r="O231" s="37">
        <f t="shared" si="67"/>
        <v>12447.88059301326</v>
      </c>
      <c r="R231" s="37">
        <f t="shared" si="68"/>
        <v>-19495.962261067143</v>
      </c>
      <c r="S231" s="37">
        <f t="shared" si="69"/>
        <v>13463.516415109283</v>
      </c>
      <c r="V231" s="37">
        <f t="shared" si="70"/>
        <v>-4279.9460872387772</v>
      </c>
      <c r="W231" s="37">
        <f t="shared" si="71"/>
        <v>-10052.11940698674</v>
      </c>
      <c r="Y231" s="37">
        <f t="shared" si="73"/>
        <v>52034.997956108971</v>
      </c>
      <c r="Z231" s="37">
        <f t="shared" si="74"/>
        <v>-44797.380390437553</v>
      </c>
      <c r="AA231" s="37">
        <f t="shared" si="75"/>
        <v>1858.2647625809552</v>
      </c>
      <c r="AB231" s="37">
        <f t="shared" si="76"/>
        <v>-1435.0778736777281</v>
      </c>
      <c r="AC231" s="37">
        <f t="shared" si="77"/>
        <v>-195.33468944001709</v>
      </c>
      <c r="AD231" s="37">
        <f t="shared" si="78"/>
        <v>183.77433249528792</v>
      </c>
      <c r="AE231" s="39">
        <f t="shared" si="79"/>
        <v>-69.908542029005275</v>
      </c>
      <c r="AF231" s="39">
        <f t="shared" si="80"/>
        <v>114.12623219270679</v>
      </c>
      <c r="AG231" s="39">
        <f t="shared" si="81"/>
        <v>-17.2934927902783</v>
      </c>
      <c r="AH231" s="39">
        <f t="shared" si="82"/>
        <v>13.155245777692208</v>
      </c>
      <c r="AI231" s="39">
        <f t="shared" si="83"/>
        <v>-108.1326546207335</v>
      </c>
      <c r="AJ231" s="39">
        <f t="shared" si="84"/>
        <v>56.492854524888926</v>
      </c>
      <c r="AK231" s="37">
        <f t="shared" si="85"/>
        <v>61329.088447082177</v>
      </c>
      <c r="AL231" s="37">
        <f t="shared" si="86"/>
        <v>90508.529035615938</v>
      </c>
      <c r="AM231" s="37">
        <f t="shared" si="87"/>
        <v>64349.629913355267</v>
      </c>
    </row>
    <row r="232" spans="12:39">
      <c r="L232">
        <v>228</v>
      </c>
      <c r="M232" s="37">
        <f t="shared" si="72"/>
        <v>1.4325662500369534</v>
      </c>
      <c r="N232" s="37">
        <f t="shared" si="66"/>
        <v>20688.951453423153</v>
      </c>
      <c r="O232" s="37">
        <f t="shared" si="67"/>
        <v>12452.307128483262</v>
      </c>
      <c r="R232" s="37">
        <f t="shared" si="68"/>
        <v>-19517.733982603793</v>
      </c>
      <c r="S232" s="37">
        <f t="shared" si="69"/>
        <v>13466.614989938284</v>
      </c>
      <c r="V232" s="37">
        <f t="shared" si="70"/>
        <v>-4311.0485465768479</v>
      </c>
      <c r="W232" s="37">
        <f t="shared" si="71"/>
        <v>-10047.692871516738</v>
      </c>
      <c r="Y232" s="37">
        <f t="shared" si="73"/>
        <v>52939.713501219449</v>
      </c>
      <c r="Z232" s="37">
        <f t="shared" si="74"/>
        <v>-45491.947535714506</v>
      </c>
      <c r="AA232" s="37">
        <f t="shared" si="75"/>
        <v>1760.5974178609467</v>
      </c>
      <c r="AB232" s="37">
        <f t="shared" si="76"/>
        <v>-1343.1907074300841</v>
      </c>
      <c r="AC232" s="37">
        <f t="shared" si="77"/>
        <v>-189.63299582851397</v>
      </c>
      <c r="AD232" s="37">
        <f t="shared" si="78"/>
        <v>177.74267849869861</v>
      </c>
      <c r="AE232" s="39">
        <f t="shared" si="79"/>
        <v>-68.350475431375003</v>
      </c>
      <c r="AF232" s="39">
        <f t="shared" si="80"/>
        <v>109.9592079927009</v>
      </c>
      <c r="AG232" s="39">
        <f t="shared" si="81"/>
        <v>-16.86875019908576</v>
      </c>
      <c r="AH232" s="39">
        <f t="shared" si="82"/>
        <v>12.833609512670909</v>
      </c>
      <c r="AI232" s="39">
        <f t="shared" si="83"/>
        <v>-104.41377019805323</v>
      </c>
      <c r="AJ232" s="39">
        <f t="shared" si="84"/>
        <v>54.949860993326816</v>
      </c>
      <c r="AK232" s="37">
        <f t="shared" si="85"/>
        <v>62395.282106665225</v>
      </c>
      <c r="AL232" s="37">
        <f t="shared" si="86"/>
        <v>91649.102815829392</v>
      </c>
      <c r="AM232" s="37">
        <f t="shared" si="87"/>
        <v>65473.424113331334</v>
      </c>
    </row>
    <row r="233" spans="12:39">
      <c r="L233">
        <v>229</v>
      </c>
      <c r="M233" s="37">
        <f t="shared" si="72"/>
        <v>1.438849435344133</v>
      </c>
      <c r="N233" s="37">
        <f t="shared" si="66"/>
        <v>20657.821795461376</v>
      </c>
      <c r="O233" s="37">
        <f t="shared" si="67"/>
        <v>12456.538155347538</v>
      </c>
      <c r="R233" s="37">
        <f t="shared" si="68"/>
        <v>-19539.524743177037</v>
      </c>
      <c r="S233" s="37">
        <f t="shared" si="69"/>
        <v>13469.576708743276</v>
      </c>
      <c r="V233" s="37">
        <f t="shared" si="70"/>
        <v>-4342.1782045386253</v>
      </c>
      <c r="W233" s="37">
        <f t="shared" si="71"/>
        <v>-10043.461844652462</v>
      </c>
      <c r="Y233" s="37">
        <f t="shared" si="73"/>
        <v>53796.308085671357</v>
      </c>
      <c r="Z233" s="37">
        <f t="shared" si="74"/>
        <v>-46141.325054617213</v>
      </c>
      <c r="AA233" s="37">
        <f t="shared" si="75"/>
        <v>1665.7809199466897</v>
      </c>
      <c r="AB233" s="37">
        <f t="shared" si="76"/>
        <v>-1254.3193681807347</v>
      </c>
      <c r="AC233" s="37">
        <f t="shared" si="77"/>
        <v>-184.48801067730807</v>
      </c>
      <c r="AD233" s="37">
        <f t="shared" si="78"/>
        <v>172.29948413673415</v>
      </c>
      <c r="AE233" s="39">
        <f t="shared" si="79"/>
        <v>-66.924960618678384</v>
      </c>
      <c r="AF233" s="39">
        <f t="shared" si="80"/>
        <v>106.22295067596492</v>
      </c>
      <c r="AG233" s="39">
        <f t="shared" si="81"/>
        <v>-16.483465218806678</v>
      </c>
      <c r="AH233" s="39">
        <f t="shared" si="82"/>
        <v>12.539971211041969</v>
      </c>
      <c r="AI233" s="39">
        <f t="shared" si="83"/>
        <v>-101.079584839823</v>
      </c>
      <c r="AJ233" s="39">
        <f t="shared" si="84"/>
        <v>53.536562249727254</v>
      </c>
      <c r="AK233" s="37">
        <f t="shared" si="85"/>
        <v>63400.175030016435</v>
      </c>
      <c r="AL233" s="37">
        <f t="shared" si="86"/>
        <v>92724.017740623793</v>
      </c>
      <c r="AM233" s="37">
        <f t="shared" si="87"/>
        <v>66534.111331425418</v>
      </c>
    </row>
    <row r="234" spans="12:39">
      <c r="L234">
        <v>230</v>
      </c>
      <c r="M234" s="37">
        <f t="shared" si="72"/>
        <v>1.4451326206513126</v>
      </c>
      <c r="N234" s="37">
        <f t="shared" si="66"/>
        <v>20626.666167821484</v>
      </c>
      <c r="O234" s="37">
        <f t="shared" si="67"/>
        <v>12460.573506572393</v>
      </c>
      <c r="R234" s="37">
        <f t="shared" si="68"/>
        <v>-19561.333682524961</v>
      </c>
      <c r="S234" s="37">
        <f t="shared" si="69"/>
        <v>13472.401454600677</v>
      </c>
      <c r="V234" s="37">
        <f t="shared" si="70"/>
        <v>-4373.3338321785177</v>
      </c>
      <c r="W234" s="37">
        <f t="shared" si="71"/>
        <v>-10039.426493427607</v>
      </c>
      <c r="Y234" s="37">
        <f t="shared" si="73"/>
        <v>54606.137544310033</v>
      </c>
      <c r="Z234" s="37">
        <f t="shared" si="74"/>
        <v>-46746.947303190485</v>
      </c>
      <c r="AA234" s="37">
        <f t="shared" si="75"/>
        <v>1573.5369146080357</v>
      </c>
      <c r="AB234" s="37">
        <f t="shared" si="76"/>
        <v>-1168.1696261123677</v>
      </c>
      <c r="AC234" s="37">
        <f t="shared" si="77"/>
        <v>-179.84194006887486</v>
      </c>
      <c r="AD234" s="37">
        <f t="shared" si="78"/>
        <v>167.38027387564517</v>
      </c>
      <c r="AE234" s="39">
        <f t="shared" si="79"/>
        <v>-65.622747675018601</v>
      </c>
      <c r="AF234" s="39">
        <f t="shared" si="80"/>
        <v>102.86712091053948</v>
      </c>
      <c r="AG234" s="39">
        <f t="shared" si="81"/>
        <v>-16.133773431889516</v>
      </c>
      <c r="AH234" s="39">
        <f t="shared" si="82"/>
        <v>12.271676578851043</v>
      </c>
      <c r="AI234" s="39">
        <f t="shared" si="83"/>
        <v>-98.085418961966766</v>
      </c>
      <c r="AJ234" s="39">
        <f t="shared" si="84"/>
        <v>52.241476386254661</v>
      </c>
      <c r="AK234" s="37">
        <f t="shared" si="85"/>
        <v>64345.287686440803</v>
      </c>
      <c r="AL234" s="37">
        <f t="shared" si="86"/>
        <v>93735.221701938615</v>
      </c>
      <c r="AM234" s="37">
        <f t="shared" si="87"/>
        <v>67533.40133610004</v>
      </c>
    </row>
    <row r="235" spans="12:39">
      <c r="L235">
        <v>231</v>
      </c>
      <c r="M235" s="37">
        <f t="shared" si="72"/>
        <v>1.4514158059584923</v>
      </c>
      <c r="N235" s="37">
        <f t="shared" si="66"/>
        <v>20595.485800474311</v>
      </c>
      <c r="O235" s="37">
        <f t="shared" si="67"/>
        <v>12464.413022849072</v>
      </c>
      <c r="R235" s="37">
        <f t="shared" si="68"/>
        <v>-19583.159939667981</v>
      </c>
      <c r="S235" s="37">
        <f t="shared" si="69"/>
        <v>13475.089115994351</v>
      </c>
      <c r="V235" s="37">
        <f t="shared" si="70"/>
        <v>-4404.5141995256899</v>
      </c>
      <c r="W235" s="37">
        <f t="shared" si="71"/>
        <v>-10035.586977150928</v>
      </c>
      <c r="Y235" s="37">
        <f t="shared" si="73"/>
        <v>55370.425759105441</v>
      </c>
      <c r="Z235" s="37">
        <f t="shared" si="74"/>
        <v>-47310.109582012214</v>
      </c>
      <c r="AA235" s="37">
        <f t="shared" si="75"/>
        <v>1483.6159445735982</v>
      </c>
      <c r="AB235" s="37">
        <f t="shared" si="76"/>
        <v>-1084.4794891745451</v>
      </c>
      <c r="AC235" s="37">
        <f t="shared" si="77"/>
        <v>-175.64537725645178</v>
      </c>
      <c r="AD235" s="37">
        <f t="shared" si="78"/>
        <v>162.93013999533872</v>
      </c>
      <c r="AE235" s="39">
        <f t="shared" si="79"/>
        <v>-64.435394429092597</v>
      </c>
      <c r="AF235" s="39">
        <f t="shared" si="80"/>
        <v>99.84926541941816</v>
      </c>
      <c r="AG235" s="39">
        <f t="shared" si="81"/>
        <v>-15.816360627640552</v>
      </c>
      <c r="AH235" s="39">
        <f t="shared" si="82"/>
        <v>12.026432803442106</v>
      </c>
      <c r="AI235" s="39">
        <f t="shared" si="83"/>
        <v>-95.393622199718635</v>
      </c>
      <c r="AJ235" s="39">
        <f t="shared" si="84"/>
        <v>51.054441772478455</v>
      </c>
      <c r="AK235" s="37">
        <f t="shared" si="85"/>
        <v>65232.010016345324</v>
      </c>
      <c r="AL235" s="37">
        <f t="shared" si="86"/>
        <v>94684.474648228759</v>
      </c>
      <c r="AM235" s="37">
        <f t="shared" si="87"/>
        <v>68472.852193678176</v>
      </c>
    </row>
    <row r="236" spans="12:39">
      <c r="L236">
        <v>232</v>
      </c>
      <c r="M236" s="37">
        <f t="shared" si="72"/>
        <v>1.4576989912656719</v>
      </c>
      <c r="N236" s="37">
        <f t="shared" si="66"/>
        <v>20564.281924367369</v>
      </c>
      <c r="O236" s="37">
        <f t="shared" si="67"/>
        <v>12468.056552600046</v>
      </c>
      <c r="R236" s="37">
        <f t="shared" si="68"/>
        <v>-19605.002652942843</v>
      </c>
      <c r="S236" s="37">
        <f t="shared" si="69"/>
        <v>13477.639586820032</v>
      </c>
      <c r="V236" s="37">
        <f t="shared" si="70"/>
        <v>-4435.7180756326306</v>
      </c>
      <c r="W236" s="37">
        <f t="shared" si="71"/>
        <v>-10031.943447399954</v>
      </c>
      <c r="Y236" s="37">
        <f t="shared" si="73"/>
        <v>56090.278059235185</v>
      </c>
      <c r="Z236" s="37">
        <f t="shared" si="74"/>
        <v>-47831.983059100065</v>
      </c>
      <c r="AA236" s="37">
        <f t="shared" si="75"/>
        <v>1395.7932559453723</v>
      </c>
      <c r="AB236" s="37">
        <f t="shared" si="76"/>
        <v>-1003.0144191768757</v>
      </c>
      <c r="AC236" s="37">
        <f t="shared" si="77"/>
        <v>-171.85594273016756</v>
      </c>
      <c r="AD236" s="37">
        <f t="shared" si="78"/>
        <v>158.90213459438314</v>
      </c>
      <c r="AE236" s="39">
        <f t="shared" si="79"/>
        <v>-63.35525586848059</v>
      </c>
      <c r="AF236" s="39">
        <f t="shared" si="80"/>
        <v>97.133414673780081</v>
      </c>
      <c r="AG236" s="39">
        <f t="shared" si="81"/>
        <v>-15.528373811390095</v>
      </c>
      <c r="AH236" s="39">
        <f t="shared" si="82"/>
        <v>11.802252194381213</v>
      </c>
      <c r="AI236" s="39">
        <f t="shared" si="83"/>
        <v>-92.972313050296862</v>
      </c>
      <c r="AJ236" s="39">
        <f t="shared" si="84"/>
        <v>49.966467726221865</v>
      </c>
      <c r="AK236" s="37">
        <f t="shared" si="85"/>
        <v>66061.611542903265</v>
      </c>
      <c r="AL236" s="37">
        <f t="shared" si="86"/>
        <v>95573.368046123418</v>
      </c>
      <c r="AM236" s="37">
        <f t="shared" si="87"/>
        <v>69353.883704863314</v>
      </c>
    </row>
    <row r="237" spans="12:39">
      <c r="L237">
        <v>233</v>
      </c>
      <c r="M237" s="37">
        <f t="shared" si="72"/>
        <v>1.4639821765728516</v>
      </c>
      <c r="N237" s="37">
        <f t="shared" si="66"/>
        <v>20533.055771376261</v>
      </c>
      <c r="O237" s="37">
        <f t="shared" si="67"/>
        <v>12471.503951985</v>
      </c>
      <c r="R237" s="37">
        <f t="shared" si="68"/>
        <v>-19626.860960036618</v>
      </c>
      <c r="S237" s="37">
        <f t="shared" si="69"/>
        <v>13480.052766389499</v>
      </c>
      <c r="V237" s="37">
        <f t="shared" si="70"/>
        <v>-4466.9442286237399</v>
      </c>
      <c r="W237" s="37">
        <f t="shared" si="71"/>
        <v>-10028.496048015</v>
      </c>
      <c r="Y237" s="37">
        <f t="shared" si="73"/>
        <v>56766.692694366604</v>
      </c>
      <c r="Z237" s="37">
        <f t="shared" si="74"/>
        <v>-48313.627501864205</v>
      </c>
      <c r="AA237" s="37">
        <f t="shared" si="75"/>
        <v>1309.8652845802885</v>
      </c>
      <c r="AB237" s="37">
        <f t="shared" si="76"/>
        <v>-923.56335187968409</v>
      </c>
      <c r="AC237" s="37">
        <f t="shared" si="77"/>
        <v>-168.43718113527197</v>
      </c>
      <c r="AD237" s="37">
        <f t="shared" si="78"/>
        <v>155.25597374241312</v>
      </c>
      <c r="AE237" s="39">
        <f t="shared" si="79"/>
        <v>-62.375451372830909</v>
      </c>
      <c r="AF237" s="39">
        <f t="shared" si="80"/>
        <v>94.688968548896682</v>
      </c>
      <c r="AG237" s="39">
        <f t="shared" si="81"/>
        <v>-15.267349346251304</v>
      </c>
      <c r="AH237" s="39">
        <f t="shared" si="82"/>
        <v>11.597406263972882</v>
      </c>
      <c r="AI237" s="39">
        <f t="shared" si="83"/>
        <v>-90.794380416189753</v>
      </c>
      <c r="AJ237" s="39">
        <f t="shared" si="84"/>
        <v>48.969598929543544</v>
      </c>
      <c r="AK237" s="37">
        <f t="shared" si="85"/>
        <v>66835.250479061142</v>
      </c>
      <c r="AL237" s="37">
        <f t="shared" si="86"/>
        <v>96403.341537819593</v>
      </c>
      <c r="AM237" s="37">
        <f t="shared" si="87"/>
        <v>70177.789247975626</v>
      </c>
    </row>
    <row r="238" spans="12:39">
      <c r="L238">
        <v>234</v>
      </c>
      <c r="M238" s="37">
        <f t="shared" si="72"/>
        <v>1.4702653618800312</v>
      </c>
      <c r="N238" s="37">
        <f t="shared" si="66"/>
        <v>20501.808574256036</v>
      </c>
      <c r="O238" s="37">
        <f t="shared" si="67"/>
        <v>12474.755084906505</v>
      </c>
      <c r="R238" s="37">
        <f t="shared" si="68"/>
        <v>-19648.733998020776</v>
      </c>
      <c r="S238" s="37">
        <f t="shared" si="69"/>
        <v>13482.328559434554</v>
      </c>
      <c r="V238" s="37">
        <f t="shared" si="70"/>
        <v>-4498.1914257439648</v>
      </c>
      <c r="W238" s="37">
        <f t="shared" si="71"/>
        <v>-10025.244915093495</v>
      </c>
      <c r="Y238" s="37">
        <f t="shared" si="73"/>
        <v>57400.570689014836</v>
      </c>
      <c r="Z238" s="37">
        <f t="shared" si="74"/>
        <v>-48756.002181086245</v>
      </c>
      <c r="AA238" s="37">
        <f t="shared" si="75"/>
        <v>1225.6466940126525</v>
      </c>
      <c r="AB238" s="37">
        <f t="shared" si="76"/>
        <v>-845.93536500847756</v>
      </c>
      <c r="AC238" s="37">
        <f t="shared" si="77"/>
        <v>-165.3576622088363</v>
      </c>
      <c r="AD238" s="37">
        <f t="shared" si="78"/>
        <v>151.95698745742979</v>
      </c>
      <c r="AE238" s="39">
        <f t="shared" si="79"/>
        <v>-61.489820694496096</v>
      </c>
      <c r="AF238" s="39">
        <f t="shared" si="80"/>
        <v>92.489804924826728</v>
      </c>
      <c r="AG238" s="39">
        <f t="shared" si="81"/>
        <v>-15.031154558600154</v>
      </c>
      <c r="AH238" s="39">
        <f t="shared" si="82"/>
        <v>11.410388091036392</v>
      </c>
      <c r="AI238" s="39">
        <f t="shared" si="83"/>
        <v>-88.836686955740035</v>
      </c>
      <c r="AJ238" s="39">
        <f t="shared" si="84"/>
        <v>48.056794441566666</v>
      </c>
      <c r="AK238" s="37">
        <f t="shared" si="85"/>
        <v>67553.981890502764</v>
      </c>
      <c r="AL238" s="37">
        <f t="shared" si="86"/>
        <v>97175.697246219919</v>
      </c>
      <c r="AM238" s="37">
        <f t="shared" si="87"/>
        <v>70945.746211906444</v>
      </c>
    </row>
    <row r="239" spans="12:39">
      <c r="L239">
        <v>235</v>
      </c>
      <c r="M239" s="37">
        <f t="shared" si="72"/>
        <v>1.4765485471872108</v>
      </c>
      <c r="N239" s="37">
        <f t="shared" si="66"/>
        <v>20470.541566592532</v>
      </c>
      <c r="O239" s="37">
        <f t="shared" si="67"/>
        <v>12477.809823015403</v>
      </c>
      <c r="R239" s="37">
        <f t="shared" si="68"/>
        <v>-19670.620903385228</v>
      </c>
      <c r="S239" s="37">
        <f t="shared" si="69"/>
        <v>13484.466876110782</v>
      </c>
      <c r="V239" s="37">
        <f t="shared" si="70"/>
        <v>-4529.458433407468</v>
      </c>
      <c r="W239" s="37">
        <f t="shared" si="71"/>
        <v>-10022.190176984597</v>
      </c>
      <c r="Y239" s="37">
        <f t="shared" si="73"/>
        <v>57992.724328245058</v>
      </c>
      <c r="Z239" s="37">
        <f t="shared" si="74"/>
        <v>-49159.97524015831</v>
      </c>
      <c r="AA239" s="37">
        <f t="shared" si="75"/>
        <v>1142.9678629082343</v>
      </c>
      <c r="AB239" s="37">
        <f t="shared" si="76"/>
        <v>-769.95687127976271</v>
      </c>
      <c r="AC239" s="37">
        <f t="shared" si="77"/>
        <v>-162.59024474578899</v>
      </c>
      <c r="AD239" s="37">
        <f t="shared" si="78"/>
        <v>148.97526452800605</v>
      </c>
      <c r="AE239" s="39">
        <f t="shared" si="79"/>
        <v>-60.692875443338139</v>
      </c>
      <c r="AF239" s="39">
        <f t="shared" si="80"/>
        <v>90.513562285318685</v>
      </c>
      <c r="AG239" s="39">
        <f t="shared" si="81"/>
        <v>-14.817940013619971</v>
      </c>
      <c r="AH239" s="39">
        <f t="shared" si="82"/>
        <v>11.239881307729076</v>
      </c>
      <c r="AI239" s="39">
        <f t="shared" si="83"/>
        <v>-87.079429288830866</v>
      </c>
      <c r="AJ239" s="39">
        <f t="shared" si="84"/>
        <v>47.221820934958295</v>
      </c>
      <c r="AK239" s="37">
        <f t="shared" si="85"/>
        <v>68218.764985137153</v>
      </c>
      <c r="AL239" s="37">
        <f t="shared" si="86"/>
        <v>97891.612094999102</v>
      </c>
      <c r="AM239" s="37">
        <f t="shared" si="87"/>
        <v>71658.825183661116</v>
      </c>
    </row>
    <row r="240" spans="12:39">
      <c r="L240">
        <v>236</v>
      </c>
      <c r="M240" s="37">
        <f t="shared" si="72"/>
        <v>1.4828317324943905</v>
      </c>
      <c r="N240" s="37">
        <f t="shared" si="66"/>
        <v>20439.255982753675</v>
      </c>
      <c r="O240" s="37">
        <f t="shared" si="67"/>
        <v>12480.668045715865</v>
      </c>
      <c r="R240" s="37">
        <f t="shared" si="68"/>
        <v>-19692.520812072427</v>
      </c>
      <c r="S240" s="37">
        <f t="shared" si="69"/>
        <v>13486.467632001106</v>
      </c>
      <c r="V240" s="37">
        <f t="shared" si="70"/>
        <v>-4560.7440172463248</v>
      </c>
      <c r="W240" s="37">
        <f t="shared" si="71"/>
        <v>-10019.331954284135</v>
      </c>
      <c r="Y240" s="37">
        <f t="shared" si="73"/>
        <v>58543.884479105953</v>
      </c>
      <c r="Z240" s="37">
        <f t="shared" si="74"/>
        <v>-49526.33176773219</v>
      </c>
      <c r="AA240" s="37">
        <f t="shared" si="75"/>
        <v>1061.6727405353399</v>
      </c>
      <c r="AB240" s="37">
        <f t="shared" si="76"/>
        <v>-695.46923901575974</v>
      </c>
      <c r="AC240" s="37">
        <f t="shared" si="77"/>
        <v>-160.11147164402786</v>
      </c>
      <c r="AD240" s="37">
        <f t="shared" si="78"/>
        <v>146.28495277470239</v>
      </c>
      <c r="AE240" s="39">
        <f t="shared" si="79"/>
        <v>-59.979750188896574</v>
      </c>
      <c r="AF240" s="39">
        <f t="shared" si="80"/>
        <v>88.741059180785825</v>
      </c>
      <c r="AG240" s="39">
        <f t="shared" si="81"/>
        <v>-14.626100315797212</v>
      </c>
      <c r="AH240" s="39">
        <f t="shared" si="82"/>
        <v>11.084734421276075</v>
      </c>
      <c r="AI240" s="39">
        <f t="shared" si="83"/>
        <v>-85.505621139334053</v>
      </c>
      <c r="AJ240" s="39">
        <f t="shared" si="84"/>
        <v>46.459159172640483</v>
      </c>
      <c r="AK240" s="37">
        <f t="shared" si="85"/>
        <v>68830.469601929392</v>
      </c>
      <c r="AL240" s="37">
        <f t="shared" si="86"/>
        <v>98552.148443295053</v>
      </c>
      <c r="AM240" s="37">
        <f t="shared" si="87"/>
        <v>72317.998036653895</v>
      </c>
    </row>
    <row r="241" spans="12:39">
      <c r="L241">
        <v>237</v>
      </c>
      <c r="M241" s="37">
        <f t="shared" si="72"/>
        <v>1.4891149178015701</v>
      </c>
      <c r="N241" s="37">
        <f t="shared" si="66"/>
        <v>20407.953057840747</v>
      </c>
      <c r="O241" s="37">
        <f t="shared" si="67"/>
        <v>12483.329640170152</v>
      </c>
      <c r="R241" s="37">
        <f t="shared" si="68"/>
        <v>-19714.432859511478</v>
      </c>
      <c r="S241" s="37">
        <f t="shared" si="69"/>
        <v>13488.330748119108</v>
      </c>
      <c r="V241" s="37">
        <f t="shared" si="70"/>
        <v>-4592.0469421592525</v>
      </c>
      <c r="W241" s="37">
        <f t="shared" si="71"/>
        <v>-10016.670359829848</v>
      </c>
      <c r="Y241" s="37">
        <f t="shared" si="73"/>
        <v>59054.706915418123</v>
      </c>
      <c r="Z241" s="37">
        <f t="shared" si="74"/>
        <v>-49855.780768143231</v>
      </c>
      <c r="AA241" s="37">
        <f t="shared" si="75"/>
        <v>981.61700471332597</v>
      </c>
      <c r="AB241" s="37">
        <f t="shared" si="76"/>
        <v>-622.32676262840857</v>
      </c>
      <c r="AC241" s="37">
        <f t="shared" si="77"/>
        <v>-157.90107100672927</v>
      </c>
      <c r="AD241" s="37">
        <f t="shared" si="78"/>
        <v>143.86368412348568</v>
      </c>
      <c r="AE241" s="39">
        <f t="shared" si="79"/>
        <v>-59.346155618453665</v>
      </c>
      <c r="AF241" s="39">
        <f t="shared" si="80"/>
        <v>87.15582217672106</v>
      </c>
      <c r="AG241" s="39">
        <f t="shared" si="81"/>
        <v>-14.454241774529777</v>
      </c>
      <c r="AH241" s="39">
        <f t="shared" si="82"/>
        <v>10.943939463992333</v>
      </c>
      <c r="AI241" s="39">
        <f t="shared" si="83"/>
        <v>-84.100673613745826</v>
      </c>
      <c r="AJ241" s="39">
        <f t="shared" si="84"/>
        <v>45.763922482772287</v>
      </c>
      <c r="AK241" s="37">
        <f t="shared" si="85"/>
        <v>69389.881969726091</v>
      </c>
      <c r="AL241" s="37">
        <f t="shared" si="86"/>
        <v>99158.263280710409</v>
      </c>
      <c r="AM241" s="37">
        <f t="shared" si="87"/>
        <v>72924.145047967337</v>
      </c>
    </row>
    <row r="242" spans="12:39">
      <c r="L242">
        <v>238</v>
      </c>
      <c r="M242" s="37">
        <f t="shared" si="72"/>
        <v>1.4953981031087498</v>
      </c>
      <c r="N242" s="37">
        <f t="shared" si="66"/>
        <v>20376.634027639622</v>
      </c>
      <c r="O242" s="37">
        <f t="shared" si="67"/>
        <v>12485.794501303073</v>
      </c>
      <c r="R242" s="37">
        <f t="shared" si="68"/>
        <v>-19736.356180652263</v>
      </c>
      <c r="S242" s="37">
        <f t="shared" si="69"/>
        <v>13490.056150912151</v>
      </c>
      <c r="V242" s="37">
        <f t="shared" si="70"/>
        <v>-4623.3659723603769</v>
      </c>
      <c r="W242" s="37">
        <f t="shared" si="71"/>
        <v>-10014.205498696927</v>
      </c>
      <c r="Y242" s="37">
        <f t="shared" si="73"/>
        <v>59525.777783898942</v>
      </c>
      <c r="Z242" s="37">
        <f t="shared" si="74"/>
        <v>-50148.961188941998</v>
      </c>
      <c r="AA242" s="37">
        <f t="shared" si="75"/>
        <v>902.66646920996129</v>
      </c>
      <c r="AB242" s="37">
        <f t="shared" si="76"/>
        <v>-550.39492056666575</v>
      </c>
      <c r="AC242" s="37">
        <f t="shared" si="77"/>
        <v>-155.94154361738012</v>
      </c>
      <c r="AD242" s="37">
        <f t="shared" si="78"/>
        <v>141.6921005605019</v>
      </c>
      <c r="AE242" s="39">
        <f t="shared" si="79"/>
        <v>-58.788335133180432</v>
      </c>
      <c r="AF242" s="39">
        <f t="shared" si="80"/>
        <v>85.743700452513252</v>
      </c>
      <c r="AG242" s="39">
        <f t="shared" si="81"/>
        <v>-14.30115564150312</v>
      </c>
      <c r="AH242" s="39">
        <f t="shared" si="82"/>
        <v>10.816614179810626</v>
      </c>
      <c r="AI242" s="39">
        <f t="shared" si="83"/>
        <v>-82.852052842696565</v>
      </c>
      <c r="AJ242" s="39">
        <f t="shared" si="84"/>
        <v>45.131785928178033</v>
      </c>
      <c r="AK242" s="37">
        <f t="shared" si="85"/>
        <v>69897.709802155179</v>
      </c>
      <c r="AL242" s="37">
        <f t="shared" si="86"/>
        <v>99710.816184819807</v>
      </c>
      <c r="AM242" s="37">
        <f t="shared" si="87"/>
        <v>73478.061156231241</v>
      </c>
    </row>
    <row r="243" spans="12:39">
      <c r="L243">
        <v>239</v>
      </c>
      <c r="M243" s="37">
        <f t="shared" si="72"/>
        <v>1.5016812884159294</v>
      </c>
      <c r="N243" s="37">
        <f t="shared" si="66"/>
        <v>20345.300128571987</v>
      </c>
      <c r="O243" s="37">
        <f t="shared" si="67"/>
        <v>12488.062531806128</v>
      </c>
      <c r="R243" s="37">
        <f t="shared" si="68"/>
        <v>-19758.28990999961</v>
      </c>
      <c r="S243" s="37">
        <f t="shared" si="69"/>
        <v>13491.643772264291</v>
      </c>
      <c r="V243" s="37">
        <f t="shared" si="70"/>
        <v>-4654.6998714280126</v>
      </c>
      <c r="W243" s="37">
        <f t="shared" si="71"/>
        <v>-10011.937468193872</v>
      </c>
      <c r="Y243" s="37">
        <f t="shared" si="73"/>
        <v>59957.618325551746</v>
      </c>
      <c r="Z243" s="37">
        <f t="shared" si="74"/>
        <v>-50406.447136655268</v>
      </c>
      <c r="AA243" s="37">
        <f t="shared" si="75"/>
        <v>824.69569740127122</v>
      </c>
      <c r="AB243" s="37">
        <f t="shared" si="76"/>
        <v>-479.5488702864148</v>
      </c>
      <c r="AC243" s="37">
        <f t="shared" si="77"/>
        <v>-154.21782123772789</v>
      </c>
      <c r="AD243" s="37">
        <f t="shared" si="78"/>
        <v>139.75346217715864</v>
      </c>
      <c r="AE243" s="39">
        <f t="shared" si="79"/>
        <v>-58.303025604822977</v>
      </c>
      <c r="AF243" s="39">
        <f t="shared" si="80"/>
        <v>84.492550146158436</v>
      </c>
      <c r="AG243" s="39">
        <f t="shared" si="81"/>
        <v>-14.165795905765078</v>
      </c>
      <c r="AH243" s="39">
        <f t="shared" si="82"/>
        <v>10.701987120804366</v>
      </c>
      <c r="AI243" s="39">
        <f t="shared" si="83"/>
        <v>-81.748999727139818</v>
      </c>
      <c r="AJ243" s="39">
        <f t="shared" si="84"/>
        <v>44.558924910195849</v>
      </c>
      <c r="AK243" s="37">
        <f t="shared" si="85"/>
        <v>70354.586788927409</v>
      </c>
      <c r="AL243" s="37">
        <f t="shared" si="86"/>
        <v>100210.5762081435</v>
      </c>
      <c r="AM243" s="37">
        <f t="shared" si="87"/>
        <v>73980.461456852383</v>
      </c>
    </row>
    <row r="244" spans="12:39">
      <c r="L244">
        <v>240</v>
      </c>
      <c r="M244" s="37">
        <f t="shared" si="72"/>
        <v>1.507964473723109</v>
      </c>
      <c r="N244" s="37">
        <f t="shared" si="66"/>
        <v>20313.952597646527</v>
      </c>
      <c r="O244" s="37">
        <f t="shared" si="67"/>
        <v>12490.133642141362</v>
      </c>
      <c r="R244" s="37">
        <f t="shared" si="68"/>
        <v>-19780.233181647433</v>
      </c>
      <c r="S244" s="37">
        <f t="shared" si="69"/>
        <v>13493.093549498954</v>
      </c>
      <c r="V244" s="37">
        <f t="shared" si="70"/>
        <v>-4686.0474023534744</v>
      </c>
      <c r="W244" s="37">
        <f t="shared" si="71"/>
        <v>-10009.866357858638</v>
      </c>
      <c r="Y244" s="37">
        <f t="shared" si="73"/>
        <v>60350.688946597664</v>
      </c>
      <c r="Z244" s="37">
        <f t="shared" si="74"/>
        <v>-50628.752389026326</v>
      </c>
      <c r="AA244" s="37">
        <f t="shared" si="75"/>
        <v>747.58678678240722</v>
      </c>
      <c r="AB244" s="37">
        <f t="shared" si="76"/>
        <v>-409.67213919783546</v>
      </c>
      <c r="AC244" s="37">
        <f t="shared" si="77"/>
        <v>-152.71698340099505</v>
      </c>
      <c r="AD244" s="37">
        <f t="shared" si="78"/>
        <v>138.03332248425335</v>
      </c>
      <c r="AE244" s="39">
        <f t="shared" si="79"/>
        <v>-57.887422611073433</v>
      </c>
      <c r="AF244" s="39">
        <f t="shared" si="80"/>
        <v>83.391975285758747</v>
      </c>
      <c r="AG244" s="39">
        <f t="shared" si="81"/>
        <v>-14.047260847130161</v>
      </c>
      <c r="AH244" s="39">
        <f t="shared" si="82"/>
        <v>10.599385155374968</v>
      </c>
      <c r="AI244" s="39">
        <f t="shared" si="83"/>
        <v>-80.78229994279144</v>
      </c>
      <c r="AJ244" s="39">
        <f t="shared" si="84"/>
        <v>44.041962043119625</v>
      </c>
      <c r="AK244" s="37">
        <f t="shared" si="85"/>
        <v>70761.076537668734</v>
      </c>
      <c r="AL244" s="37">
        <f t="shared" si="86"/>
        <v>100658.22783281433</v>
      </c>
      <c r="AM244" s="37">
        <f t="shared" si="87"/>
        <v>74431.986018065596</v>
      </c>
    </row>
    <row r="245" spans="12:39">
      <c r="L245">
        <v>241</v>
      </c>
      <c r="M245" s="37">
        <f t="shared" si="72"/>
        <v>1.5142476590302887</v>
      </c>
      <c r="N245" s="37">
        <f t="shared" si="66"/>
        <v>20282.592672410083</v>
      </c>
      <c r="O245" s="37">
        <f t="shared" si="67"/>
        <v>12492.007750544877</v>
      </c>
      <c r="R245" s="37">
        <f t="shared" si="68"/>
        <v>-19802.185129312944</v>
      </c>
      <c r="S245" s="37">
        <f t="shared" si="69"/>
        <v>13494.405425381414</v>
      </c>
      <c r="V245" s="37">
        <f t="shared" si="70"/>
        <v>-4717.4073275899191</v>
      </c>
      <c r="W245" s="37">
        <f t="shared" si="71"/>
        <v>-10007.992249455123</v>
      </c>
      <c r="Y245" s="37">
        <f t="shared" si="73"/>
        <v>60705.392717063747</v>
      </c>
      <c r="Z245" s="37">
        <f t="shared" si="74"/>
        <v>-50816.334293314714</v>
      </c>
      <c r="AA245" s="37">
        <f t="shared" si="75"/>
        <v>671.22829508190966</v>
      </c>
      <c r="AB245" s="37">
        <f t="shared" si="76"/>
        <v>-340.65547795570876</v>
      </c>
      <c r="AC245" s="37">
        <f t="shared" si="77"/>
        <v>-151.4280229000434</v>
      </c>
      <c r="AD245" s="37">
        <f t="shared" si="78"/>
        <v>136.51925926060107</v>
      </c>
      <c r="AE245" s="39">
        <f t="shared" si="79"/>
        <v>-57.539150228355822</v>
      </c>
      <c r="AF245" s="39">
        <f t="shared" si="80"/>
        <v>82.433115017299315</v>
      </c>
      <c r="AG245" s="39">
        <f t="shared" si="81"/>
        <v>-13.944777715025033</v>
      </c>
      <c r="AH245" s="39">
        <f t="shared" si="82"/>
        <v>10.50822298995663</v>
      </c>
      <c r="AI245" s="39">
        <f t="shared" si="83"/>
        <v>-79.944094956662568</v>
      </c>
      <c r="AJ245" s="39">
        <f t="shared" si="84"/>
        <v>43.577921253345139</v>
      </c>
      <c r="AK245" s="37">
        <f t="shared" si="85"/>
        <v>71117.676014195094</v>
      </c>
      <c r="AL245" s="37">
        <f t="shared" si="86"/>
        <v>101054.37610757732</v>
      </c>
      <c r="AM245" s="37">
        <f t="shared" si="87"/>
        <v>74833.204089588762</v>
      </c>
    </row>
    <row r="246" spans="12:39">
      <c r="L246">
        <v>242</v>
      </c>
      <c r="M246" s="37">
        <f t="shared" si="72"/>
        <v>1.5205308443374683</v>
      </c>
      <c r="N246" s="37">
        <f t="shared" si="66"/>
        <v>20251.221590898807</v>
      </c>
      <c r="O246" s="37">
        <f t="shared" si="67"/>
        <v>12493.68478303009</v>
      </c>
      <c r="R246" s="37">
        <f t="shared" si="68"/>
        <v>-19824.144886370836</v>
      </c>
      <c r="S246" s="37">
        <f t="shared" si="69"/>
        <v>13495.579348121062</v>
      </c>
      <c r="V246" s="37">
        <f t="shared" si="70"/>
        <v>-4748.7784091011945</v>
      </c>
      <c r="W246" s="37">
        <f t="shared" si="71"/>
        <v>-10006.31521696991</v>
      </c>
      <c r="Y246" s="37">
        <f t="shared" si="73"/>
        <v>61022.078361742191</v>
      </c>
      <c r="Z246" s="37">
        <f t="shared" si="74"/>
        <v>-50969.597124884989</v>
      </c>
      <c r="AA246" s="37">
        <f t="shared" si="75"/>
        <v>595.51428363188802</v>
      </c>
      <c r="AB246" s="37">
        <f t="shared" si="76"/>
        <v>-272.39584832540822</v>
      </c>
      <c r="AC246" s="37">
        <f t="shared" si="77"/>
        <v>-150.34165216680486</v>
      </c>
      <c r="AD246" s="37">
        <f t="shared" si="78"/>
        <v>135.20065161885029</v>
      </c>
      <c r="AE246" s="39">
        <f t="shared" si="79"/>
        <v>-57.256235327997906</v>
      </c>
      <c r="AF246" s="39">
        <f t="shared" si="80"/>
        <v>81.6084690540157</v>
      </c>
      <c r="AG246" s="39">
        <f t="shared" si="81"/>
        <v>-13.857690030160574</v>
      </c>
      <c r="AH246" s="39">
        <f t="shared" si="82"/>
        <v>10.427994385038854</v>
      </c>
      <c r="AI246" s="39">
        <f t="shared" si="83"/>
        <v>-79.227726808646366</v>
      </c>
      <c r="AJ246" s="39">
        <f t="shared" si="84"/>
        <v>43.16418817979573</v>
      </c>
      <c r="AK246" s="37">
        <f t="shared" si="85"/>
        <v>71424.818523138558</v>
      </c>
      <c r="AL246" s="37">
        <f t="shared" si="86"/>
        <v>101399.55106225607</v>
      </c>
      <c r="AM246" s="37">
        <f t="shared" si="87"/>
        <v>75184.617765408388</v>
      </c>
    </row>
    <row r="247" spans="12:39">
      <c r="L247">
        <v>243</v>
      </c>
      <c r="M247" s="37">
        <f t="shared" si="72"/>
        <v>1.526814029644648</v>
      </c>
      <c r="N247" s="37">
        <f t="shared" si="66"/>
        <v>20219.840591589284</v>
      </c>
      <c r="O247" s="37">
        <f t="shared" si="67"/>
        <v>12495.164673390625</v>
      </c>
      <c r="R247" s="37">
        <f t="shared" si="68"/>
        <v>-19846.111585887502</v>
      </c>
      <c r="S247" s="37">
        <f t="shared" si="69"/>
        <v>13496.615271373437</v>
      </c>
      <c r="V247" s="37">
        <f t="shared" si="70"/>
        <v>-4780.1594084107173</v>
      </c>
      <c r="W247" s="37">
        <f t="shared" si="71"/>
        <v>-10004.835326609375</v>
      </c>
      <c r="Y247" s="37">
        <f t="shared" si="73"/>
        <v>61301.042797037284</v>
      </c>
      <c r="Z247" s="37">
        <f t="shared" si="74"/>
        <v>-51088.894967595341</v>
      </c>
      <c r="AA247" s="37">
        <f t="shared" si="75"/>
        <v>520.34345754848562</v>
      </c>
      <c r="AB247" s="37">
        <f t="shared" si="76"/>
        <v>-204.79552251598307</v>
      </c>
      <c r="AC247" s="37">
        <f t="shared" si="77"/>
        <v>-149.45014432923421</v>
      </c>
      <c r="AD247" s="37">
        <f t="shared" si="78"/>
        <v>134.06849587867737</v>
      </c>
      <c r="AE247" s="39">
        <f t="shared" si="79"/>
        <v>-57.037086258024026</v>
      </c>
      <c r="AF247" s="39">
        <f t="shared" si="80"/>
        <v>80.911754999773606</v>
      </c>
      <c r="AG247" s="39">
        <f t="shared" si="81"/>
        <v>-13.78544710928978</v>
      </c>
      <c r="AH247" s="39">
        <f t="shared" si="82"/>
        <v>10.358264809014637</v>
      </c>
      <c r="AI247" s="39">
        <f t="shared" si="83"/>
        <v>-78.627610961920411</v>
      </c>
      <c r="AJ247" s="39">
        <f t="shared" si="84"/>
        <v>42.798476069889105</v>
      </c>
      <c r="AK247" s="37">
        <f t="shared" si="85"/>
        <v>71682.876265162689</v>
      </c>
      <c r="AL247" s="37">
        <f t="shared" si="86"/>
        <v>101694.21147856738</v>
      </c>
      <c r="AM247" s="37">
        <f t="shared" si="87"/>
        <v>75486.665153235488</v>
      </c>
    </row>
    <row r="248" spans="12:39">
      <c r="L248">
        <v>244</v>
      </c>
      <c r="M248" s="37">
        <f t="shared" si="72"/>
        <v>1.5330972149518276</v>
      </c>
      <c r="N248" s="37">
        <f t="shared" si="66"/>
        <v>20188.450913349629</v>
      </c>
      <c r="O248" s="37">
        <f t="shared" si="67"/>
        <v>12496.447363202948</v>
      </c>
      <c r="R248" s="37">
        <f t="shared" si="68"/>
        <v>-19868.084360655259</v>
      </c>
      <c r="S248" s="37">
        <f t="shared" si="69"/>
        <v>13497.513154242064</v>
      </c>
      <c r="V248" s="37">
        <f t="shared" si="70"/>
        <v>-4811.5490866503696</v>
      </c>
      <c r="W248" s="37">
        <f t="shared" si="71"/>
        <v>-10003.552636797052</v>
      </c>
      <c r="Y248" s="37">
        <f t="shared" si="73"/>
        <v>61542.533257770374</v>
      </c>
      <c r="Z248" s="37">
        <f t="shared" si="74"/>
        <v>-51174.5341668685</v>
      </c>
      <c r="AA248" s="37">
        <f t="shared" si="75"/>
        <v>445.61838538386849</v>
      </c>
      <c r="AB248" s="37">
        <f t="shared" si="76"/>
        <v>-137.76127457664438</v>
      </c>
      <c r="AC248" s="37">
        <f t="shared" si="77"/>
        <v>-148.74720400996483</v>
      </c>
      <c r="AD248" s="37">
        <f t="shared" si="78"/>
        <v>133.11525435594396</v>
      </c>
      <c r="AE248" s="39">
        <f t="shared" si="79"/>
        <v>-56.880475773946401</v>
      </c>
      <c r="AF248" s="39">
        <f t="shared" si="80"/>
        <v>80.337792558712081</v>
      </c>
      <c r="AG248" s="39">
        <f t="shared" si="81"/>
        <v>-13.727595495407609</v>
      </c>
      <c r="AH248" s="39">
        <f t="shared" si="82"/>
        <v>10.298665323630209</v>
      </c>
      <c r="AI248" s="39">
        <f t="shared" si="83"/>
        <v>-78.139132740610805</v>
      </c>
      <c r="AJ248" s="39">
        <f t="shared" si="84"/>
        <v>42.478796473601669</v>
      </c>
      <c r="AK248" s="37">
        <f t="shared" si="85"/>
        <v>71892.162501707906</v>
      </c>
      <c r="AL248" s="37">
        <f t="shared" si="86"/>
        <v>101938.7480825027</v>
      </c>
      <c r="AM248" s="37">
        <f t="shared" si="87"/>
        <v>75739.723095291367</v>
      </c>
    </row>
    <row r="249" spans="12:39">
      <c r="L249">
        <v>245</v>
      </c>
      <c r="M249" s="37">
        <f t="shared" si="72"/>
        <v>1.5393804002590072</v>
      </c>
      <c r="N249" s="37">
        <f t="shared" si="66"/>
        <v>20157.053795390599</v>
      </c>
      <c r="O249" s="37">
        <f t="shared" si="67"/>
        <v>12497.53280182866</v>
      </c>
      <c r="R249" s="37">
        <f t="shared" si="68"/>
        <v>-19890.062343226582</v>
      </c>
      <c r="S249" s="37">
        <f t="shared" si="69"/>
        <v>13498.272961280061</v>
      </c>
      <c r="V249" s="37">
        <f t="shared" si="70"/>
        <v>-4842.9462046094013</v>
      </c>
      <c r="W249" s="37">
        <f t="shared" si="71"/>
        <v>-10002.46719817134</v>
      </c>
      <c r="Y249" s="37">
        <f t="shared" si="73"/>
        <v>61746.749049961065</v>
      </c>
      <c r="Z249" s="37">
        <f t="shared" si="74"/>
        <v>-51226.775397362326</v>
      </c>
      <c r="AA249" s="37">
        <f t="shared" si="75"/>
        <v>371.24478337888604</v>
      </c>
      <c r="AB249" s="37">
        <f t="shared" si="76"/>
        <v>-71.203647398672402</v>
      </c>
      <c r="AC249" s="37">
        <f t="shared" si="77"/>
        <v>-148.22786396930712</v>
      </c>
      <c r="AD249" s="37">
        <f t="shared" si="78"/>
        <v>132.3347323971058</v>
      </c>
      <c r="AE249" s="39">
        <f t="shared" si="79"/>
        <v>-56.78552809237312</v>
      </c>
      <c r="AF249" s="39">
        <f t="shared" si="80"/>
        <v>79.882410726411152</v>
      </c>
      <c r="AG249" s="39">
        <f t="shared" si="81"/>
        <v>-13.683772042003673</v>
      </c>
      <c r="AH249" s="39">
        <f t="shared" si="82"/>
        <v>10.248887535483759</v>
      </c>
      <c r="AI249" s="39">
        <f t="shared" si="83"/>
        <v>-77.758563834930314</v>
      </c>
      <c r="AJ249" s="39">
        <f t="shared" si="84"/>
        <v>42.203434135210877</v>
      </c>
      <c r="AK249" s="37">
        <f t="shared" si="85"/>
        <v>72052.933353283166</v>
      </c>
      <c r="AL249" s="37">
        <f t="shared" si="86"/>
        <v>102133.48621189999</v>
      </c>
      <c r="AM249" s="37">
        <f t="shared" si="87"/>
        <v>75944.109478151207</v>
      </c>
    </row>
    <row r="250" spans="12:39">
      <c r="L250">
        <v>246</v>
      </c>
      <c r="M250" s="37">
        <f t="shared" si="72"/>
        <v>1.5456635855661869</v>
      </c>
      <c r="N250" s="37">
        <f t="shared" si="66"/>
        <v>20125.650477216645</v>
      </c>
      <c r="O250" s="37">
        <f t="shared" si="67"/>
        <v>12498.4209464165</v>
      </c>
      <c r="R250" s="37">
        <f t="shared" si="68"/>
        <v>-19912.04466594835</v>
      </c>
      <c r="S250" s="37">
        <f t="shared" si="69"/>
        <v>13498.894662491552</v>
      </c>
      <c r="V250" s="37">
        <f t="shared" si="70"/>
        <v>-4874.3495227833555</v>
      </c>
      <c r="W250" s="37">
        <f t="shared" si="71"/>
        <v>-10001.5790535835</v>
      </c>
      <c r="Y250" s="37">
        <f t="shared" si="73"/>
        <v>61913.84295865435</v>
      </c>
      <c r="Z250" s="37">
        <f t="shared" si="74"/>
        <v>-51245.83537951202</v>
      </c>
      <c r="AA250" s="37">
        <f t="shared" si="75"/>
        <v>297.13085139423248</v>
      </c>
      <c r="AB250" s="37">
        <f t="shared" si="76"/>
        <v>-5.0362812001195039</v>
      </c>
      <c r="AC250" s="37">
        <f t="shared" si="77"/>
        <v>-147.8884045504675</v>
      </c>
      <c r="AD250" s="37">
        <f t="shared" si="78"/>
        <v>131.72197998137563</v>
      </c>
      <c r="AE250" s="39">
        <f t="shared" si="79"/>
        <v>-56.751709971291689</v>
      </c>
      <c r="AF250" s="39">
        <f t="shared" si="80"/>
        <v>79.542374932502454</v>
      </c>
      <c r="AG250" s="39">
        <f t="shared" si="81"/>
        <v>-13.653698454193872</v>
      </c>
      <c r="AH250" s="39">
        <f t="shared" si="82"/>
        <v>10.208679481307453</v>
      </c>
      <c r="AI250" s="39">
        <f t="shared" si="83"/>
        <v>-77.482996124981952</v>
      </c>
      <c r="AJ250" s="39">
        <f t="shared" si="84"/>
        <v>41.970925567565722</v>
      </c>
      <c r="AK250" s="37">
        <f t="shared" si="85"/>
        <v>72165.389252739886</v>
      </c>
      <c r="AL250" s="37">
        <f t="shared" si="86"/>
        <v>102278.68800287464</v>
      </c>
      <c r="AM250" s="37">
        <f t="shared" si="87"/>
        <v>76100.08516325157</v>
      </c>
    </row>
    <row r="251" spans="12:39">
      <c r="L251">
        <v>247</v>
      </c>
      <c r="M251" s="37">
        <f t="shared" si="72"/>
        <v>1.5519467708733665</v>
      </c>
      <c r="N251" s="37">
        <f t="shared" si="66"/>
        <v>20094.242198576998</v>
      </c>
      <c r="O251" s="37">
        <f t="shared" si="67"/>
        <v>12499.111761904045</v>
      </c>
      <c r="R251" s="37">
        <f t="shared" si="68"/>
        <v>-19934.030460996102</v>
      </c>
      <c r="S251" s="37">
        <f t="shared" si="69"/>
        <v>13499.378233332833</v>
      </c>
      <c r="V251" s="37">
        <f t="shared" si="70"/>
        <v>-4905.7578014230021</v>
      </c>
      <c r="W251" s="37">
        <f t="shared" si="71"/>
        <v>-10000.888238095955</v>
      </c>
      <c r="Y251" s="37">
        <f t="shared" si="73"/>
        <v>62043.922333782655</v>
      </c>
      <c r="Z251" s="37">
        <f t="shared" si="74"/>
        <v>-51231.888272614407</v>
      </c>
      <c r="AA251" s="37">
        <f t="shared" si="75"/>
        <v>223.18664911899873</v>
      </c>
      <c r="AB251" s="37">
        <f t="shared" si="76"/>
        <v>60.824708790568309</v>
      </c>
      <c r="AC251" s="37">
        <f t="shared" si="77"/>
        <v>-147.72629360107825</v>
      </c>
      <c r="AD251" s="37">
        <f t="shared" si="78"/>
        <v>131.2732150332323</v>
      </c>
      <c r="AE251" s="39">
        <f t="shared" si="79"/>
        <v>-56.778825764527042</v>
      </c>
      <c r="AF251" s="39">
        <f t="shared" si="80"/>
        <v>79.315331823191016</v>
      </c>
      <c r="AG251" s="39">
        <f t="shared" si="81"/>
        <v>-13.637177134643753</v>
      </c>
      <c r="AH251" s="39">
        <f t="shared" si="82"/>
        <v>10.177842342363531</v>
      </c>
      <c r="AI251" s="39">
        <f t="shared" si="83"/>
        <v>-77.310290701907462</v>
      </c>
      <c r="AJ251" s="39">
        <f t="shared" si="84"/>
        <v>41.780040867677748</v>
      </c>
      <c r="AK251" s="37">
        <f t="shared" si="85"/>
        <v>72229.67607068448</v>
      </c>
      <c r="AL251" s="37">
        <f t="shared" si="86"/>
        <v>102374.55413012403</v>
      </c>
      <c r="AM251" s="37">
        <f t="shared" si="87"/>
        <v>76207.855564223137</v>
      </c>
    </row>
    <row r="252" spans="12:39">
      <c r="L252">
        <v>248</v>
      </c>
      <c r="M252" s="37">
        <f t="shared" si="72"/>
        <v>1.5582299561805462</v>
      </c>
      <c r="N252" s="37">
        <f t="shared" si="66"/>
        <v>20062.83019941672</v>
      </c>
      <c r="O252" s="37">
        <f t="shared" si="67"/>
        <v>12499.605221019081</v>
      </c>
      <c r="R252" s="37">
        <f t="shared" si="68"/>
        <v>-19956.018860408298</v>
      </c>
      <c r="S252" s="37">
        <f t="shared" si="69"/>
        <v>13499.723654713356</v>
      </c>
      <c r="V252" s="37">
        <f t="shared" si="70"/>
        <v>-4937.1698005832804</v>
      </c>
      <c r="W252" s="37">
        <f t="shared" si="71"/>
        <v>-10000.394778980919</v>
      </c>
      <c r="Y252" s="37">
        <f t="shared" si="73"/>
        <v>62137.049871642019</v>
      </c>
      <c r="Z252" s="37">
        <f t="shared" si="74"/>
        <v>-51185.066766339973</v>
      </c>
      <c r="AA252" s="37">
        <f t="shared" si="75"/>
        <v>149.32350231845959</v>
      </c>
      <c r="AB252" s="37">
        <f t="shared" si="76"/>
        <v>126.46131630718446</v>
      </c>
      <c r="AC252" s="37">
        <f t="shared" si="77"/>
        <v>-147.74014515737082</v>
      </c>
      <c r="AD252" s="37">
        <f t="shared" si="78"/>
        <v>130.98576627749085</v>
      </c>
      <c r="AE252" s="39">
        <f t="shared" si="79"/>
        <v>-56.8670164517129</v>
      </c>
      <c r="AF252" s="39">
        <f t="shared" si="80"/>
        <v>79.199769975288916</v>
      </c>
      <c r="AG252" s="39">
        <f t="shared" si="81"/>
        <v>-13.634088220439978</v>
      </c>
      <c r="AH252" s="39">
        <f t="shared" si="82"/>
        <v>10.156227906522357</v>
      </c>
      <c r="AI252" s="39">
        <f t="shared" si="83"/>
        <v>-77.239040485217927</v>
      </c>
      <c r="AJ252" s="39">
        <f t="shared" si="84"/>
        <v>41.629768395679577</v>
      </c>
      <c r="AK252" s="37">
        <f t="shared" si="85"/>
        <v>72245.885926155184</v>
      </c>
      <c r="AL252" s="37">
        <f t="shared" si="86"/>
        <v>102421.22512847662</v>
      </c>
      <c r="AM252" s="37">
        <f t="shared" si="87"/>
        <v>76267.571892330685</v>
      </c>
    </row>
    <row r="253" spans="12:39">
      <c r="L253">
        <v>249</v>
      </c>
      <c r="M253" s="37">
        <f t="shared" si="72"/>
        <v>1.5645131414877258</v>
      </c>
      <c r="N253" s="37">
        <f t="shared" si="66"/>
        <v>20031.41571982775</v>
      </c>
      <c r="O253" s="37">
        <f t="shared" si="67"/>
        <v>12499.901304280687</v>
      </c>
      <c r="R253" s="37">
        <f t="shared" si="68"/>
        <v>-19978.008996120574</v>
      </c>
      <c r="S253" s="37">
        <f t="shared" si="69"/>
        <v>13499.93091299648</v>
      </c>
      <c r="V253" s="37">
        <f t="shared" si="70"/>
        <v>-4968.5842801722492</v>
      </c>
      <c r="W253" s="37">
        <f t="shared" si="71"/>
        <v>-10000.098695719313</v>
      </c>
      <c r="Y253" s="37">
        <f t="shared" si="73"/>
        <v>62193.244104656573</v>
      </c>
      <c r="Z253" s="37">
        <f t="shared" si="74"/>
        <v>-51105.4628874017</v>
      </c>
      <c r="AA253" s="37">
        <f t="shared" si="75"/>
        <v>75.45342973977418</v>
      </c>
      <c r="AB253" s="37">
        <f t="shared" si="76"/>
        <v>191.95419944592987</v>
      </c>
      <c r="AC253" s="37">
        <f t="shared" si="77"/>
        <v>-147.92969571433741</v>
      </c>
      <c r="AD253" s="37">
        <f t="shared" si="78"/>
        <v>130.85803406268957</v>
      </c>
      <c r="AE253" s="39">
        <f t="shared" si="79"/>
        <v>-57.016762707622249</v>
      </c>
      <c r="AF253" s="39">
        <f t="shared" si="80"/>
        <v>79.194995353594251</v>
      </c>
      <c r="AG253" s="39">
        <f t="shared" si="81"/>
        <v>-13.644387730316678</v>
      </c>
      <c r="AH253" s="39">
        <f t="shared" si="82"/>
        <v>10.143736716542982</v>
      </c>
      <c r="AI253" s="39">
        <f t="shared" si="83"/>
        <v>-77.26854527639847</v>
      </c>
      <c r="AJ253" s="39">
        <f t="shared" si="84"/>
        <v>41.519301992552336</v>
      </c>
      <c r="AK253" s="37">
        <f t="shared" si="85"/>
        <v>72214.057691849404</v>
      </c>
      <c r="AL253" s="37">
        <f t="shared" si="86"/>
        <v>102418.78231619086</v>
      </c>
      <c r="AM253" s="37">
        <f t="shared" si="87"/>
        <v>76279.332086886454</v>
      </c>
    </row>
    <row r="254" spans="12:39">
      <c r="L254">
        <v>250</v>
      </c>
      <c r="M254" s="37">
        <f t="shared" si="72"/>
        <v>1.5707963267949054</v>
      </c>
      <c r="N254" s="37">
        <f t="shared" si="66"/>
        <v>19999.999999999956</v>
      </c>
      <c r="O254" s="37">
        <f t="shared" si="67"/>
        <v>12500</v>
      </c>
      <c r="R254" s="37">
        <f t="shared" si="68"/>
        <v>-20000.000000000029</v>
      </c>
      <c r="S254" s="37">
        <f t="shared" si="69"/>
        <v>13500</v>
      </c>
      <c r="V254" s="37">
        <f t="shared" si="70"/>
        <v>-5000.0000000000437</v>
      </c>
      <c r="W254" s="37">
        <f t="shared" si="71"/>
        <v>-10000</v>
      </c>
      <c r="Y254" s="37">
        <f t="shared" si="73"/>
        <v>62212.479607562171</v>
      </c>
      <c r="Z254" s="37">
        <f t="shared" si="74"/>
        <v>-50993.128533420902</v>
      </c>
      <c r="AA254" s="37">
        <f t="shared" si="75"/>
        <v>1.4885818826054731</v>
      </c>
      <c r="AB254" s="37">
        <f t="shared" si="76"/>
        <v>257.38321647727469</v>
      </c>
      <c r="AC254" s="37">
        <f t="shared" si="77"/>
        <v>-148.29579739093157</v>
      </c>
      <c r="AD254" s="37">
        <f t="shared" si="78"/>
        <v>130.88946810406139</v>
      </c>
      <c r="AE254" s="39">
        <f t="shared" si="79"/>
        <v>-57.228892145463668</v>
      </c>
      <c r="AF254" s="39">
        <f t="shared" si="80"/>
        <v>79.301120787280141</v>
      </c>
      <c r="AG254" s="39">
        <f t="shared" si="81"/>
        <v>-13.668106771403295</v>
      </c>
      <c r="AH254" s="39">
        <f t="shared" si="82"/>
        <v>10.140316860605175</v>
      </c>
      <c r="AI254" s="39">
        <f t="shared" si="83"/>
        <v>-77.398798474064606</v>
      </c>
      <c r="AJ254" s="39">
        <f t="shared" si="84"/>
        <v>41.448030456176056</v>
      </c>
      <c r="AK254" s="37">
        <f t="shared" si="85"/>
        <v>72134.177199481186</v>
      </c>
      <c r="AL254" s="37">
        <f t="shared" si="86"/>
        <v>102367.248334212</v>
      </c>
      <c r="AM254" s="37">
        <f t="shared" si="87"/>
        <v>76243.181443459704</v>
      </c>
    </row>
    <row r="255" spans="12:39">
      <c r="L255">
        <v>251</v>
      </c>
      <c r="M255" s="37">
        <f t="shared" si="72"/>
        <v>1.5770795121020851</v>
      </c>
      <c r="N255" s="37">
        <f t="shared" si="66"/>
        <v>19968.584280172159</v>
      </c>
      <c r="O255" s="37">
        <f t="shared" si="67"/>
        <v>12499.901304280686</v>
      </c>
      <c r="R255" s="37">
        <f t="shared" si="68"/>
        <v>-20021.991003879488</v>
      </c>
      <c r="S255" s="37">
        <f t="shared" si="69"/>
        <v>13499.93091299648</v>
      </c>
      <c r="V255" s="37">
        <f t="shared" si="70"/>
        <v>-5031.415719827839</v>
      </c>
      <c r="W255" s="37">
        <f t="shared" si="71"/>
        <v>-10000.098695719314</v>
      </c>
      <c r="Y255" s="37">
        <f t="shared" si="73"/>
        <v>62194.686923829606</v>
      </c>
      <c r="Z255" s="37">
        <f t="shared" si="74"/>
        <v>-50848.075741669258</v>
      </c>
      <c r="AA255" s="37">
        <f t="shared" si="75"/>
        <v>-72.659316812860311</v>
      </c>
      <c r="AB255" s="37">
        <f t="shared" si="76"/>
        <v>322.82795052930538</v>
      </c>
      <c r="AC255" s="37">
        <f t="shared" si="77"/>
        <v>-148.84042775460415</v>
      </c>
      <c r="AD255" s="37">
        <f t="shared" si="78"/>
        <v>131.08056157892054</v>
      </c>
      <c r="AE255" s="39">
        <f t="shared" si="79"/>
        <v>-57.504590948524623</v>
      </c>
      <c r="AF255" s="39">
        <f t="shared" si="80"/>
        <v>79.519069171320595</v>
      </c>
      <c r="AG255" s="39">
        <f t="shared" si="81"/>
        <v>-13.705351782225256</v>
      </c>
      <c r="AH255" s="39">
        <f t="shared" si="82"/>
        <v>10.145963376974551</v>
      </c>
      <c r="AI255" s="39">
        <f t="shared" si="83"/>
        <v>-77.630485023854277</v>
      </c>
      <c r="AJ255" s="39">
        <f t="shared" si="84"/>
        <v>41.415529030625386</v>
      </c>
      <c r="AK255" s="37">
        <f t="shared" si="85"/>
        <v>72006.17714721126</v>
      </c>
      <c r="AL255" s="37">
        <f t="shared" si="86"/>
        <v>102266.5873096892</v>
      </c>
      <c r="AM255" s="37">
        <f t="shared" si="87"/>
        <v>76159.112948956623</v>
      </c>
    </row>
    <row r="256" spans="12:39">
      <c r="L256">
        <v>252</v>
      </c>
      <c r="M256" s="37">
        <f t="shared" si="72"/>
        <v>1.5833626974092647</v>
      </c>
      <c r="N256" s="37">
        <f t="shared" si="66"/>
        <v>19937.169800583193</v>
      </c>
      <c r="O256" s="37">
        <f t="shared" si="67"/>
        <v>12499.605221019079</v>
      </c>
      <c r="R256" s="37">
        <f t="shared" si="68"/>
        <v>-20043.981139591764</v>
      </c>
      <c r="S256" s="37">
        <f t="shared" si="69"/>
        <v>13499.723654713356</v>
      </c>
      <c r="V256" s="37">
        <f t="shared" si="70"/>
        <v>-5062.8301994168078</v>
      </c>
      <c r="W256" s="37">
        <f t="shared" si="71"/>
        <v>-10000.394778980921</v>
      </c>
      <c r="Y256" s="37">
        <f t="shared" si="73"/>
        <v>62139.752211953848</v>
      </c>
      <c r="Z256" s="37">
        <f t="shared" si="74"/>
        <v>-50670.276696207242</v>
      </c>
      <c r="AA256" s="37">
        <f t="shared" si="75"/>
        <v>-147.07953069016239</v>
      </c>
      <c r="AB256" s="37">
        <f t="shared" si="76"/>
        <v>388.36823131876565</v>
      </c>
      <c r="AC256" s="37">
        <f t="shared" si="77"/>
        <v>-149.56671651329401</v>
      </c>
      <c r="AD256" s="37">
        <f t="shared" si="78"/>
        <v>131.43286146625081</v>
      </c>
      <c r="AE256" s="39">
        <f t="shared" si="79"/>
        <v>-57.845420194760329</v>
      </c>
      <c r="AF256" s="39">
        <f t="shared" si="80"/>
        <v>79.850590516359532</v>
      </c>
      <c r="AG256" s="39">
        <f t="shared" si="81"/>
        <v>-13.756305815217599</v>
      </c>
      <c r="AH256" s="39">
        <f t="shared" si="82"/>
        <v>10.160718259452414</v>
      </c>
      <c r="AI256" s="39">
        <f t="shared" si="83"/>
        <v>-77.964990503316102</v>
      </c>
      <c r="AJ256" s="39">
        <f t="shared" si="84"/>
        <v>41.421552690438858</v>
      </c>
      <c r="AK256" s="37">
        <f t="shared" si="85"/>
        <v>71829.936707463276</v>
      </c>
      <c r="AL256" s="37">
        <f t="shared" si="86"/>
        <v>102116.70464637765</v>
      </c>
      <c r="AM256" s="37">
        <f t="shared" si="87"/>
        <v>76027.067329120007</v>
      </c>
    </row>
    <row r="257" spans="12:39">
      <c r="L257">
        <v>253</v>
      </c>
      <c r="M257" s="37">
        <f t="shared" si="72"/>
        <v>1.5896458827164444</v>
      </c>
      <c r="N257" s="37">
        <f t="shared" si="66"/>
        <v>19905.757801422915</v>
      </c>
      <c r="O257" s="37">
        <f t="shared" si="67"/>
        <v>12499.111761904045</v>
      </c>
      <c r="R257" s="37">
        <f t="shared" si="68"/>
        <v>-20065.96953900396</v>
      </c>
      <c r="S257" s="37">
        <f t="shared" si="69"/>
        <v>13499.378233332831</v>
      </c>
      <c r="V257" s="37">
        <f t="shared" si="70"/>
        <v>-5094.2421985770861</v>
      </c>
      <c r="W257" s="37">
        <f t="shared" si="71"/>
        <v>-10000.888238095955</v>
      </c>
      <c r="Y257" s="37">
        <f t="shared" si="73"/>
        <v>62047.516607044607</v>
      </c>
      <c r="Z257" s="37">
        <f t="shared" si="74"/>
        <v>-50459.66347286458</v>
      </c>
      <c r="AA257" s="37">
        <f t="shared" si="75"/>
        <v>-221.86288894680939</v>
      </c>
      <c r="AB257" s="37">
        <f t="shared" si="76"/>
        <v>454.08466205189109</v>
      </c>
      <c r="AC257" s="37">
        <f t="shared" si="77"/>
        <v>-150.47898973357709</v>
      </c>
      <c r="AD257" s="37">
        <f t="shared" si="78"/>
        <v>131.94899547876759</v>
      </c>
      <c r="AE257" s="39">
        <f t="shared" si="79"/>
        <v>-58.253337281896066</v>
      </c>
      <c r="AF257" s="39">
        <f t="shared" si="80"/>
        <v>80.298293394675824</v>
      </c>
      <c r="AG257" s="39">
        <f t="shared" si="81"/>
        <v>-13.821230888589247</v>
      </c>
      <c r="AH257" s="39">
        <f t="shared" si="82"/>
        <v>10.184671064536763</v>
      </c>
      <c r="AI257" s="39">
        <f t="shared" si="83"/>
        <v>-78.404421563091788</v>
      </c>
      <c r="AJ257" s="39">
        <f t="shared" si="84"/>
        <v>41.466031019555011</v>
      </c>
      <c r="AK257" s="37">
        <f t="shared" si="85"/>
        <v>71605.280829750292</v>
      </c>
      <c r="AL257" s="37">
        <f t="shared" si="86"/>
        <v>101917.44643894536</v>
      </c>
      <c r="AM257" s="37">
        <f t="shared" si="87"/>
        <v>75846.932810633356</v>
      </c>
    </row>
    <row r="258" spans="12:39">
      <c r="L258">
        <v>254</v>
      </c>
      <c r="M258" s="37">
        <f t="shared" si="72"/>
        <v>1.595929068023624</v>
      </c>
      <c r="N258" s="37">
        <f t="shared" si="66"/>
        <v>19874.349522783268</v>
      </c>
      <c r="O258" s="37">
        <f t="shared" si="67"/>
        <v>12498.4209464165</v>
      </c>
      <c r="R258" s="37">
        <f t="shared" si="68"/>
        <v>-20087.955334051712</v>
      </c>
      <c r="S258" s="37">
        <f t="shared" si="69"/>
        <v>13498.894662491548</v>
      </c>
      <c r="V258" s="37">
        <f t="shared" si="70"/>
        <v>-5125.6504772167327</v>
      </c>
      <c r="W258" s="37">
        <f t="shared" si="71"/>
        <v>-10001.5790535835</v>
      </c>
      <c r="Y258" s="37">
        <f t="shared" si="73"/>
        <v>61917.775288854507</v>
      </c>
      <c r="Z258" s="37">
        <f t="shared" si="74"/>
        <v>-50216.127517403795</v>
      </c>
      <c r="AA258" s="37">
        <f t="shared" si="75"/>
        <v>-297.10238381359795</v>
      </c>
      <c r="AB258" s="37">
        <f t="shared" si="76"/>
        <v>520.05915979127485</v>
      </c>
      <c r="AC258" s="37">
        <f t="shared" si="77"/>
        <v>-151.58283271955818</v>
      </c>
      <c r="AD258" s="37">
        <f t="shared" si="78"/>
        <v>132.63271640978465</v>
      </c>
      <c r="AE258" s="39">
        <f t="shared" si="79"/>
        <v>-58.730722979307572</v>
      </c>
      <c r="AF258" s="39">
        <f t="shared" si="80"/>
        <v>80.865691781221997</v>
      </c>
      <c r="AG258" s="39">
        <f t="shared" si="81"/>
        <v>-13.900471465090922</v>
      </c>
      <c r="AH258" s="39">
        <f t="shared" si="82"/>
        <v>10.217960135543768</v>
      </c>
      <c r="AI258" s="39">
        <f t="shared" si="83"/>
        <v>-78.951638275159695</v>
      </c>
      <c r="AJ258" s="39">
        <f t="shared" si="84"/>
        <v>41.549064493018896</v>
      </c>
      <c r="AK258" s="37">
        <f t="shared" si="85"/>
        <v>71331.979229319841</v>
      </c>
      <c r="AL258" s="37">
        <f t="shared" si="86"/>
        <v>101668.59850252436</v>
      </c>
      <c r="AM258" s="37">
        <f t="shared" si="87"/>
        <v>75618.544596756634</v>
      </c>
    </row>
    <row r="259" spans="12:39">
      <c r="L259">
        <v>255</v>
      </c>
      <c r="M259" s="37">
        <f t="shared" si="72"/>
        <v>1.6022122533308036</v>
      </c>
      <c r="N259" s="37">
        <f t="shared" si="66"/>
        <v>19842.946204609314</v>
      </c>
      <c r="O259" s="37">
        <f t="shared" si="67"/>
        <v>12497.532801828656</v>
      </c>
      <c r="R259" s="37">
        <f t="shared" si="68"/>
        <v>-20109.93765677348</v>
      </c>
      <c r="S259" s="37">
        <f t="shared" si="69"/>
        <v>13498.272961280059</v>
      </c>
      <c r="V259" s="37">
        <f t="shared" si="70"/>
        <v>-5157.0537953906869</v>
      </c>
      <c r="W259" s="37">
        <f t="shared" si="71"/>
        <v>-10002.467198171344</v>
      </c>
      <c r="Y259" s="37">
        <f t="shared" si="73"/>
        <v>61750.276242857763</v>
      </c>
      <c r="Z259" s="37">
        <f t="shared" si="74"/>
        <v>-49939.518847956933</v>
      </c>
      <c r="AA259" s="37">
        <f t="shared" si="75"/>
        <v>-372.89380017337703</v>
      </c>
      <c r="AB259" s="37">
        <f t="shared" si="76"/>
        <v>586.37551799616722</v>
      </c>
      <c r="AC259" s="37">
        <f t="shared" si="77"/>
        <v>-152.88517320818084</v>
      </c>
      <c r="AD259" s="37">
        <f t="shared" si="78"/>
        <v>133.48896523023433</v>
      </c>
      <c r="AE259" s="39">
        <f t="shared" si="79"/>
        <v>-59.280414771268482</v>
      </c>
      <c r="AF259" s="39">
        <f t="shared" si="80"/>
        <v>81.55726878936477</v>
      </c>
      <c r="AG259" s="39">
        <f t="shared" si="81"/>
        <v>-13.994459145247438</v>
      </c>
      <c r="AH259" s="39">
        <f t="shared" si="82"/>
        <v>10.260774473857596</v>
      </c>
      <c r="AI259" s="39">
        <f t="shared" si="83"/>
        <v>-79.61029929166493</v>
      </c>
      <c r="AJ259" s="39">
        <f t="shared" si="84"/>
        <v>41.670921967011978</v>
      </c>
      <c r="AK259" s="37">
        <f t="shared" si="85"/>
        <v>71009.745048406796</v>
      </c>
      <c r="AL259" s="37">
        <f t="shared" si="86"/>
        <v>101369.88500293437</v>
      </c>
      <c r="AM259" s="37">
        <f t="shared" si="87"/>
        <v>75341.684052220124</v>
      </c>
    </row>
    <row r="260" spans="12:39">
      <c r="L260">
        <v>256</v>
      </c>
      <c r="M260" s="37">
        <f t="shared" si="72"/>
        <v>1.6084954386379833</v>
      </c>
      <c r="N260" s="37">
        <f t="shared" si="66"/>
        <v>19811.549086650281</v>
      </c>
      <c r="O260" s="37">
        <f t="shared" si="67"/>
        <v>12496.447363202944</v>
      </c>
      <c r="R260" s="37">
        <f t="shared" si="68"/>
        <v>-20131.915639344803</v>
      </c>
      <c r="S260" s="37">
        <f t="shared" si="69"/>
        <v>13497.51315424206</v>
      </c>
      <c r="V260" s="37">
        <f t="shared" si="70"/>
        <v>-5188.4509133497186</v>
      </c>
      <c r="W260" s="37">
        <f t="shared" si="71"/>
        <v>-10003.552636797056</v>
      </c>
      <c r="Y260" s="37">
        <f t="shared" si="73"/>
        <v>61544.71869612005</v>
      </c>
      <c r="Z260" s="37">
        <f t="shared" si="74"/>
        <v>-49629.644968305067</v>
      </c>
      <c r="AA260" s="37">
        <f t="shared" si="75"/>
        <v>-449.33638677746745</v>
      </c>
      <c r="AB260" s="37">
        <f t="shared" si="76"/>
        <v>653.12000061128435</v>
      </c>
      <c r="AC260" s="37">
        <f t="shared" si="77"/>
        <v>-154.39438712529852</v>
      </c>
      <c r="AD260" s="37">
        <f t="shared" si="78"/>
        <v>134.52395484713861</v>
      </c>
      <c r="AE260" s="39">
        <f t="shared" si="79"/>
        <v>-59.905747318972196</v>
      </c>
      <c r="AF260" s="39">
        <f t="shared" si="80"/>
        <v>82.378559376633817</v>
      </c>
      <c r="AG260" s="39">
        <f t="shared" si="81"/>
        <v>-14.103718696203291</v>
      </c>
      <c r="AH260" s="39">
        <f t="shared" si="82"/>
        <v>10.313356303569712</v>
      </c>
      <c r="AI260" s="39">
        <f t="shared" si="83"/>
        <v>-80.384921110123017</v>
      </c>
      <c r="AJ260" s="39">
        <f t="shared" si="84"/>
        <v>41.832039166935083</v>
      </c>
      <c r="AK260" s="37">
        <f t="shared" si="85"/>
        <v>70638.233172583889</v>
      </c>
      <c r="AL260" s="37">
        <f t="shared" si="86"/>
        <v>101020.9666667047</v>
      </c>
      <c r="AM260" s="37">
        <f t="shared" si="87"/>
        <v>75016.077589918059</v>
      </c>
    </row>
    <row r="261" spans="12:39">
      <c r="L261">
        <v>257</v>
      </c>
      <c r="M261" s="37">
        <f t="shared" si="72"/>
        <v>1.6147786239451629</v>
      </c>
      <c r="N261" s="37">
        <f t="shared" ref="N261:N324" si="88">COS(M261)*$D$37+$D$36</f>
        <v>19780.159408410629</v>
      </c>
      <c r="O261" s="37">
        <f t="shared" ref="O261:O324" si="89">SIN(M261)*$D$37+$E$36</f>
        <v>12495.164673390622</v>
      </c>
      <c r="R261" s="37">
        <f t="shared" ref="R261:R324" si="90">COS(M261)*$D$48+$D$47</f>
        <v>-20153.88841411256</v>
      </c>
      <c r="S261" s="37">
        <f t="shared" ref="S261:S324" si="91">SIN(M261)*$D$48+$E$47</f>
        <v>13496.615271373435</v>
      </c>
      <c r="V261" s="37">
        <f t="shared" ref="V261:V324" si="92">COS(M261)*$D$57+$D$56</f>
        <v>-5219.8405915893709</v>
      </c>
      <c r="W261" s="37">
        <f t="shared" ref="W261:W324" si="93">SIN(M261)*$D$57+$E$56</f>
        <v>-10004.835326609378</v>
      </c>
      <c r="Y261" s="37">
        <f t="shared" si="73"/>
        <v>61300.75120434066</v>
      </c>
      <c r="Z261" s="37">
        <f t="shared" si="74"/>
        <v>-49286.269473643537</v>
      </c>
      <c r="AA261" s="37">
        <f t="shared" si="75"/>
        <v>-526.53358034011671</v>
      </c>
      <c r="AB261" s="37">
        <f t="shared" si="76"/>
        <v>720.38197803485366</v>
      </c>
      <c r="AC261" s="37">
        <f t="shared" si="77"/>
        <v>-156.12042982942125</v>
      </c>
      <c r="AD261" s="37">
        <f t="shared" si="78"/>
        <v>135.74527710195662</v>
      </c>
      <c r="AE261" s="39">
        <f t="shared" si="79"/>
        <v>-60.610601062029886</v>
      </c>
      <c r="AF261" s="39">
        <f t="shared" si="80"/>
        <v>83.336254777520836</v>
      </c>
      <c r="AG261" s="39">
        <f t="shared" si="81"/>
        <v>-14.22887557600087</v>
      </c>
      <c r="AH261" s="39">
        <f t="shared" si="82"/>
        <v>10.376004393680114</v>
      </c>
      <c r="AI261" s="39">
        <f t="shared" si="83"/>
        <v>-81.280953191390481</v>
      </c>
      <c r="AJ261" s="39">
        <f t="shared" si="84"/>
        <v>42.033017930755655</v>
      </c>
      <c r="AK261" s="37">
        <f t="shared" si="85"/>
        <v>70217.03818003225</v>
      </c>
      <c r="AL261" s="37">
        <f t="shared" si="86"/>
        <v>100621.43854314336</v>
      </c>
      <c r="AM261" s="37">
        <f t="shared" si="87"/>
        <v>74641.395248743705</v>
      </c>
    </row>
    <row r="262" spans="12:39">
      <c r="L262">
        <v>258</v>
      </c>
      <c r="M262" s="37">
        <f t="shared" ref="M262:M325" si="94">M261+$J$3</f>
        <v>1.6210618092523426</v>
      </c>
      <c r="N262" s="37">
        <f t="shared" si="88"/>
        <v>19748.778409101105</v>
      </c>
      <c r="O262" s="37">
        <f t="shared" si="89"/>
        <v>12493.684783030085</v>
      </c>
      <c r="R262" s="37">
        <f t="shared" si="90"/>
        <v>-20175.855113629226</v>
      </c>
      <c r="S262" s="37">
        <f t="shared" si="91"/>
        <v>13495.57934812106</v>
      </c>
      <c r="V262" s="37">
        <f t="shared" si="92"/>
        <v>-5251.2215908988937</v>
      </c>
      <c r="W262" s="37">
        <f t="shared" si="93"/>
        <v>-10006.315216969915</v>
      </c>
      <c r="Y262" s="37">
        <f t="shared" ref="Y262:Y325" si="95">Y261+(AA261*$D$14)+((1/2)*AC261)*$D$14^2</f>
        <v>61017.96936044193</v>
      </c>
      <c r="Z262" s="37">
        <f t="shared" ref="Z262:Z325" si="96">Z261+(AB261*$D$14)+((1/2)*AD261)*$D$14^2</f>
        <v>-48909.110324988367</v>
      </c>
      <c r="AA262" s="37">
        <f t="shared" ref="AA262:AA325" si="97">AA261+(AC261*$D$14)</f>
        <v>-604.59379525482734</v>
      </c>
      <c r="AB262" s="37">
        <f t="shared" ref="AB262:AB325" si="98">AB261+(AD261*$D$14)</f>
        <v>788.25461658583197</v>
      </c>
      <c r="AC262" s="37">
        <f t="shared" ref="AC262:AC325" si="99">AE262+AG262+AI262</f>
        <v>-158.0749965782008</v>
      </c>
      <c r="AD262" s="37">
        <f t="shared" ref="AD262:AD325" si="100">AF262+AH262+AJ262</f>
        <v>137.16203638010404</v>
      </c>
      <c r="AE262" s="39">
        <f t="shared" ref="AE262:AE325" si="101">$D$40*($D$36-Y262)/(AK262^2+$D$41^2)^(3/2)</f>
        <v>-61.399460211416994</v>
      </c>
      <c r="AF262" s="39">
        <f t="shared" ref="AF262:AF325" si="102">$D$40*($E$36-Z262)/(AK262^2+$D$41^2)^(3/2)</f>
        <v>84.438332247153411</v>
      </c>
      <c r="AG262" s="39">
        <f t="shared" ref="AG262:AG325" si="103">$D$51*($D$47-Y262)/(AL262^2+$D$52^2)^(3/2)</f>
        <v>-14.370665158686144</v>
      </c>
      <c r="AH262" s="39">
        <f t="shared" ref="AH262:AH325" si="104">$D$51*($E$47-Z262)/(AL262^2+$D$52^2)^(3/2)</f>
        <v>10.4490782225141</v>
      </c>
      <c r="AI262" s="39">
        <f t="shared" ref="AI262:AI325" si="105">$D$60*($D$56-Y262)/(AM262^2+$D$61^2)^(3/2)</f>
        <v>-82.304871208097666</v>
      </c>
      <c r="AJ262" s="39">
        <f t="shared" ref="AJ262:AJ325" si="106">$D$60*($E$56-Z262)/(AM262^2+$D$61^2)^(3/2)</f>
        <v>42.274625910436519</v>
      </c>
      <c r="AK262" s="37">
        <f t="shared" ref="AK262:AK325" si="107">SQRT(($D$36-Y262)^2+($E$36-Z262)^2)</f>
        <v>69745.691896423697</v>
      </c>
      <c r="AL262" s="37">
        <f t="shared" ref="AL262:AL325" si="108">SQRT(($D$47-Y262)^2+($E$47-Z262)^2)</f>
        <v>100170.82728305261</v>
      </c>
      <c r="AM262" s="37">
        <f t="shared" ref="AM262:AM325" si="109">SQRT(($D$56-Y262)^2+($E$56-Z262)^2)</f>
        <v>74217.24894866746</v>
      </c>
    </row>
    <row r="263" spans="12:39">
      <c r="L263">
        <v>259</v>
      </c>
      <c r="M263" s="37">
        <f t="shared" si="94"/>
        <v>1.6273449945595222</v>
      </c>
      <c r="N263" s="37">
        <f t="shared" si="88"/>
        <v>19717.40732758983</v>
      </c>
      <c r="O263" s="37">
        <f t="shared" si="89"/>
        <v>12492.007750544872</v>
      </c>
      <c r="R263" s="37">
        <f t="shared" si="90"/>
        <v>-20197.814870687118</v>
      </c>
      <c r="S263" s="37">
        <f t="shared" si="91"/>
        <v>13494.40542538141</v>
      </c>
      <c r="V263" s="37">
        <f t="shared" si="92"/>
        <v>-5282.5926724101691</v>
      </c>
      <c r="W263" s="37">
        <f t="shared" si="93"/>
        <v>-10007.992249455128</v>
      </c>
      <c r="Y263" s="37">
        <f t="shared" si="95"/>
        <v>60695.91308824224</v>
      </c>
      <c r="Z263" s="37">
        <f t="shared" si="96"/>
        <v>-48497.837762147938</v>
      </c>
      <c r="AA263" s="37">
        <f t="shared" si="97"/>
        <v>-683.63129354392777</v>
      </c>
      <c r="AB263" s="37">
        <f t="shared" si="98"/>
        <v>856.83563477588405</v>
      </c>
      <c r="AC263" s="37">
        <f t="shared" si="99"/>
        <v>-160.27171692575806</v>
      </c>
      <c r="AD263" s="37">
        <f t="shared" si="100"/>
        <v>138.78501416500256</v>
      </c>
      <c r="AE263" s="39">
        <f t="shared" si="101"/>
        <v>-62.277481664200465</v>
      </c>
      <c r="AF263" s="39">
        <f t="shared" si="102"/>
        <v>85.694214721394545</v>
      </c>
      <c r="AG263" s="39">
        <f t="shared" si="103"/>
        <v>-14.529943920381745</v>
      </c>
      <c r="AH263" s="39">
        <f t="shared" si="104"/>
        <v>10.533003092958914</v>
      </c>
      <c r="AI263" s="39">
        <f t="shared" si="105"/>
        <v>-83.464291341175851</v>
      </c>
      <c r="AJ263" s="39">
        <f t="shared" si="106"/>
        <v>42.557796350649127</v>
      </c>
      <c r="AK263" s="37">
        <f t="shared" si="107"/>
        <v>69223.660522408143</v>
      </c>
      <c r="AL263" s="37">
        <f t="shared" si="108"/>
        <v>99668.587890025447</v>
      </c>
      <c r="AM263" s="37">
        <f t="shared" si="109"/>
        <v>73743.190405874499</v>
      </c>
    </row>
    <row r="264" spans="12:39">
      <c r="L264">
        <v>260</v>
      </c>
      <c r="M264" s="37">
        <f t="shared" si="94"/>
        <v>1.6336281798667018</v>
      </c>
      <c r="N264" s="37">
        <f t="shared" si="88"/>
        <v>19686.047402353386</v>
      </c>
      <c r="O264" s="37">
        <f t="shared" si="89"/>
        <v>12490.133642141354</v>
      </c>
      <c r="R264" s="37">
        <f t="shared" si="90"/>
        <v>-20219.766818352629</v>
      </c>
      <c r="S264" s="37">
        <f t="shared" si="91"/>
        <v>13493.093549498948</v>
      </c>
      <c r="V264" s="37">
        <f t="shared" si="92"/>
        <v>-5313.9525976466139</v>
      </c>
      <c r="W264" s="37">
        <f t="shared" si="93"/>
        <v>-10009.866357858646</v>
      </c>
      <c r="Y264" s="37">
        <f t="shared" si="95"/>
        <v>60334.06347685455</v>
      </c>
      <c r="Z264" s="37">
        <f t="shared" si="96"/>
        <v>-48052.071817989374</v>
      </c>
      <c r="AA264" s="37">
        <f t="shared" si="97"/>
        <v>-763.76715200680678</v>
      </c>
      <c r="AB264" s="37">
        <f t="shared" si="98"/>
        <v>926.22814185838536</v>
      </c>
      <c r="AC264" s="37">
        <f t="shared" si="99"/>
        <v>-162.72638894623788</v>
      </c>
      <c r="AD264" s="37">
        <f t="shared" si="100"/>
        <v>140.6268700571693</v>
      </c>
      <c r="AE264" s="39">
        <f t="shared" si="101"/>
        <v>-63.250576707133682</v>
      </c>
      <c r="AF264" s="39">
        <f t="shared" si="102"/>
        <v>87.114966281050556</v>
      </c>
      <c r="AG264" s="39">
        <f t="shared" si="103"/>
        <v>-14.707702913255153</v>
      </c>
      <c r="AH264" s="39">
        <f t="shared" si="104"/>
        <v>10.628276335653503</v>
      </c>
      <c r="AI264" s="39">
        <f t="shared" si="105"/>
        <v>-84.768109325849053</v>
      </c>
      <c r="AJ264" s="39">
        <f t="shared" si="106"/>
        <v>42.88362744046524</v>
      </c>
      <c r="AK264" s="37">
        <f t="shared" si="107"/>
        <v>68650.341294315367</v>
      </c>
      <c r="AL264" s="37">
        <f t="shared" si="108"/>
        <v>99114.099890299622</v>
      </c>
      <c r="AM264" s="37">
        <f t="shared" si="109"/>
        <v>73218.708687460385</v>
      </c>
    </row>
    <row r="265" spans="12:39">
      <c r="L265">
        <v>261</v>
      </c>
      <c r="M265" s="37">
        <f t="shared" si="94"/>
        <v>1.6399113651738815</v>
      </c>
      <c r="N265" s="37">
        <f t="shared" si="88"/>
        <v>19654.699871427925</v>
      </c>
      <c r="O265" s="37">
        <f t="shared" si="89"/>
        <v>12488.062531806123</v>
      </c>
      <c r="R265" s="37">
        <f t="shared" si="90"/>
        <v>-20241.710090000452</v>
      </c>
      <c r="S265" s="37">
        <f t="shared" si="91"/>
        <v>13491.643772264286</v>
      </c>
      <c r="V265" s="37">
        <f t="shared" si="92"/>
        <v>-5345.3001285720757</v>
      </c>
      <c r="W265" s="37">
        <f t="shared" si="93"/>
        <v>-10011.937468193877</v>
      </c>
      <c r="Y265" s="37">
        <f t="shared" si="95"/>
        <v>59931.839102232865</v>
      </c>
      <c r="Z265" s="37">
        <f t="shared" si="96"/>
        <v>-47571.37938830303</v>
      </c>
      <c r="AA265" s="37">
        <f t="shared" si="97"/>
        <v>-845.13034647992572</v>
      </c>
      <c r="AB265" s="37">
        <f t="shared" si="98"/>
        <v>996.54157688697001</v>
      </c>
      <c r="AC265" s="37">
        <f t="shared" si="99"/>
        <v>-165.45726064332382</v>
      </c>
      <c r="AD265" s="37">
        <f t="shared" si="100"/>
        <v>142.70238626406419</v>
      </c>
      <c r="AE265" s="39">
        <f t="shared" si="101"/>
        <v>-64.325507785072503</v>
      </c>
      <c r="AF265" s="39">
        <f t="shared" si="102"/>
        <v>88.713530937243576</v>
      </c>
      <c r="AG265" s="39">
        <f t="shared" si="103"/>
        <v>-14.905083936841775</v>
      </c>
      <c r="AH265" s="39">
        <f t="shared" si="104"/>
        <v>10.735474771760236</v>
      </c>
      <c r="AI265" s="39">
        <f t="shared" si="105"/>
        <v>-86.226668921409527</v>
      </c>
      <c r="AJ265" s="39">
        <f t="shared" si="106"/>
        <v>43.253380555060367</v>
      </c>
      <c r="AK265" s="37">
        <f t="shared" si="107"/>
        <v>68025.058631485357</v>
      </c>
      <c r="AL265" s="37">
        <f t="shared" si="108"/>
        <v>98506.662855550865</v>
      </c>
      <c r="AM265" s="37">
        <f t="shared" si="109"/>
        <v>72643.227381876612</v>
      </c>
    </row>
    <row r="266" spans="12:39">
      <c r="L266">
        <v>262</v>
      </c>
      <c r="M266" s="37">
        <f t="shared" si="94"/>
        <v>1.6461945504810611</v>
      </c>
      <c r="N266" s="37">
        <f t="shared" si="88"/>
        <v>19623.36597236029</v>
      </c>
      <c r="O266" s="37">
        <f t="shared" si="89"/>
        <v>12485.794501303066</v>
      </c>
      <c r="R266" s="37">
        <f t="shared" si="90"/>
        <v>-20263.643819347799</v>
      </c>
      <c r="S266" s="37">
        <f t="shared" si="91"/>
        <v>13490.056150912147</v>
      </c>
      <c r="V266" s="37">
        <f t="shared" si="92"/>
        <v>-5376.6340276397104</v>
      </c>
      <c r="W266" s="37">
        <f t="shared" si="93"/>
        <v>-10014.205498696934</v>
      </c>
      <c r="Y266" s="37">
        <f t="shared" si="95"/>
        <v>59488.591771412488</v>
      </c>
      <c r="Z266" s="37">
        <f t="shared" si="96"/>
        <v>-47055.270801576538</v>
      </c>
      <c r="AA266" s="37">
        <f t="shared" si="97"/>
        <v>-927.85897680158769</v>
      </c>
      <c r="AB266" s="37">
        <f t="shared" si="98"/>
        <v>1067.892770019002</v>
      </c>
      <c r="AC266" s="37">
        <f t="shared" si="99"/>
        <v>-168.48536772753732</v>
      </c>
      <c r="AD266" s="37">
        <f t="shared" si="100"/>
        <v>145.02876444631221</v>
      </c>
      <c r="AE266" s="39">
        <f t="shared" si="101"/>
        <v>-65.510003107784257</v>
      </c>
      <c r="AF266" s="39">
        <f t="shared" si="102"/>
        <v>90.505024348439918</v>
      </c>
      <c r="AG266" s="39">
        <f t="shared" si="103"/>
        <v>-15.123398919317571</v>
      </c>
      <c r="AH266" s="39">
        <f t="shared" si="104"/>
        <v>10.855263649195241</v>
      </c>
      <c r="AI266" s="39">
        <f t="shared" si="105"/>
        <v>-87.851965700435514</v>
      </c>
      <c r="AJ266" s="39">
        <f t="shared" si="106"/>
        <v>43.66847644867704</v>
      </c>
      <c r="AK266" s="37">
        <f t="shared" si="107"/>
        <v>67347.059715496231</v>
      </c>
      <c r="AL266" s="37">
        <f t="shared" si="108"/>
        <v>97845.49119935726</v>
      </c>
      <c r="AM266" s="37">
        <f t="shared" si="109"/>
        <v>72016.101358115018</v>
      </c>
    </row>
    <row r="267" spans="12:39">
      <c r="L267">
        <v>263</v>
      </c>
      <c r="M267" s="37">
        <f t="shared" si="94"/>
        <v>1.6524777357882408</v>
      </c>
      <c r="N267" s="37">
        <f t="shared" si="88"/>
        <v>19592.046942159166</v>
      </c>
      <c r="O267" s="37">
        <f t="shared" si="89"/>
        <v>12483.329640170145</v>
      </c>
      <c r="R267" s="37">
        <f t="shared" si="90"/>
        <v>-20285.567140488583</v>
      </c>
      <c r="S267" s="37">
        <f t="shared" si="91"/>
        <v>13488.330748119102</v>
      </c>
      <c r="V267" s="37">
        <f t="shared" si="92"/>
        <v>-5407.9530578408348</v>
      </c>
      <c r="W267" s="37">
        <f t="shared" si="93"/>
        <v>-10016.670359829855</v>
      </c>
      <c r="Y267" s="37">
        <f t="shared" si="95"/>
        <v>59003.601612045757</v>
      </c>
      <c r="Z267" s="37">
        <f t="shared" si="96"/>
        <v>-46503.19582101125</v>
      </c>
      <c r="AA267" s="37">
        <f t="shared" si="97"/>
        <v>-1012.1016606653563</v>
      </c>
      <c r="AB267" s="37">
        <f t="shared" si="98"/>
        <v>1140.4071522421582</v>
      </c>
      <c r="AC267" s="37">
        <f t="shared" si="99"/>
        <v>-171.83493922748841</v>
      </c>
      <c r="AD267" s="37">
        <f t="shared" si="100"/>
        <v>147.62598620999512</v>
      </c>
      <c r="AE267" s="39">
        <f t="shared" si="101"/>
        <v>-66.812892474983812</v>
      </c>
      <c r="AF267" s="39">
        <f t="shared" si="102"/>
        <v>92.50709079595363</v>
      </c>
      <c r="AG267" s="39">
        <f t="shared" si="103"/>
        <v>-15.364153151434849</v>
      </c>
      <c r="AH267" s="39">
        <f t="shared" si="104"/>
        <v>10.988407318473019</v>
      </c>
      <c r="AI267" s="39">
        <f t="shared" si="105"/>
        <v>-89.657893601069745</v>
      </c>
      <c r="AJ267" s="39">
        <f t="shared" si="106"/>
        <v>44.130488095568452</v>
      </c>
      <c r="AK267" s="37">
        <f t="shared" si="107"/>
        <v>66615.509437319968</v>
      </c>
      <c r="AL267" s="37">
        <f t="shared" si="108"/>
        <v>97129.708151843952</v>
      </c>
      <c r="AM267" s="37">
        <f t="shared" si="109"/>
        <v>71336.613083678472</v>
      </c>
    </row>
    <row r="268" spans="12:39">
      <c r="L268">
        <v>264</v>
      </c>
      <c r="M268" s="37">
        <f t="shared" si="94"/>
        <v>1.6587609210954204</v>
      </c>
      <c r="N268" s="37">
        <f t="shared" si="88"/>
        <v>19560.744017246237</v>
      </c>
      <c r="O268" s="37">
        <f t="shared" si="89"/>
        <v>12480.668045715858</v>
      </c>
      <c r="R268" s="37">
        <f t="shared" si="90"/>
        <v>-20307.479187927634</v>
      </c>
      <c r="S268" s="37">
        <f t="shared" si="91"/>
        <v>13486.4676320011</v>
      </c>
      <c r="V268" s="37">
        <f t="shared" si="92"/>
        <v>-5439.2559827537634</v>
      </c>
      <c r="W268" s="37">
        <f t="shared" si="93"/>
        <v>-10019.331954284142</v>
      </c>
      <c r="Y268" s="37">
        <f t="shared" si="95"/>
        <v>58476.071414309641</v>
      </c>
      <c r="Z268" s="37">
        <f t="shared" si="96"/>
        <v>-45914.538996613919</v>
      </c>
      <c r="AA268" s="37">
        <f t="shared" si="97"/>
        <v>-1098.0191302791006</v>
      </c>
      <c r="AB268" s="37">
        <f t="shared" si="98"/>
        <v>1214.2201453471557</v>
      </c>
      <c r="AC268" s="37">
        <f t="shared" si="99"/>
        <v>-175.53388528334168</v>
      </c>
      <c r="AD268" s="37">
        <f t="shared" si="100"/>
        <v>150.51725163791991</v>
      </c>
      <c r="AE268" s="39">
        <f t="shared" si="101"/>
        <v>-68.24426843748887</v>
      </c>
      <c r="AF268" s="39">
        <f t="shared" si="102"/>
        <v>94.740341301943261</v>
      </c>
      <c r="AG268" s="39">
        <f t="shared" si="103"/>
        <v>-15.62907318150847</v>
      </c>
      <c r="AH268" s="39">
        <f t="shared" si="104"/>
        <v>11.13578197963971</v>
      </c>
      <c r="AI268" s="39">
        <f t="shared" si="105"/>
        <v>-91.660543664344331</v>
      </c>
      <c r="AJ268" s="39">
        <f t="shared" si="106"/>
        <v>44.641128356336928</v>
      </c>
      <c r="AK268" s="37">
        <f t="shared" si="107"/>
        <v>65829.48463796328</v>
      </c>
      <c r="AL268" s="37">
        <f t="shared" si="108"/>
        <v>96358.338797572083</v>
      </c>
      <c r="AM268" s="37">
        <f t="shared" si="109"/>
        <v>70603.968468972758</v>
      </c>
    </row>
    <row r="269" spans="12:39">
      <c r="L269">
        <v>265</v>
      </c>
      <c r="M269" s="37">
        <f t="shared" si="94"/>
        <v>1.6650441064026</v>
      </c>
      <c r="N269" s="37">
        <f t="shared" si="88"/>
        <v>19529.458433407381</v>
      </c>
      <c r="O269" s="37">
        <f t="shared" si="89"/>
        <v>12477.809823015396</v>
      </c>
      <c r="R269" s="37">
        <f t="shared" si="90"/>
        <v>-20329.379096614834</v>
      </c>
      <c r="S269" s="37">
        <f t="shared" si="91"/>
        <v>13484.466876110777</v>
      </c>
      <c r="V269" s="37">
        <f t="shared" si="92"/>
        <v>-5470.5415665926193</v>
      </c>
      <c r="W269" s="37">
        <f t="shared" si="93"/>
        <v>-10022.190176984604</v>
      </c>
      <c r="Y269" s="37">
        <f t="shared" si="95"/>
        <v>57905.120113509671</v>
      </c>
      <c r="Z269" s="37">
        <f t="shared" si="96"/>
        <v>-45288.614267485602</v>
      </c>
      <c r="AA269" s="37">
        <f t="shared" si="97"/>
        <v>-1185.7860729207714</v>
      </c>
      <c r="AB269" s="37">
        <f t="shared" si="98"/>
        <v>1289.4787711661156</v>
      </c>
      <c r="AC269" s="37">
        <f t="shared" si="99"/>
        <v>-179.61438512776084</v>
      </c>
      <c r="AD269" s="37">
        <f t="shared" si="100"/>
        <v>153.72951429425916</v>
      </c>
      <c r="AE269" s="39">
        <f t="shared" si="101"/>
        <v>-69.815677808284491</v>
      </c>
      <c r="AF269" s="39">
        <f t="shared" si="102"/>
        <v>97.228893474236855</v>
      </c>
      <c r="AG269" s="39">
        <f t="shared" si="103"/>
        <v>-15.920140392556874</v>
      </c>
      <c r="AH269" s="39">
        <f t="shared" si="104"/>
        <v>11.298390914047973</v>
      </c>
      <c r="AI269" s="39">
        <f t="shared" si="105"/>
        <v>-93.87856692691949</v>
      </c>
      <c r="AJ269" s="39">
        <f t="shared" si="106"/>
        <v>45.202229905974349</v>
      </c>
      <c r="AK269" s="37">
        <f t="shared" si="107"/>
        <v>64987.967556317526</v>
      </c>
      <c r="AL269" s="37">
        <f t="shared" si="108"/>
        <v>95530.302038249545</v>
      </c>
      <c r="AM269" s="37">
        <f t="shared" si="109"/>
        <v>69817.292204292855</v>
      </c>
    </row>
    <row r="270" spans="12:39">
      <c r="L270">
        <v>266</v>
      </c>
      <c r="M270" s="37">
        <f t="shared" si="94"/>
        <v>1.6713272917097797</v>
      </c>
      <c r="N270" s="37">
        <f t="shared" si="88"/>
        <v>19498.191425743877</v>
      </c>
      <c r="O270" s="37">
        <f t="shared" si="89"/>
        <v>12474.755084906496</v>
      </c>
      <c r="R270" s="37">
        <f t="shared" si="90"/>
        <v>-20351.266001979286</v>
      </c>
      <c r="S270" s="37">
        <f t="shared" si="91"/>
        <v>13482.328559434547</v>
      </c>
      <c r="V270" s="37">
        <f t="shared" si="92"/>
        <v>-5501.8085742561225</v>
      </c>
      <c r="W270" s="37">
        <f t="shared" si="93"/>
        <v>-10025.244915093504</v>
      </c>
      <c r="Y270" s="37">
        <f t="shared" si="95"/>
        <v>57289.77527890831</v>
      </c>
      <c r="Z270" s="37">
        <f t="shared" si="96"/>
        <v>-44624.658692615762</v>
      </c>
      <c r="AA270" s="37">
        <f t="shared" si="97"/>
        <v>-1275.5932654846517</v>
      </c>
      <c r="AB270" s="37">
        <f t="shared" si="98"/>
        <v>1366.3435283132453</v>
      </c>
      <c r="AC270" s="37">
        <f t="shared" si="99"/>
        <v>-184.11359792250553</v>
      </c>
      <c r="AD270" s="37">
        <f t="shared" si="100"/>
        <v>157.29413644605552</v>
      </c>
      <c r="AE270" s="39">
        <f t="shared" si="101"/>
        <v>-71.540349618165564</v>
      </c>
      <c r="AF270" s="39">
        <f t="shared" si="102"/>
        <v>100.00103992867115</v>
      </c>
      <c r="AG270" s="39">
        <f t="shared" si="103"/>
        <v>-16.239631558144438</v>
      </c>
      <c r="AH270" s="39">
        <f t="shared" si="104"/>
        <v>11.477382719206188</v>
      </c>
      <c r="AI270" s="39">
        <f t="shared" si="105"/>
        <v>-96.333616746195531</v>
      </c>
      <c r="AJ270" s="39">
        <f t="shared" si="106"/>
        <v>45.815713798178173</v>
      </c>
      <c r="AK270" s="37">
        <f t="shared" si="107"/>
        <v>64089.838384670351</v>
      </c>
      <c r="AL270" s="37">
        <f t="shared" si="108"/>
        <v>94644.401313278489</v>
      </c>
      <c r="AM270" s="37">
        <f t="shared" si="109"/>
        <v>68975.62255573248</v>
      </c>
    </row>
    <row r="271" spans="12:39">
      <c r="L271">
        <v>267</v>
      </c>
      <c r="M271" s="37">
        <f t="shared" si="94"/>
        <v>1.6776104770169593</v>
      </c>
      <c r="N271" s="37">
        <f t="shared" si="88"/>
        <v>19466.944228623652</v>
      </c>
      <c r="O271" s="37">
        <f t="shared" si="89"/>
        <v>12471.503951984989</v>
      </c>
      <c r="R271" s="37">
        <f t="shared" si="90"/>
        <v>-20373.139039963444</v>
      </c>
      <c r="S271" s="37">
        <f t="shared" si="91"/>
        <v>13480.052766389492</v>
      </c>
      <c r="V271" s="37">
        <f t="shared" si="92"/>
        <v>-5533.0557713763483</v>
      </c>
      <c r="W271" s="37">
        <f t="shared" si="93"/>
        <v>-10028.496048015011</v>
      </c>
      <c r="Y271" s="37">
        <f t="shared" si="95"/>
        <v>56628.964446425671</v>
      </c>
      <c r="Z271" s="37">
        <f t="shared" si="96"/>
        <v>-43921.825161403387</v>
      </c>
      <c r="AA271" s="37">
        <f t="shared" si="97"/>
        <v>-1367.6500644459045</v>
      </c>
      <c r="AB271" s="37">
        <f t="shared" si="98"/>
        <v>1444.9905965362732</v>
      </c>
      <c r="AC271" s="37">
        <f t="shared" si="99"/>
        <v>-189.07452508987032</v>
      </c>
      <c r="AD271" s="37">
        <f t="shared" si="100"/>
        <v>161.24769528020093</v>
      </c>
      <c r="AE271" s="39">
        <f t="shared" si="101"/>
        <v>-73.433466900904818</v>
      </c>
      <c r="AF271" s="39">
        <f t="shared" si="102"/>
        <v>103.09008056990015</v>
      </c>
      <c r="AG271" s="39">
        <f t="shared" si="103"/>
        <v>-16.590168033123927</v>
      </c>
      <c r="AH271" s="39">
        <f t="shared" si="104"/>
        <v>11.674073198598979</v>
      </c>
      <c r="AI271" s="39">
        <f t="shared" si="105"/>
        <v>-99.050890155841572</v>
      </c>
      <c r="AJ271" s="39">
        <f t="shared" si="106"/>
        <v>46.483541511701794</v>
      </c>
      <c r="AK271" s="37">
        <f t="shared" si="107"/>
        <v>63133.866817639595</v>
      </c>
      <c r="AL271" s="37">
        <f t="shared" si="108"/>
        <v>93699.313876188695</v>
      </c>
      <c r="AM271" s="37">
        <f t="shared" si="109"/>
        <v>68077.90558915268</v>
      </c>
    </row>
    <row r="272" spans="12:39">
      <c r="L272">
        <v>268</v>
      </c>
      <c r="M272" s="37">
        <f t="shared" si="94"/>
        <v>1.683893662324139</v>
      </c>
      <c r="N272" s="37">
        <f t="shared" si="88"/>
        <v>19435.718075632543</v>
      </c>
      <c r="O272" s="37">
        <f t="shared" si="89"/>
        <v>12468.056552600036</v>
      </c>
      <c r="R272" s="37">
        <f t="shared" si="90"/>
        <v>-20394.997347057219</v>
      </c>
      <c r="S272" s="37">
        <f t="shared" si="91"/>
        <v>13477.639586820025</v>
      </c>
      <c r="V272" s="37">
        <f t="shared" si="92"/>
        <v>-5564.2819243674567</v>
      </c>
      <c r="W272" s="37">
        <f t="shared" si="93"/>
        <v>-10031.943447399964</v>
      </c>
      <c r="Y272" s="37">
        <f t="shared" si="95"/>
        <v>55921.505098566486</v>
      </c>
      <c r="Z272" s="37">
        <f t="shared" si="96"/>
        <v>-43179.173901225229</v>
      </c>
      <c r="AA272" s="37">
        <f t="shared" si="97"/>
        <v>-1462.1873269908397</v>
      </c>
      <c r="AB272" s="37">
        <f t="shared" si="98"/>
        <v>1525.6144441763736</v>
      </c>
      <c r="AC272" s="37">
        <f t="shared" si="99"/>
        <v>-194.54706045042309</v>
      </c>
      <c r="AD272" s="37">
        <f t="shared" si="100"/>
        <v>165.63298029888972</v>
      </c>
      <c r="AE272" s="39">
        <f t="shared" si="101"/>
        <v>-75.512491205396699</v>
      </c>
      <c r="AF272" s="39">
        <f t="shared" si="102"/>
        <v>106.53536545899799</v>
      </c>
      <c r="AG272" s="39">
        <f t="shared" si="103"/>
        <v>-16.974775709129968</v>
      </c>
      <c r="AH272" s="39">
        <f t="shared" si="104"/>
        <v>11.889971730646854</v>
      </c>
      <c r="AI272" s="39">
        <f t="shared" si="105"/>
        <v>-102.05979353589643</v>
      </c>
      <c r="AJ272" s="39">
        <f t="shared" si="106"/>
        <v>47.20764310924487</v>
      </c>
      <c r="AK272" s="37">
        <f t="shared" si="107"/>
        <v>62118.702464370312</v>
      </c>
      <c r="AL272" s="37">
        <f t="shared" si="108"/>
        <v>92693.578381937608</v>
      </c>
      <c r="AM272" s="37">
        <f t="shared" si="109"/>
        <v>67122.988798400169</v>
      </c>
    </row>
    <row r="273" spans="12:39">
      <c r="L273">
        <v>269</v>
      </c>
      <c r="M273" s="37">
        <f t="shared" si="94"/>
        <v>1.6901768476313186</v>
      </c>
      <c r="N273" s="37">
        <f t="shared" si="88"/>
        <v>19404.514199525602</v>
      </c>
      <c r="O273" s="37">
        <f t="shared" si="89"/>
        <v>12464.413022849061</v>
      </c>
      <c r="R273" s="37">
        <f t="shared" si="90"/>
        <v>-20416.840060332077</v>
      </c>
      <c r="S273" s="37">
        <f t="shared" si="91"/>
        <v>13475.089115994344</v>
      </c>
      <c r="V273" s="37">
        <f t="shared" si="92"/>
        <v>-5595.4858004743974</v>
      </c>
      <c r="W273" s="37">
        <f t="shared" si="93"/>
        <v>-10035.586977150939</v>
      </c>
      <c r="Y273" s="37">
        <f t="shared" si="95"/>
        <v>55166.093052514763</v>
      </c>
      <c r="Z273" s="37">
        <f t="shared" si="96"/>
        <v>-42395.66255659968</v>
      </c>
      <c r="AA273" s="37">
        <f t="shared" si="97"/>
        <v>-1559.4608572160512</v>
      </c>
      <c r="AB273" s="37">
        <f t="shared" si="98"/>
        <v>1608.4309343258185</v>
      </c>
      <c r="AC273" s="37">
        <f t="shared" si="99"/>
        <v>-200.58927436119069</v>
      </c>
      <c r="AD273" s="37">
        <f t="shared" si="100"/>
        <v>170.50023476268669</v>
      </c>
      <c r="AE273" s="39">
        <f t="shared" si="101"/>
        <v>-77.797550451526661</v>
      </c>
      <c r="AF273" s="39">
        <f t="shared" si="102"/>
        <v>110.38361069177188</v>
      </c>
      <c r="AG273" s="39">
        <f t="shared" si="103"/>
        <v>-17.396958494055156</v>
      </c>
      <c r="AH273" s="39">
        <f t="shared" si="104"/>
        <v>12.126813164665187</v>
      </c>
      <c r="AI273" s="39">
        <f t="shared" si="105"/>
        <v>-105.39476541560889</v>
      </c>
      <c r="AJ273" s="39">
        <f t="shared" si="106"/>
        <v>47.989810906249637</v>
      </c>
      <c r="AK273" s="37">
        <f t="shared" si="107"/>
        <v>61042.863977210232</v>
      </c>
      <c r="AL273" s="37">
        <f t="shared" si="108"/>
        <v>91625.580486697989</v>
      </c>
      <c r="AM273" s="37">
        <f t="shared" si="109"/>
        <v>66109.614127741981</v>
      </c>
    </row>
    <row r="274" spans="12:39">
      <c r="L274">
        <v>270</v>
      </c>
      <c r="M274" s="37">
        <f t="shared" si="94"/>
        <v>1.6964600329384982</v>
      </c>
      <c r="N274" s="37">
        <f t="shared" si="88"/>
        <v>19373.333832178429</v>
      </c>
      <c r="O274" s="37">
        <f t="shared" si="89"/>
        <v>12460.573506572382</v>
      </c>
      <c r="R274" s="37">
        <f t="shared" si="90"/>
        <v>-20438.666317475097</v>
      </c>
      <c r="S274" s="37">
        <f t="shared" si="91"/>
        <v>13472.401454600667</v>
      </c>
      <c r="V274" s="37">
        <f t="shared" si="92"/>
        <v>-5626.6661678215705</v>
      </c>
      <c r="W274" s="37">
        <f t="shared" si="93"/>
        <v>-10039.426493427618</v>
      </c>
      <c r="Y274" s="37">
        <f t="shared" si="95"/>
        <v>54361.288964611587</v>
      </c>
      <c r="Z274" s="37">
        <f t="shared" si="96"/>
        <v>-41570.134560091436</v>
      </c>
      <c r="AA274" s="37">
        <f t="shared" si="97"/>
        <v>-1659.7554943966466</v>
      </c>
      <c r="AB274" s="37">
        <f t="shared" si="98"/>
        <v>1693.6810517071619</v>
      </c>
      <c r="AC274" s="37">
        <f t="shared" si="99"/>
        <v>-207.26899079124419</v>
      </c>
      <c r="AD274" s="37">
        <f t="shared" si="100"/>
        <v>175.90871132430732</v>
      </c>
      <c r="AE274" s="39">
        <f t="shared" si="101"/>
        <v>-80.311902595184947</v>
      </c>
      <c r="AF274" s="39">
        <f t="shared" si="102"/>
        <v>114.69057145037252</v>
      </c>
      <c r="AG274" s="39">
        <f t="shared" si="103"/>
        <v>-17.860788918813935</v>
      </c>
      <c r="AH274" s="39">
        <f t="shared" si="104"/>
        <v>12.386596584292217</v>
      </c>
      <c r="AI274" s="39">
        <f t="shared" si="105"/>
        <v>-109.09629927724531</v>
      </c>
      <c r="AJ274" s="39">
        <f t="shared" si="106"/>
        <v>48.831543289642589</v>
      </c>
      <c r="AK274" s="37">
        <f t="shared" si="107"/>
        <v>59904.726733831434</v>
      </c>
      <c r="AL274" s="37">
        <f t="shared" si="108"/>
        <v>90493.53609526153</v>
      </c>
      <c r="AM274" s="37">
        <f t="shared" si="109"/>
        <v>65036.410402800386</v>
      </c>
    </row>
    <row r="275" spans="12:39">
      <c r="L275">
        <v>271</v>
      </c>
      <c r="M275" s="37">
        <f t="shared" si="94"/>
        <v>1.7027432182456779</v>
      </c>
      <c r="N275" s="37">
        <f t="shared" si="88"/>
        <v>19342.178204538537</v>
      </c>
      <c r="O275" s="37">
        <f t="shared" si="89"/>
        <v>12456.538155347527</v>
      </c>
      <c r="R275" s="37">
        <f t="shared" si="90"/>
        <v>-20460.475256823021</v>
      </c>
      <c r="S275" s="37">
        <f t="shared" si="91"/>
        <v>13469.576708743269</v>
      </c>
      <c r="V275" s="37">
        <f t="shared" si="92"/>
        <v>-5657.821795461462</v>
      </c>
      <c r="W275" s="37">
        <f t="shared" si="93"/>
        <v>-10043.461844652473</v>
      </c>
      <c r="Y275" s="37">
        <f t="shared" si="95"/>
        <v>53505.502593564357</v>
      </c>
      <c r="Z275" s="37">
        <f t="shared" si="96"/>
        <v>-40701.305445322316</v>
      </c>
      <c r="AA275" s="37">
        <f t="shared" si="97"/>
        <v>-1763.3899897922686</v>
      </c>
      <c r="AB275" s="37">
        <f t="shared" si="98"/>
        <v>1781.6354073693155</v>
      </c>
      <c r="AC275" s="37">
        <f t="shared" si="99"/>
        <v>-214.66573268540895</v>
      </c>
      <c r="AD275" s="37">
        <f t="shared" si="100"/>
        <v>181.92863574747847</v>
      </c>
      <c r="AE275" s="39">
        <f t="shared" si="101"/>
        <v>-83.082489342771723</v>
      </c>
      <c r="AF275" s="39">
        <f t="shared" si="102"/>
        <v>119.52318681940572</v>
      </c>
      <c r="AG275" s="39">
        <f t="shared" si="103"/>
        <v>-18.371020617880198</v>
      </c>
      <c r="AH275" s="39">
        <f t="shared" si="104"/>
        <v>12.67163266455929</v>
      </c>
      <c r="AI275" s="39">
        <f t="shared" si="105"/>
        <v>-113.21222272475701</v>
      </c>
      <c r="AJ275" s="39">
        <f t="shared" si="106"/>
        <v>49.733816263513468</v>
      </c>
      <c r="AK275" s="37">
        <f t="shared" si="107"/>
        <v>58702.508895962928</v>
      </c>
      <c r="AL275" s="37">
        <f t="shared" si="108"/>
        <v>89295.47180788267</v>
      </c>
      <c r="AM275" s="37">
        <f t="shared" si="109"/>
        <v>63901.885225080179</v>
      </c>
    </row>
    <row r="276" spans="12:39">
      <c r="L276">
        <v>272</v>
      </c>
      <c r="M276" s="37">
        <f t="shared" si="94"/>
        <v>1.7090264035528575</v>
      </c>
      <c r="N276" s="37">
        <f t="shared" si="88"/>
        <v>19311.04854657676</v>
      </c>
      <c r="O276" s="37">
        <f t="shared" si="89"/>
        <v>12452.307128483249</v>
      </c>
      <c r="R276" s="37">
        <f t="shared" si="90"/>
        <v>-20482.266017396269</v>
      </c>
      <c r="S276" s="37">
        <f t="shared" si="91"/>
        <v>13466.614989938274</v>
      </c>
      <c r="V276" s="37">
        <f t="shared" si="92"/>
        <v>-5688.9514534232394</v>
      </c>
      <c r="W276" s="37">
        <f t="shared" si="93"/>
        <v>-10047.692871516751</v>
      </c>
      <c r="Y276" s="37">
        <f t="shared" si="95"/>
        <v>52596.974382082546</v>
      </c>
      <c r="Z276" s="37">
        <f t="shared" si="96"/>
        <v>-39787.746662169222</v>
      </c>
      <c r="AA276" s="37">
        <f t="shared" si="97"/>
        <v>-1870.722856134973</v>
      </c>
      <c r="AB276" s="37">
        <f t="shared" si="98"/>
        <v>1872.5997252430548</v>
      </c>
      <c r="AC276" s="37">
        <f t="shared" si="99"/>
        <v>-222.87313201992444</v>
      </c>
      <c r="AD276" s="37">
        <f t="shared" si="100"/>
        <v>188.64370559588781</v>
      </c>
      <c r="AE276" s="39">
        <f t="shared" si="101"/>
        <v>-86.140595406364909</v>
      </c>
      <c r="AF276" s="39">
        <f t="shared" si="102"/>
        <v>124.96235402582667</v>
      </c>
      <c r="AG276" s="39">
        <f t="shared" si="103"/>
        <v>-18.933228994443525</v>
      </c>
      <c r="AH276" s="39">
        <f t="shared" si="104"/>
        <v>12.984601861105137</v>
      </c>
      <c r="AI276" s="39">
        <f t="shared" si="105"/>
        <v>-117.79930761911601</v>
      </c>
      <c r="AJ276" s="39">
        <f t="shared" si="106"/>
        <v>50.696749708955984</v>
      </c>
      <c r="AK276" s="37">
        <f t="shared" si="107"/>
        <v>57434.255660290772</v>
      </c>
      <c r="AL276" s="37">
        <f t="shared" si="108"/>
        <v>88029.202013474438</v>
      </c>
      <c r="AM276" s="37">
        <f t="shared" si="109"/>
        <v>62704.416451779172</v>
      </c>
    </row>
    <row r="277" spans="12:39">
      <c r="L277">
        <v>273</v>
      </c>
      <c r="M277" s="37">
        <f t="shared" si="94"/>
        <v>1.7153095888600371</v>
      </c>
      <c r="N277" s="37">
        <f t="shared" si="88"/>
        <v>19279.946087238688</v>
      </c>
      <c r="O277" s="37">
        <f t="shared" si="89"/>
        <v>12447.880593013248</v>
      </c>
      <c r="R277" s="37">
        <f t="shared" si="90"/>
        <v>-20504.037738932919</v>
      </c>
      <c r="S277" s="37">
        <f t="shared" si="91"/>
        <v>13463.516415109272</v>
      </c>
      <c r="V277" s="37">
        <f t="shared" si="92"/>
        <v>-5720.0539127613101</v>
      </c>
      <c r="W277" s="37">
        <f t="shared" si="93"/>
        <v>-10052.119406986752</v>
      </c>
      <c r="Y277" s="37">
        <f t="shared" si="95"/>
        <v>51633.753812512565</v>
      </c>
      <c r="Z277" s="37">
        <f t="shared" si="96"/>
        <v>-38827.866336348212</v>
      </c>
      <c r="AA277" s="37">
        <f t="shared" si="97"/>
        <v>-1982.1594221449352</v>
      </c>
      <c r="AB277" s="37">
        <f t="shared" si="98"/>
        <v>1966.9215780409986</v>
      </c>
      <c r="AC277" s="37">
        <f t="shared" si="99"/>
        <v>-232.00192770675523</v>
      </c>
      <c r="AD277" s="37">
        <f t="shared" si="100"/>
        <v>196.1542970872803</v>
      </c>
      <c r="AE277" s="39">
        <f t="shared" si="101"/>
        <v>-89.5226285868617</v>
      </c>
      <c r="AF277" s="39">
        <f t="shared" si="102"/>
        <v>131.10655143336783</v>
      </c>
      <c r="AG277" s="39">
        <f t="shared" si="103"/>
        <v>-19.55398854544514</v>
      </c>
      <c r="AH277" s="39">
        <f t="shared" si="104"/>
        <v>13.328626355927533</v>
      </c>
      <c r="AI277" s="39">
        <f t="shared" si="105"/>
        <v>-122.92531057444837</v>
      </c>
      <c r="AJ277" s="39">
        <f t="shared" si="106"/>
        <v>51.719119297984946</v>
      </c>
      <c r="AK277" s="37">
        <f t="shared" si="107"/>
        <v>56097.821522312246</v>
      </c>
      <c r="AL277" s="37">
        <f t="shared" si="108"/>
        <v>86692.301943321028</v>
      </c>
      <c r="AM277" s="37">
        <f t="shared" si="109"/>
        <v>61442.243489631444</v>
      </c>
    </row>
    <row r="278" spans="12:39">
      <c r="L278">
        <v>274</v>
      </c>
      <c r="M278" s="37">
        <f t="shared" si="94"/>
        <v>1.7215927741672168</v>
      </c>
      <c r="N278" s="37">
        <f t="shared" si="88"/>
        <v>19248.872054396164</v>
      </c>
      <c r="O278" s="37">
        <f t="shared" si="89"/>
        <v>12443.258723689563</v>
      </c>
      <c r="R278" s="37">
        <f t="shared" si="90"/>
        <v>-20525.789561922684</v>
      </c>
      <c r="S278" s="37">
        <f t="shared" si="91"/>
        <v>13460.281106582694</v>
      </c>
      <c r="V278" s="37">
        <f t="shared" si="92"/>
        <v>-5751.1279456038355</v>
      </c>
      <c r="W278" s="37">
        <f t="shared" si="93"/>
        <v>-10056.741276310437</v>
      </c>
      <c r="Y278" s="37">
        <f t="shared" si="95"/>
        <v>50613.673860476752</v>
      </c>
      <c r="Z278" s="37">
        <f t="shared" si="96"/>
        <v>-37819.886260191801</v>
      </c>
      <c r="AA278" s="37">
        <f t="shared" si="97"/>
        <v>-2098.1603859983129</v>
      </c>
      <c r="AB278" s="37">
        <f t="shared" si="98"/>
        <v>2064.9987265846389</v>
      </c>
      <c r="AC278" s="37">
        <f t="shared" si="99"/>
        <v>-242.1837078933176</v>
      </c>
      <c r="AD278" s="37">
        <f t="shared" si="100"/>
        <v>204.58161902994044</v>
      </c>
      <c r="AE278" s="39">
        <f t="shared" si="101"/>
        <v>-93.271032457727912</v>
      </c>
      <c r="AF278" s="39">
        <f t="shared" si="102"/>
        <v>138.0766190173641</v>
      </c>
      <c r="AG278" s="39">
        <f t="shared" si="103"/>
        <v>-20.241098351748128</v>
      </c>
      <c r="AH278" s="39">
        <f t="shared" si="104"/>
        <v>13.707359609619608</v>
      </c>
      <c r="AI278" s="39">
        <f t="shared" si="105"/>
        <v>-128.67157708384156</v>
      </c>
      <c r="AJ278" s="39">
        <f t="shared" si="106"/>
        <v>52.797640402956738</v>
      </c>
      <c r="AK278" s="37">
        <f t="shared" si="107"/>
        <v>54690.850403631128</v>
      </c>
      <c r="AL278" s="37">
        <f t="shared" si="108"/>
        <v>85282.075830806672</v>
      </c>
      <c r="AM278" s="37">
        <f t="shared" si="109"/>
        <v>60113.458802397705</v>
      </c>
    </row>
    <row r="279" spans="12:39">
      <c r="L279">
        <v>275</v>
      </c>
      <c r="M279" s="37">
        <f t="shared" si="94"/>
        <v>1.7278759594743964</v>
      </c>
      <c r="N279" s="37">
        <f t="shared" si="88"/>
        <v>19217.827674798795</v>
      </c>
      <c r="O279" s="37">
        <f t="shared" si="89"/>
        <v>12438.441702975681</v>
      </c>
      <c r="R279" s="37">
        <f t="shared" si="90"/>
        <v>-20547.520627640843</v>
      </c>
      <c r="S279" s="37">
        <f t="shared" si="91"/>
        <v>13456.909192082976</v>
      </c>
      <c r="V279" s="37">
        <f t="shared" si="92"/>
        <v>-5782.1723252012043</v>
      </c>
      <c r="W279" s="37">
        <f t="shared" si="93"/>
        <v>-10061.558297024319</v>
      </c>
      <c r="Y279" s="37">
        <f t="shared" si="95"/>
        <v>49534.320703990932</v>
      </c>
      <c r="Z279" s="37">
        <f t="shared" si="96"/>
        <v>-36761.814194520739</v>
      </c>
      <c r="AA279" s="37">
        <f t="shared" si="97"/>
        <v>-2219.2522399449717</v>
      </c>
      <c r="AB279" s="37">
        <f t="shared" si="98"/>
        <v>2167.289536099609</v>
      </c>
      <c r="AC279" s="37">
        <f t="shared" si="99"/>
        <v>-253.57559348818961</v>
      </c>
      <c r="AD279" s="37">
        <f t="shared" si="100"/>
        <v>214.07314708479541</v>
      </c>
      <c r="AE279" s="39">
        <f t="shared" si="101"/>
        <v>-97.435332949790052</v>
      </c>
      <c r="AF279" s="39">
        <f t="shared" si="102"/>
        <v>146.02213628777002</v>
      </c>
      <c r="AG279" s="39">
        <f t="shared" si="103"/>
        <v>-21.003871533916183</v>
      </c>
      <c r="AH279" s="39">
        <f t="shared" si="104"/>
        <v>14.125098628858821</v>
      </c>
      <c r="AI279" s="39">
        <f t="shared" si="105"/>
        <v>-135.13638900448339</v>
      </c>
      <c r="AJ279" s="39">
        <f t="shared" si="106"/>
        <v>53.925912168166569</v>
      </c>
      <c r="AK279" s="37">
        <f t="shared" si="107"/>
        <v>53210.753567643311</v>
      </c>
      <c r="AL279" s="37">
        <f t="shared" si="108"/>
        <v>83795.519107696586</v>
      </c>
      <c r="AM279" s="37">
        <f t="shared" si="109"/>
        <v>58716.000303857363</v>
      </c>
    </row>
    <row r="280" spans="12:39">
      <c r="L280">
        <v>276</v>
      </c>
      <c r="M280" s="37">
        <f t="shared" si="94"/>
        <v>1.7341591447815761</v>
      </c>
      <c r="N280" s="37">
        <f t="shared" si="88"/>
        <v>19186.814174025531</v>
      </c>
      <c r="O280" s="37">
        <f t="shared" si="89"/>
        <v>12433.429721039331</v>
      </c>
      <c r="R280" s="37">
        <f t="shared" si="90"/>
        <v>-20569.230078182129</v>
      </c>
      <c r="S280" s="37">
        <f t="shared" si="91"/>
        <v>13453.400804727533</v>
      </c>
      <c r="V280" s="37">
        <f t="shared" si="92"/>
        <v>-5813.1858259744686</v>
      </c>
      <c r="W280" s="37">
        <f t="shared" si="93"/>
        <v>-10066.570278960669</v>
      </c>
      <c r="Y280" s="37">
        <f t="shared" si="95"/>
        <v>48392.997634832427</v>
      </c>
      <c r="Z280" s="37">
        <f t="shared" si="96"/>
        <v>-35651.410283085337</v>
      </c>
      <c r="AA280" s="37">
        <f t="shared" si="97"/>
        <v>-2346.0400366890667</v>
      </c>
      <c r="AB280" s="37">
        <f t="shared" si="98"/>
        <v>2274.3261096420065</v>
      </c>
      <c r="AC280" s="37">
        <f t="shared" si="99"/>
        <v>-266.36610518156539</v>
      </c>
      <c r="AD280" s="37">
        <f t="shared" si="100"/>
        <v>224.80980853030329</v>
      </c>
      <c r="AE280" s="39">
        <f t="shared" si="101"/>
        <v>-102.07329557536916</v>
      </c>
      <c r="AF280" s="39">
        <f t="shared" si="102"/>
        <v>155.13003286823923</v>
      </c>
      <c r="AG280" s="39">
        <f t="shared" si="103"/>
        <v>-21.853510645189377</v>
      </c>
      <c r="AH280" s="39">
        <f t="shared" si="104"/>
        <v>14.586925783191806</v>
      </c>
      <c r="AI280" s="39">
        <f t="shared" si="105"/>
        <v>-142.43929896100687</v>
      </c>
      <c r="AJ280" s="39">
        <f t="shared" si="106"/>
        <v>55.092849878872244</v>
      </c>
      <c r="AK280" s="37">
        <f t="shared" si="107"/>
        <v>51654.685403269687</v>
      </c>
      <c r="AL280" s="37">
        <f t="shared" si="108"/>
        <v>82229.273293108854</v>
      </c>
      <c r="AM280" s="37">
        <f t="shared" si="109"/>
        <v>57247.645742978319</v>
      </c>
    </row>
    <row r="281" spans="12:39">
      <c r="L281">
        <v>277</v>
      </c>
      <c r="M281" s="37">
        <f t="shared" si="94"/>
        <v>1.7404423300887557</v>
      </c>
      <c r="N281" s="37">
        <f t="shared" si="88"/>
        <v>19155.83277643628</v>
      </c>
      <c r="O281" s="37">
        <f t="shared" si="89"/>
        <v>12428.222975744982</v>
      </c>
      <c r="R281" s="37">
        <f t="shared" si="90"/>
        <v>-20590.917056494603</v>
      </c>
      <c r="S281" s="37">
        <f t="shared" si="91"/>
        <v>13449.756083021486</v>
      </c>
      <c r="V281" s="37">
        <f t="shared" si="92"/>
        <v>-5844.1672235637197</v>
      </c>
      <c r="W281" s="37">
        <f t="shared" si="93"/>
        <v>-10071.777024255018</v>
      </c>
      <c r="Y281" s="37">
        <f t="shared" si="95"/>
        <v>47186.681853340197</v>
      </c>
      <c r="Z281" s="37">
        <f t="shared" si="96"/>
        <v>-34486.146002198046</v>
      </c>
      <c r="AA281" s="37">
        <f t="shared" si="97"/>
        <v>-2479.2230892798493</v>
      </c>
      <c r="AB281" s="37">
        <f t="shared" si="98"/>
        <v>2386.7310139071583</v>
      </c>
      <c r="AC281" s="37">
        <f t="shared" si="99"/>
        <v>-280.78250009853571</v>
      </c>
      <c r="AD281" s="37">
        <f t="shared" si="100"/>
        <v>237.01558876129565</v>
      </c>
      <c r="AE281" s="39">
        <f t="shared" si="101"/>
        <v>-107.25211737975972</v>
      </c>
      <c r="AF281" s="39">
        <f t="shared" si="102"/>
        <v>165.63636134941623</v>
      </c>
      <c r="AG281" s="39">
        <f t="shared" si="103"/>
        <v>-22.80359996824421</v>
      </c>
      <c r="AH281" s="39">
        <f t="shared" si="104"/>
        <v>15.098889386700638</v>
      </c>
      <c r="AI281" s="39">
        <f t="shared" si="105"/>
        <v>-150.72678275053178</v>
      </c>
      <c r="AJ281" s="39">
        <f t="shared" si="106"/>
        <v>56.28033802517875</v>
      </c>
      <c r="AK281" s="37">
        <f t="shared" si="107"/>
        <v>50019.517453816246</v>
      </c>
      <c r="AL281" s="37">
        <f t="shared" si="108"/>
        <v>80579.571881406984</v>
      </c>
      <c r="AM281" s="37">
        <f t="shared" si="109"/>
        <v>55706.010886444972</v>
      </c>
    </row>
    <row r="282" spans="12:39">
      <c r="L282">
        <v>278</v>
      </c>
      <c r="M282" s="37">
        <f t="shared" si="94"/>
        <v>1.7467255153959353</v>
      </c>
      <c r="N282" s="37">
        <f t="shared" si="88"/>
        <v>19124.884705123568</v>
      </c>
      <c r="O282" s="37">
        <f t="shared" si="89"/>
        <v>12422.821672646018</v>
      </c>
      <c r="R282" s="37">
        <f t="shared" si="90"/>
        <v>-20612.580706413501</v>
      </c>
      <c r="S282" s="37">
        <f t="shared" si="91"/>
        <v>13445.975170852213</v>
      </c>
      <c r="V282" s="37">
        <f t="shared" si="92"/>
        <v>-5875.1152948764311</v>
      </c>
      <c r="W282" s="37">
        <f t="shared" si="93"/>
        <v>-10077.178327353982</v>
      </c>
      <c r="Y282" s="37">
        <f t="shared" si="95"/>
        <v>45911.972496187955</v>
      </c>
      <c r="Z282" s="37">
        <f t="shared" si="96"/>
        <v>-33263.153546649301</v>
      </c>
      <c r="AA282" s="37">
        <f t="shared" si="97"/>
        <v>-2619.6143393291172</v>
      </c>
      <c r="AB282" s="37">
        <f t="shared" si="98"/>
        <v>2505.238808287806</v>
      </c>
      <c r="AC282" s="37">
        <f t="shared" si="99"/>
        <v>-297.0998881428518</v>
      </c>
      <c r="AD282" s="37">
        <f t="shared" si="100"/>
        <v>250.97052915835241</v>
      </c>
      <c r="AE282" s="39">
        <f t="shared" si="101"/>
        <v>-113.04946924903035</v>
      </c>
      <c r="AF282" s="39">
        <f t="shared" si="102"/>
        <v>177.84261209922855</v>
      </c>
      <c r="AG282" s="39">
        <f t="shared" si="103"/>
        <v>-23.870758998062001</v>
      </c>
      <c r="AH282" s="39">
        <f t="shared" si="104"/>
        <v>15.668235567793772</v>
      </c>
      <c r="AI282" s="39">
        <f t="shared" si="105"/>
        <v>-160.17965989575947</v>
      </c>
      <c r="AJ282" s="39">
        <f t="shared" si="106"/>
        <v>57.459681491330102</v>
      </c>
      <c r="AK282" s="37">
        <f t="shared" si="107"/>
        <v>48301.811619347245</v>
      </c>
      <c r="AL282" s="37">
        <f t="shared" si="108"/>
        <v>78842.175091376004</v>
      </c>
      <c r="AM282" s="37">
        <f t="shared" si="109"/>
        <v>54088.554435491133</v>
      </c>
    </row>
    <row r="283" spans="12:39">
      <c r="L283">
        <v>279</v>
      </c>
      <c r="M283" s="37">
        <f t="shared" si="94"/>
        <v>1.753008700703115</v>
      </c>
      <c r="N283" s="37">
        <f t="shared" si="88"/>
        <v>19093.971181864261</v>
      </c>
      <c r="O283" s="37">
        <f t="shared" si="89"/>
        <v>12417.22602497664</v>
      </c>
      <c r="R283" s="37">
        <f t="shared" si="90"/>
        <v>-20634.220172695015</v>
      </c>
      <c r="S283" s="37">
        <f t="shared" si="91"/>
        <v>13442.058217483647</v>
      </c>
      <c r="V283" s="37">
        <f t="shared" si="92"/>
        <v>-5906.0288181357373</v>
      </c>
      <c r="W283" s="37">
        <f t="shared" si="93"/>
        <v>-10082.77397502336</v>
      </c>
      <c r="Y283" s="37">
        <f t="shared" si="95"/>
        <v>44565.027840505543</v>
      </c>
      <c r="Z283" s="37">
        <f t="shared" si="96"/>
        <v>-31979.162826360604</v>
      </c>
      <c r="AA283" s="37">
        <f t="shared" si="97"/>
        <v>-2768.1642834005434</v>
      </c>
      <c r="AB283" s="37">
        <f t="shared" si="98"/>
        <v>2630.7240728669822</v>
      </c>
      <c r="AC283" s="37">
        <f t="shared" si="99"/>
        <v>-315.65239714125426</v>
      </c>
      <c r="AD283" s="37">
        <f t="shared" si="100"/>
        <v>267.02853307495934</v>
      </c>
      <c r="AE283" s="39">
        <f t="shared" si="101"/>
        <v>-119.55398428962789</v>
      </c>
      <c r="AF283" s="39">
        <f t="shared" si="102"/>
        <v>192.13864698039123</v>
      </c>
      <c r="AG283" s="39">
        <f t="shared" si="103"/>
        <v>-25.0755214364045</v>
      </c>
      <c r="AH283" s="39">
        <f t="shared" si="104"/>
        <v>16.303708563946902</v>
      </c>
      <c r="AI283" s="39">
        <f t="shared" si="105"/>
        <v>-171.02289141522189</v>
      </c>
      <c r="AJ283" s="39">
        <f t="shared" si="106"/>
        <v>58.586177530621228</v>
      </c>
      <c r="AK283" s="37">
        <f t="shared" si="107"/>
        <v>46497.794466782027</v>
      </c>
      <c r="AL283" s="37">
        <f t="shared" si="108"/>
        <v>77012.290783013013</v>
      </c>
      <c r="AM283" s="37">
        <f t="shared" si="109"/>
        <v>52392.594468246709</v>
      </c>
    </row>
    <row r="284" spans="12:39">
      <c r="L284">
        <v>280</v>
      </c>
      <c r="M284" s="37">
        <f t="shared" si="94"/>
        <v>1.7592918860102946</v>
      </c>
      <c r="N284" s="37">
        <f t="shared" si="88"/>
        <v>19063.093427071326</v>
      </c>
      <c r="O284" s="37">
        <f t="shared" si="89"/>
        <v>12411.436253643435</v>
      </c>
      <c r="R284" s="37">
        <f t="shared" si="90"/>
        <v>-20655.834601050072</v>
      </c>
      <c r="S284" s="37">
        <f t="shared" si="91"/>
        <v>13438.005377550404</v>
      </c>
      <c r="V284" s="37">
        <f t="shared" si="92"/>
        <v>-5936.906572928674</v>
      </c>
      <c r="W284" s="37">
        <f t="shared" si="93"/>
        <v>-10088.563746356565</v>
      </c>
      <c r="Y284" s="37">
        <f t="shared" si="95"/>
        <v>43141.489149162611</v>
      </c>
      <c r="Z284" s="37">
        <f t="shared" si="96"/>
        <v>-30630.422223292742</v>
      </c>
      <c r="AA284" s="37">
        <f t="shared" si="97"/>
        <v>-2925.9904819711705</v>
      </c>
      <c r="AB284" s="37">
        <f t="shared" si="98"/>
        <v>2764.2383394044618</v>
      </c>
      <c r="AC284" s="37">
        <f t="shared" si="99"/>
        <v>-336.84644525573628</v>
      </c>
      <c r="AD284" s="37">
        <f t="shared" si="100"/>
        <v>285.64207111323537</v>
      </c>
      <c r="AE284" s="39">
        <f t="shared" si="101"/>
        <v>-126.86434296600514</v>
      </c>
      <c r="AF284" s="39">
        <f t="shared" si="102"/>
        <v>209.03542253457093</v>
      </c>
      <c r="AG284" s="39">
        <f t="shared" si="103"/>
        <v>-26.443534738756572</v>
      </c>
      <c r="AH284" s="39">
        <f t="shared" si="104"/>
        <v>17.015943019238051</v>
      </c>
      <c r="AI284" s="39">
        <f t="shared" si="105"/>
        <v>-183.53856755097456</v>
      </c>
      <c r="AJ284" s="39">
        <f t="shared" si="106"/>
        <v>59.590705559426375</v>
      </c>
      <c r="AK284" s="37">
        <f t="shared" si="107"/>
        <v>44603.336410714699</v>
      </c>
      <c r="AL284" s="37">
        <f t="shared" si="108"/>
        <v>75084.4781697047</v>
      </c>
      <c r="AM284" s="37">
        <f t="shared" si="109"/>
        <v>50615.344277969154</v>
      </c>
    </row>
    <row r="285" spans="12:39">
      <c r="L285">
        <v>281</v>
      </c>
      <c r="M285" s="37">
        <f t="shared" si="94"/>
        <v>1.7655750713174743</v>
      </c>
      <c r="N285" s="37">
        <f t="shared" si="88"/>
        <v>19032.252659745649</v>
      </c>
      <c r="O285" s="37">
        <f t="shared" si="89"/>
        <v>12405.45258721666</v>
      </c>
      <c r="R285" s="37">
        <f t="shared" si="90"/>
        <v>-20677.423138178048</v>
      </c>
      <c r="S285" s="37">
        <f t="shared" si="91"/>
        <v>13433.816811051662</v>
      </c>
      <c r="V285" s="37">
        <f t="shared" si="92"/>
        <v>-5967.7473402543528</v>
      </c>
      <c r="W285" s="37">
        <f t="shared" si="93"/>
        <v>-10094.54741278334</v>
      </c>
      <c r="Y285" s="37">
        <f t="shared" si="95"/>
        <v>41636.388102520061</v>
      </c>
      <c r="Z285" s="37">
        <f t="shared" si="96"/>
        <v>-29212.59779470136</v>
      </c>
      <c r="AA285" s="37">
        <f t="shared" si="97"/>
        <v>-3094.4137045990387</v>
      </c>
      <c r="AB285" s="37">
        <f t="shared" si="98"/>
        <v>2907.0593749610794</v>
      </c>
      <c r="AC285" s="37">
        <f t="shared" si="99"/>
        <v>-361.17555824799888</v>
      </c>
      <c r="AD285" s="37">
        <f t="shared" si="100"/>
        <v>307.39689533761191</v>
      </c>
      <c r="AE285" s="39">
        <f t="shared" si="101"/>
        <v>-135.08519850548322</v>
      </c>
      <c r="AF285" s="39">
        <f t="shared" si="102"/>
        <v>229.21240538163434</v>
      </c>
      <c r="AG285" s="39">
        <f t="shared" si="103"/>
        <v>-28.007223241156368</v>
      </c>
      <c r="AH285" s="39">
        <f t="shared" si="104"/>
        <v>17.817980808271511</v>
      </c>
      <c r="AI285" s="39">
        <f t="shared" si="105"/>
        <v>-198.08313650135929</v>
      </c>
      <c r="AJ285" s="39">
        <f t="shared" si="106"/>
        <v>60.366509147706054</v>
      </c>
      <c r="AK285" s="37">
        <f t="shared" si="107"/>
        <v>42613.942870360901</v>
      </c>
      <c r="AL285" s="37">
        <f t="shared" si="108"/>
        <v>73052.530169279518</v>
      </c>
      <c r="AM285" s="37">
        <f t="shared" si="109"/>
        <v>48753.980671559781</v>
      </c>
    </row>
    <row r="286" spans="12:39">
      <c r="L286">
        <v>282</v>
      </c>
      <c r="M286" s="37">
        <f t="shared" si="94"/>
        <v>1.7718582566246539</v>
      </c>
      <c r="N286" s="37">
        <f t="shared" si="88"/>
        <v>19001.450097427914</v>
      </c>
      <c r="O286" s="37">
        <f t="shared" si="89"/>
        <v>12399.275261921222</v>
      </c>
      <c r="R286" s="37">
        <f t="shared" si="90"/>
        <v>-20698.98493180046</v>
      </c>
      <c r="S286" s="37">
        <f t="shared" si="91"/>
        <v>13429.492683344857</v>
      </c>
      <c r="V286" s="37">
        <f t="shared" si="92"/>
        <v>-5998.5499025720865</v>
      </c>
      <c r="W286" s="37">
        <f t="shared" si="93"/>
        <v>-10100.724738078778</v>
      </c>
      <c r="Y286" s="37">
        <f t="shared" si="95"/>
        <v>40044.034305439542</v>
      </c>
      <c r="Z286" s="37">
        <f t="shared" si="96"/>
        <v>-27720.643495303619</v>
      </c>
      <c r="AA286" s="37">
        <f t="shared" si="97"/>
        <v>-3275.0014837230383</v>
      </c>
      <c r="AB286" s="37">
        <f t="shared" si="98"/>
        <v>3060.7578226298851</v>
      </c>
      <c r="AC286" s="37">
        <f t="shared" si="99"/>
        <v>-389.23458671455819</v>
      </c>
      <c r="AD286" s="37">
        <f t="shared" si="100"/>
        <v>333.06139465670771</v>
      </c>
      <c r="AE286" s="39">
        <f t="shared" si="101"/>
        <v>-144.31631061381435</v>
      </c>
      <c r="AF286" s="39">
        <f t="shared" si="102"/>
        <v>253.58733921679922</v>
      </c>
      <c r="AG286" s="39">
        <f t="shared" si="103"/>
        <v>-29.808134430663287</v>
      </c>
      <c r="AH286" s="39">
        <f t="shared" si="104"/>
        <v>18.725957126722818</v>
      </c>
      <c r="AI286" s="39">
        <f t="shared" si="105"/>
        <v>-215.11014167008054</v>
      </c>
      <c r="AJ286" s="39">
        <f t="shared" si="106"/>
        <v>60.748098313185686</v>
      </c>
      <c r="AK286" s="37">
        <f t="shared" si="107"/>
        <v>40524.770689800462</v>
      </c>
      <c r="AL286" s="37">
        <f t="shared" si="108"/>
        <v>70909.329438181769</v>
      </c>
      <c r="AM286" s="37">
        <f t="shared" si="109"/>
        <v>46805.766711423756</v>
      </c>
    </row>
    <row r="287" spans="12:39">
      <c r="L287">
        <v>283</v>
      </c>
      <c r="M287" s="37">
        <f t="shared" si="94"/>
        <v>1.7781414419318335</v>
      </c>
      <c r="N287" s="37">
        <f t="shared" si="88"/>
        <v>18970.686956150541</v>
      </c>
      <c r="O287" s="37">
        <f t="shared" si="89"/>
        <v>12392.90452162735</v>
      </c>
      <c r="R287" s="37">
        <f t="shared" si="90"/>
        <v>-20720.519130694622</v>
      </c>
      <c r="S287" s="37">
        <f t="shared" si="91"/>
        <v>13425.033165139144</v>
      </c>
      <c r="V287" s="37">
        <f t="shared" si="92"/>
        <v>-6029.3130438494582</v>
      </c>
      <c r="W287" s="37">
        <f t="shared" si="93"/>
        <v>-10107.09547837265</v>
      </c>
      <c r="Y287" s="37">
        <f t="shared" si="95"/>
        <v>38357.879240238704</v>
      </c>
      <c r="Z287" s="37">
        <f t="shared" si="96"/>
        <v>-26148.631909656586</v>
      </c>
      <c r="AA287" s="37">
        <f t="shared" si="97"/>
        <v>-3469.6187770803172</v>
      </c>
      <c r="AB287" s="37">
        <f t="shared" si="98"/>
        <v>3227.2885199582388</v>
      </c>
      <c r="AC287" s="37">
        <f t="shared" si="99"/>
        <v>-421.7273599192597</v>
      </c>
      <c r="AD287" s="37">
        <f t="shared" si="100"/>
        <v>363.65742191489574</v>
      </c>
      <c r="AE287" s="39">
        <f t="shared" si="101"/>
        <v>-154.62730257542052</v>
      </c>
      <c r="AF287" s="39">
        <f t="shared" si="102"/>
        <v>283.42038420968311</v>
      </c>
      <c r="AG287" s="39">
        <f t="shared" si="103"/>
        <v>-31.900312719271788</v>
      </c>
      <c r="AH287" s="39">
        <f t="shared" si="104"/>
        <v>19.760016595955641</v>
      </c>
      <c r="AI287" s="39">
        <f t="shared" si="105"/>
        <v>-235.19974462456739</v>
      </c>
      <c r="AJ287" s="39">
        <f t="shared" si="106"/>
        <v>60.477021109257002</v>
      </c>
      <c r="AK287" s="37">
        <f t="shared" si="107"/>
        <v>38330.694744430955</v>
      </c>
      <c r="AL287" s="37">
        <f t="shared" si="108"/>
        <v>68646.672594949021</v>
      </c>
      <c r="AM287" s="37">
        <f t="shared" si="109"/>
        <v>44768.266502826926</v>
      </c>
    </row>
    <row r="288" spans="12:39">
      <c r="L288">
        <v>284</v>
      </c>
      <c r="M288" s="37">
        <f t="shared" si="94"/>
        <v>1.7844246272390132</v>
      </c>
      <c r="N288" s="37">
        <f t="shared" si="88"/>
        <v>18939.964450389674</v>
      </c>
      <c r="O288" s="37">
        <f t="shared" si="89"/>
        <v>12386.340617840957</v>
      </c>
      <c r="R288" s="37">
        <f t="shared" si="90"/>
        <v>-20742.024884727227</v>
      </c>
      <c r="S288" s="37">
        <f t="shared" si="91"/>
        <v>13420.438432488671</v>
      </c>
      <c r="V288" s="37">
        <f t="shared" si="92"/>
        <v>-6060.0355496103257</v>
      </c>
      <c r="W288" s="37">
        <f t="shared" si="93"/>
        <v>-10113.659382159043</v>
      </c>
      <c r="Y288" s="37">
        <f t="shared" si="95"/>
        <v>36570.353931708632</v>
      </c>
      <c r="Z288" s="37">
        <f t="shared" si="96"/>
        <v>-24489.530471938106</v>
      </c>
      <c r="AA288" s="37">
        <f t="shared" si="97"/>
        <v>-3680.4824570399469</v>
      </c>
      <c r="AB288" s="37">
        <f t="shared" si="98"/>
        <v>3409.1172309156868</v>
      </c>
      <c r="AC288" s="37">
        <f t="shared" si="99"/>
        <v>-459.45277002452826</v>
      </c>
      <c r="AD288" s="37">
        <f t="shared" si="100"/>
        <v>400.56229823810236</v>
      </c>
      <c r="AE288" s="39">
        <f t="shared" si="101"/>
        <v>-166.00192813834283</v>
      </c>
      <c r="AF288" s="39">
        <f t="shared" si="102"/>
        <v>320.47135266195426</v>
      </c>
      <c r="AG288" s="39">
        <f t="shared" si="103"/>
        <v>-34.355253363506947</v>
      </c>
      <c r="AH288" s="39">
        <f t="shared" si="104"/>
        <v>20.945539057122158</v>
      </c>
      <c r="AI288" s="39">
        <f t="shared" si="105"/>
        <v>-259.0955885226785</v>
      </c>
      <c r="AJ288" s="39">
        <f t="shared" si="106"/>
        <v>59.145406519025912</v>
      </c>
      <c r="AK288" s="37">
        <f t="shared" si="107"/>
        <v>36026.472062042769</v>
      </c>
      <c r="AL288" s="37">
        <f t="shared" si="108"/>
        <v>66255.057589089221</v>
      </c>
      <c r="AM288" s="37">
        <f t="shared" si="109"/>
        <v>42639.717571594738</v>
      </c>
    </row>
    <row r="289" spans="12:39">
      <c r="L289">
        <v>285</v>
      </c>
      <c r="M289" s="37">
        <f t="shared" si="94"/>
        <v>1.7907078125461928</v>
      </c>
      <c r="N289" s="37">
        <f t="shared" si="88"/>
        <v>18909.283793017235</v>
      </c>
      <c r="O289" s="37">
        <f t="shared" si="89"/>
        <v>12379.583809693726</v>
      </c>
      <c r="R289" s="37">
        <f t="shared" si="90"/>
        <v>-20763.501344887936</v>
      </c>
      <c r="S289" s="37">
        <f t="shared" si="91"/>
        <v>13415.708666785607</v>
      </c>
      <c r="V289" s="37">
        <f t="shared" si="92"/>
        <v>-6090.7162069827646</v>
      </c>
      <c r="W289" s="37">
        <f t="shared" si="93"/>
        <v>-10120.416190306274</v>
      </c>
      <c r="Y289" s="37">
        <f t="shared" si="95"/>
        <v>34672.68110693559</v>
      </c>
      <c r="Z289" s="37">
        <f t="shared" si="96"/>
        <v>-22734.901569200498</v>
      </c>
      <c r="AA289" s="37">
        <f t="shared" si="97"/>
        <v>-3910.2088420522109</v>
      </c>
      <c r="AB289" s="37">
        <f t="shared" si="98"/>
        <v>3609.3983800347378</v>
      </c>
      <c r="AC289" s="37">
        <f t="shared" si="99"/>
        <v>-503.23288779832501</v>
      </c>
      <c r="AD289" s="37">
        <f t="shared" si="100"/>
        <v>445.65435149053064</v>
      </c>
      <c r="AE289" s="39">
        <f t="shared" si="101"/>
        <v>-178.2168508235813</v>
      </c>
      <c r="AF289" s="39">
        <f t="shared" si="102"/>
        <v>367.23819616558387</v>
      </c>
      <c r="AG289" s="39">
        <f t="shared" si="103"/>
        <v>-37.269345267652497</v>
      </c>
      <c r="AH289" s="39">
        <f t="shared" si="104"/>
        <v>22.314770817602845</v>
      </c>
      <c r="AI289" s="39">
        <f t="shared" si="105"/>
        <v>-287.7466917070912</v>
      </c>
      <c r="AJ289" s="39">
        <f t="shared" si="106"/>
        <v>56.101384507343909</v>
      </c>
      <c r="AK289" s="37">
        <f t="shared" si="107"/>
        <v>33607.095140238875</v>
      </c>
      <c r="AL289" s="37">
        <f t="shared" si="108"/>
        <v>63723.432426117142</v>
      </c>
      <c r="AM289" s="37">
        <f t="shared" si="109"/>
        <v>40419.677491264381</v>
      </c>
    </row>
    <row r="290" spans="12:39">
      <c r="L290">
        <v>286</v>
      </c>
      <c r="M290" s="37">
        <f t="shared" si="94"/>
        <v>1.7969909978533725</v>
      </c>
      <c r="N290" s="37">
        <f t="shared" si="88"/>
        <v>18878.646195253041</v>
      </c>
      <c r="O290" s="37">
        <f t="shared" si="89"/>
        <v>12372.634363932873</v>
      </c>
      <c r="R290" s="37">
        <f t="shared" si="90"/>
        <v>-20784.94766332287</v>
      </c>
      <c r="S290" s="37">
        <f t="shared" si="91"/>
        <v>13410.844054753012</v>
      </c>
      <c r="V290" s="37">
        <f t="shared" si="92"/>
        <v>-6121.3538047469583</v>
      </c>
      <c r="W290" s="37">
        <f t="shared" si="93"/>
        <v>-10127.365636067127</v>
      </c>
      <c r="Y290" s="37">
        <f t="shared" si="95"/>
        <v>32654.672574934692</v>
      </c>
      <c r="Z290" s="37">
        <f t="shared" si="96"/>
        <v>-20874.495585246816</v>
      </c>
      <c r="AA290" s="37">
        <f t="shared" si="97"/>
        <v>-4161.8252859513732</v>
      </c>
      <c r="AB290" s="37">
        <f t="shared" si="98"/>
        <v>3832.2255557800031</v>
      </c>
      <c r="AC290" s="37">
        <f t="shared" si="99"/>
        <v>-553.69572523199861</v>
      </c>
      <c r="AD290" s="37">
        <f t="shared" si="100"/>
        <v>501.51230410884415</v>
      </c>
      <c r="AE290" s="39">
        <f t="shared" si="101"/>
        <v>-190.5770265140174</v>
      </c>
      <c r="AF290" s="39">
        <f t="shared" si="102"/>
        <v>427.31465120498063</v>
      </c>
      <c r="AG290" s="39">
        <f t="shared" si="103"/>
        <v>-40.775334929951804</v>
      </c>
      <c r="AH290" s="39">
        <f t="shared" si="104"/>
        <v>23.908949324300657</v>
      </c>
      <c r="AI290" s="39">
        <f t="shared" si="105"/>
        <v>-322.34336378802942</v>
      </c>
      <c r="AJ290" s="39">
        <f t="shared" si="106"/>
        <v>50.288703579562892</v>
      </c>
      <c r="AK290" s="37">
        <f t="shared" si="107"/>
        <v>31068.516824850125</v>
      </c>
      <c r="AL290" s="37">
        <f t="shared" si="108"/>
        <v>61038.913994410199</v>
      </c>
      <c r="AM290" s="37">
        <f t="shared" si="109"/>
        <v>38110.156980870903</v>
      </c>
    </row>
    <row r="291" spans="12:39">
      <c r="L291">
        <v>287</v>
      </c>
      <c r="M291" s="37">
        <f t="shared" si="94"/>
        <v>1.8032741831605521</v>
      </c>
      <c r="N291" s="37">
        <f t="shared" si="88"/>
        <v>18848.052866616996</v>
      </c>
      <c r="O291" s="37">
        <f t="shared" si="89"/>
        <v>12365.492554910619</v>
      </c>
      <c r="R291" s="37">
        <f t="shared" si="90"/>
        <v>-20806.362993368104</v>
      </c>
      <c r="S291" s="37">
        <f t="shared" si="91"/>
        <v>13405.844788437435</v>
      </c>
      <c r="V291" s="37">
        <f t="shared" si="92"/>
        <v>-6151.9471333830052</v>
      </c>
      <c r="W291" s="37">
        <f t="shared" si="93"/>
        <v>-10134.507445089381</v>
      </c>
      <c r="Y291" s="37">
        <f t="shared" si="95"/>
        <v>30504.547966305006</v>
      </c>
      <c r="Z291" s="37">
        <f t="shared" si="96"/>
        <v>-18895.693769343208</v>
      </c>
      <c r="AA291" s="37">
        <f t="shared" si="97"/>
        <v>-4438.6731485673727</v>
      </c>
      <c r="AB291" s="37">
        <f t="shared" si="98"/>
        <v>4082.9817078344254</v>
      </c>
      <c r="AC291" s="37">
        <f t="shared" si="99"/>
        <v>-610.70278439218953</v>
      </c>
      <c r="AD291" s="37">
        <f t="shared" si="100"/>
        <v>571.65455733644433</v>
      </c>
      <c r="AE291" s="39">
        <f t="shared" si="101"/>
        <v>-201.33019425718399</v>
      </c>
      <c r="AF291" s="39">
        <f t="shared" si="102"/>
        <v>505.89993697789805</v>
      </c>
      <c r="AG291" s="39">
        <f t="shared" si="103"/>
        <v>-45.060459264311781</v>
      </c>
      <c r="AH291" s="39">
        <f t="shared" si="104"/>
        <v>25.780910520696178</v>
      </c>
      <c r="AI291" s="39">
        <f t="shared" si="105"/>
        <v>-364.31213087069375</v>
      </c>
      <c r="AJ291" s="39">
        <f t="shared" si="106"/>
        <v>39.973709837850159</v>
      </c>
      <c r="AK291" s="37">
        <f t="shared" si="107"/>
        <v>28409.121379256812</v>
      </c>
      <c r="AL291" s="37">
        <f t="shared" si="108"/>
        <v>58186.514620592825</v>
      </c>
      <c r="AM291" s="37">
        <f t="shared" si="109"/>
        <v>35717.633687524045</v>
      </c>
    </row>
    <row r="292" spans="12:39">
      <c r="L292">
        <v>288</v>
      </c>
      <c r="M292" s="37">
        <f t="shared" si="94"/>
        <v>1.8095573684677317</v>
      </c>
      <c r="N292" s="37">
        <f t="shared" si="88"/>
        <v>18817.505014881324</v>
      </c>
      <c r="O292" s="37">
        <f t="shared" si="89"/>
        <v>12358.158664573357</v>
      </c>
      <c r="R292" s="37">
        <f t="shared" si="90"/>
        <v>-20827.746489583074</v>
      </c>
      <c r="S292" s="37">
        <f t="shared" si="91"/>
        <v>13400.711065201351</v>
      </c>
      <c r="V292" s="37">
        <f t="shared" si="92"/>
        <v>-6182.4949851186757</v>
      </c>
      <c r="W292" s="37">
        <f t="shared" si="93"/>
        <v>-10141.841335426643</v>
      </c>
      <c r="Y292" s="37">
        <f t="shared" si="95"/>
        <v>28208.873543972295</v>
      </c>
      <c r="Z292" s="37">
        <f t="shared" si="96"/>
        <v>-16782.746095758939</v>
      </c>
      <c r="AA292" s="37">
        <f t="shared" si="97"/>
        <v>-4744.0245407634675</v>
      </c>
      <c r="AB292" s="37">
        <f t="shared" si="98"/>
        <v>4368.8089865026477</v>
      </c>
      <c r="AC292" s="37">
        <f t="shared" si="99"/>
        <v>-671.9184760079977</v>
      </c>
      <c r="AD292" s="37">
        <f t="shared" si="100"/>
        <v>660.69369123190836</v>
      </c>
      <c r="AE292" s="39">
        <f t="shared" si="101"/>
        <v>-206.35082831363874</v>
      </c>
      <c r="AF292" s="39">
        <f t="shared" si="102"/>
        <v>610.40832749445826</v>
      </c>
      <c r="AG292" s="39">
        <f t="shared" si="103"/>
        <v>-50.395919042892601</v>
      </c>
      <c r="AH292" s="39">
        <f t="shared" si="104"/>
        <v>27.997773122765235</v>
      </c>
      <c r="AI292" s="39">
        <f t="shared" si="105"/>
        <v>-415.17172865146637</v>
      </c>
      <c r="AJ292" s="39">
        <f t="shared" si="106"/>
        <v>22.287590614684806</v>
      </c>
      <c r="AK292" s="37">
        <f t="shared" si="107"/>
        <v>25632.740056654584</v>
      </c>
      <c r="AL292" s="37">
        <f t="shared" si="108"/>
        <v>55148.988901054225</v>
      </c>
      <c r="AM292" s="37">
        <f t="shared" si="109"/>
        <v>33256.690540423391</v>
      </c>
    </row>
    <row r="293" spans="12:39">
      <c r="L293">
        <v>289</v>
      </c>
      <c r="M293" s="37">
        <f t="shared" si="94"/>
        <v>1.8158405537749114</v>
      </c>
      <c r="N293" s="37">
        <f t="shared" si="88"/>
        <v>18787.003846022912</v>
      </c>
      <c r="O293" s="37">
        <f t="shared" si="89"/>
        <v>12350.632982450516</v>
      </c>
      <c r="R293" s="37">
        <f t="shared" si="90"/>
        <v>-20849.097307783963</v>
      </c>
      <c r="S293" s="37">
        <f t="shared" si="91"/>
        <v>13395.443087715361</v>
      </c>
      <c r="V293" s="37">
        <f t="shared" si="92"/>
        <v>-6212.9961539770902</v>
      </c>
      <c r="W293" s="37">
        <f t="shared" si="93"/>
        <v>-10149.367017549484</v>
      </c>
      <c r="Y293" s="37">
        <f t="shared" si="95"/>
        <v>25752.871464089563</v>
      </c>
      <c r="Z293" s="37">
        <f t="shared" si="96"/>
        <v>-14515.754891103627</v>
      </c>
      <c r="AA293" s="37">
        <f t="shared" si="97"/>
        <v>-5079.983778767466</v>
      </c>
      <c r="AB293" s="37">
        <f t="shared" si="98"/>
        <v>4699.1558321186021</v>
      </c>
      <c r="AC293" s="37">
        <f t="shared" si="99"/>
        <v>-729.3476068547759</v>
      </c>
      <c r="AD293" s="37">
        <f t="shared" si="100"/>
        <v>773.85635717332002</v>
      </c>
      <c r="AE293" s="39">
        <f t="shared" si="101"/>
        <v>-196.16568676126093</v>
      </c>
      <c r="AF293" s="39">
        <f t="shared" si="102"/>
        <v>750.70957255680776</v>
      </c>
      <c r="AG293" s="39">
        <f t="shared" si="103"/>
        <v>-57.18601934013828</v>
      </c>
      <c r="AH293" s="39">
        <f t="shared" si="104"/>
        <v>30.641976961841799</v>
      </c>
      <c r="AI293" s="39">
        <f t="shared" si="105"/>
        <v>-475.99590075337665</v>
      </c>
      <c r="AJ293" s="39">
        <f t="shared" si="106"/>
        <v>-7.4951923453295048</v>
      </c>
      <c r="AK293" s="37">
        <f t="shared" si="107"/>
        <v>22754.977334805</v>
      </c>
      <c r="AL293" s="37">
        <f t="shared" si="108"/>
        <v>51907.104379749144</v>
      </c>
      <c r="AM293" s="37">
        <f t="shared" si="109"/>
        <v>30756.683771374057</v>
      </c>
    </row>
    <row r="294" spans="12:39">
      <c r="L294">
        <v>290</v>
      </c>
      <c r="M294" s="37">
        <f t="shared" si="94"/>
        <v>1.822123739082091</v>
      </c>
      <c r="N294" s="37">
        <f t="shared" si="88"/>
        <v>18756.550564175672</v>
      </c>
      <c r="O294" s="37">
        <f t="shared" si="89"/>
        <v>12342.915805643142</v>
      </c>
      <c r="R294" s="37">
        <f t="shared" si="90"/>
        <v>-20870.414605077029</v>
      </c>
      <c r="S294" s="37">
        <f t="shared" si="91"/>
        <v>13390.041063950199</v>
      </c>
      <c r="V294" s="37">
        <f t="shared" si="92"/>
        <v>-6243.4494358243264</v>
      </c>
      <c r="W294" s="37">
        <f t="shared" si="93"/>
        <v>-10157.084194356858</v>
      </c>
      <c r="Y294" s="37">
        <f t="shared" si="95"/>
        <v>23121.711123848985</v>
      </c>
      <c r="Z294" s="37">
        <f t="shared" si="96"/>
        <v>-12069.44493039766</v>
      </c>
      <c r="AA294" s="37">
        <f t="shared" si="97"/>
        <v>-5444.6575821948536</v>
      </c>
      <c r="AB294" s="37">
        <f t="shared" si="98"/>
        <v>5086.0840107052618</v>
      </c>
      <c r="AC294" s="37">
        <f t="shared" si="99"/>
        <v>-761.38551829887399</v>
      </c>
      <c r="AD294" s="37">
        <f t="shared" si="100"/>
        <v>913.81690509006069</v>
      </c>
      <c r="AE294" s="39">
        <f t="shared" si="101"/>
        <v>-149.45366721130364</v>
      </c>
      <c r="AF294" s="39">
        <f t="shared" si="102"/>
        <v>936.89812865563226</v>
      </c>
      <c r="AG294" s="39">
        <f t="shared" si="103"/>
        <v>-66.051539335560818</v>
      </c>
      <c r="AH294" s="39">
        <f t="shared" si="104"/>
        <v>33.804799761945063</v>
      </c>
      <c r="AI294" s="39">
        <f t="shared" si="105"/>
        <v>-545.88031175200956</v>
      </c>
      <c r="AJ294" s="39">
        <f t="shared" si="106"/>
        <v>-56.886023327516639</v>
      </c>
      <c r="AK294" s="37">
        <f t="shared" si="107"/>
        <v>19816.867946893857</v>
      </c>
      <c r="AL294" s="37">
        <f t="shared" si="108"/>
        <v>48441.122713914636</v>
      </c>
      <c r="AM294" s="37">
        <f t="shared" si="109"/>
        <v>28273.994934377133</v>
      </c>
    </row>
    <row r="295" spans="12:39">
      <c r="L295">
        <v>291</v>
      </c>
      <c r="M295" s="37">
        <f t="shared" si="94"/>
        <v>1.8284069243892707</v>
      </c>
      <c r="N295" s="37">
        <f t="shared" si="88"/>
        <v>18726.146371583036</v>
      </c>
      <c r="O295" s="37">
        <f t="shared" si="89"/>
        <v>12335.007438812161</v>
      </c>
      <c r="R295" s="37">
        <f t="shared" si="90"/>
        <v>-20891.697539891873</v>
      </c>
      <c r="S295" s="37">
        <f t="shared" si="91"/>
        <v>13384.505207168513</v>
      </c>
      <c r="V295" s="37">
        <f t="shared" si="92"/>
        <v>-6273.8536284169641</v>
      </c>
      <c r="W295" s="37">
        <f t="shared" si="93"/>
        <v>-10164.992561187839</v>
      </c>
      <c r="Y295" s="37">
        <f t="shared" si="95"/>
        <v>20304.209142964199</v>
      </c>
      <c r="Z295" s="37">
        <f t="shared" si="96"/>
        <v>-9412.1758119087717</v>
      </c>
      <c r="AA295" s="37">
        <f t="shared" si="97"/>
        <v>-5825.3503413442904</v>
      </c>
      <c r="AB295" s="37">
        <f t="shared" si="98"/>
        <v>5542.9924632502925</v>
      </c>
      <c r="AC295" s="37">
        <f t="shared" si="99"/>
        <v>-717.2154653890284</v>
      </c>
      <c r="AD295" s="37">
        <f t="shared" si="100"/>
        <v>1068.1717413370361</v>
      </c>
      <c r="AE295" s="39">
        <f t="shared" si="101"/>
        <v>-20.994095428536184</v>
      </c>
      <c r="AF295" s="39">
        <f t="shared" si="102"/>
        <v>1167.1438584644361</v>
      </c>
      <c r="AG295" s="39">
        <f t="shared" si="103"/>
        <v>-77.970290420072104</v>
      </c>
      <c r="AH295" s="39">
        <f t="shared" si="104"/>
        <v>37.553720018948596</v>
      </c>
      <c r="AI295" s="39">
        <f t="shared" si="105"/>
        <v>-618.25107954042016</v>
      </c>
      <c r="AJ295" s="39">
        <f t="shared" si="106"/>
        <v>-136.52583714634855</v>
      </c>
      <c r="AK295" s="37">
        <f t="shared" si="107"/>
        <v>16914.911584030673</v>
      </c>
      <c r="AL295" s="37">
        <f t="shared" si="108"/>
        <v>44735.465174649238</v>
      </c>
      <c r="AM295" s="37">
        <f t="shared" si="109"/>
        <v>25913.833747785957</v>
      </c>
    </row>
    <row r="296" spans="12:39">
      <c r="L296">
        <v>292</v>
      </c>
      <c r="M296" s="37">
        <f t="shared" si="94"/>
        <v>1.8346901096964503</v>
      </c>
      <c r="N296" s="37">
        <f t="shared" si="88"/>
        <v>18695.792468550462</v>
      </c>
      <c r="O296" s="37">
        <f t="shared" si="89"/>
        <v>12326.908194166355</v>
      </c>
      <c r="R296" s="37">
        <f t="shared" si="90"/>
        <v>-20912.945272014676</v>
      </c>
      <c r="S296" s="37">
        <f t="shared" si="91"/>
        <v>13378.835735916447</v>
      </c>
      <c r="V296" s="37">
        <f t="shared" si="92"/>
        <v>-6304.2075314495378</v>
      </c>
      <c r="W296" s="37">
        <f t="shared" si="93"/>
        <v>-10173.091805833645</v>
      </c>
      <c r="Y296" s="37">
        <f t="shared" si="95"/>
        <v>17301.882039118427</v>
      </c>
      <c r="Z296" s="37">
        <f t="shared" si="96"/>
        <v>-6507.1581126164965</v>
      </c>
      <c r="AA296" s="37">
        <f t="shared" si="97"/>
        <v>-6183.9580740388046</v>
      </c>
      <c r="AB296" s="37">
        <f t="shared" si="98"/>
        <v>6077.078333918811</v>
      </c>
      <c r="AC296" s="37">
        <f t="shared" si="99"/>
        <v>-501.36134156879001</v>
      </c>
      <c r="AD296" s="37">
        <f t="shared" si="100"/>
        <v>1172.3631283145012</v>
      </c>
      <c r="AE296" s="39">
        <f t="shared" si="101"/>
        <v>267.21679921111667</v>
      </c>
      <c r="AF296" s="39">
        <f t="shared" si="102"/>
        <v>1387.2440016204666</v>
      </c>
      <c r="AG296" s="39">
        <f t="shared" si="103"/>
        <v>-94.497241673548373</v>
      </c>
      <c r="AH296" s="39">
        <f t="shared" si="104"/>
        <v>41.817753535211736</v>
      </c>
      <c r="AI296" s="39">
        <f t="shared" si="105"/>
        <v>-674.08089910635829</v>
      </c>
      <c r="AJ296" s="39">
        <f t="shared" si="106"/>
        <v>-256.6986268411772</v>
      </c>
      <c r="AK296" s="37">
        <f t="shared" si="107"/>
        <v>14264.652779604201</v>
      </c>
      <c r="AL296" s="37">
        <f t="shared" si="108"/>
        <v>40791.134730664533</v>
      </c>
      <c r="AM296" s="37">
        <f t="shared" si="109"/>
        <v>23864.247438602561</v>
      </c>
    </row>
    <row r="297" spans="12:39">
      <c r="L297">
        <v>293</v>
      </c>
      <c r="M297" s="37">
        <f t="shared" si="94"/>
        <v>1.8409732950036299</v>
      </c>
      <c r="N297" s="37">
        <f t="shared" si="88"/>
        <v>18665.490053398069</v>
      </c>
      <c r="O297" s="37">
        <f t="shared" si="89"/>
        <v>12318.618391450033</v>
      </c>
      <c r="R297" s="37">
        <f t="shared" si="90"/>
        <v>-20934.156962621353</v>
      </c>
      <c r="S297" s="37">
        <f t="shared" si="91"/>
        <v>13373.032874015023</v>
      </c>
      <c r="V297" s="37">
        <f t="shared" si="92"/>
        <v>-6334.509946601931</v>
      </c>
      <c r="W297" s="37">
        <f t="shared" si="93"/>
        <v>-10181.381608549967</v>
      </c>
      <c r="Y297" s="37">
        <f t="shared" si="95"/>
        <v>14147.232834402927</v>
      </c>
      <c r="Z297" s="37">
        <f t="shared" si="96"/>
        <v>-3322.0735546177784</v>
      </c>
      <c r="AA297" s="37">
        <f t="shared" si="97"/>
        <v>-6434.6387448231999</v>
      </c>
      <c r="AB297" s="37">
        <f t="shared" si="98"/>
        <v>6663.2598980760613</v>
      </c>
      <c r="AC297" s="37">
        <f t="shared" si="99"/>
        <v>-26.171697354754315</v>
      </c>
      <c r="AD297" s="37">
        <f t="shared" si="100"/>
        <v>1054.8752508172965</v>
      </c>
      <c r="AE297" s="39">
        <f t="shared" si="101"/>
        <v>768.92521983278311</v>
      </c>
      <c r="AF297" s="39">
        <f t="shared" si="102"/>
        <v>1421.7830731324016</v>
      </c>
      <c r="AG297" s="39">
        <f t="shared" si="103"/>
        <v>-118.01853908138341</v>
      </c>
      <c r="AH297" s="39">
        <f t="shared" si="104"/>
        <v>46.043310919961229</v>
      </c>
      <c r="AI297" s="39">
        <f t="shared" si="105"/>
        <v>-677.07837810615399</v>
      </c>
      <c r="AJ297" s="39">
        <f t="shared" si="106"/>
        <v>-412.95113323506621</v>
      </c>
      <c r="AK297" s="37">
        <f t="shared" si="107"/>
        <v>12303.339364426582</v>
      </c>
      <c r="AL297" s="37">
        <f t="shared" si="108"/>
        <v>36653.937769925506</v>
      </c>
      <c r="AM297" s="37">
        <f t="shared" si="109"/>
        <v>22427.44950453785</v>
      </c>
    </row>
    <row r="298" spans="12:39">
      <c r="L298">
        <v>294</v>
      </c>
      <c r="M298" s="37">
        <f t="shared" si="94"/>
        <v>1.8472564803108096</v>
      </c>
      <c r="N298" s="37">
        <f t="shared" si="88"/>
        <v>18635.24032241332</v>
      </c>
      <c r="O298" s="37">
        <f t="shared" si="89"/>
        <v>12310.138357930413</v>
      </c>
      <c r="R298" s="37">
        <f t="shared" si="90"/>
        <v>-20955.331774310675</v>
      </c>
      <c r="S298" s="37">
        <f t="shared" si="91"/>
        <v>13367.09685055129</v>
      </c>
      <c r="V298" s="37">
        <f t="shared" si="92"/>
        <v>-6364.7596775866805</v>
      </c>
      <c r="W298" s="37">
        <f t="shared" si="93"/>
        <v>-10189.861642069587</v>
      </c>
      <c r="Y298" s="37">
        <f t="shared" si="95"/>
        <v>10926.641999821983</v>
      </c>
      <c r="Z298" s="37">
        <f t="shared" si="96"/>
        <v>141.41580077241429</v>
      </c>
      <c r="AA298" s="37">
        <f t="shared" si="97"/>
        <v>-6447.7245935005767</v>
      </c>
      <c r="AB298" s="37">
        <f t="shared" si="98"/>
        <v>7190.6975234847096</v>
      </c>
      <c r="AC298" s="37">
        <f t="shared" si="99"/>
        <v>562.21891410062551</v>
      </c>
      <c r="AD298" s="37">
        <f t="shared" si="100"/>
        <v>544.57834280030602</v>
      </c>
      <c r="AE298" s="39">
        <f t="shared" si="101"/>
        <v>1306.4414655776086</v>
      </c>
      <c r="AF298" s="39">
        <f t="shared" si="102"/>
        <v>1059.5371113568431</v>
      </c>
      <c r="AG298" s="39">
        <f t="shared" si="103"/>
        <v>-151.69443740678656</v>
      </c>
      <c r="AH298" s="39">
        <f t="shared" si="104"/>
        <v>48.356119094270632</v>
      </c>
      <c r="AI298" s="39">
        <f t="shared" si="105"/>
        <v>-592.52811407019647</v>
      </c>
      <c r="AJ298" s="39">
        <f t="shared" si="106"/>
        <v>-563.31488765080758</v>
      </c>
      <c r="AK298" s="37">
        <f t="shared" si="107"/>
        <v>11682.233811070395</v>
      </c>
      <c r="AL298" s="37">
        <f t="shared" si="108"/>
        <v>32459.957914304399</v>
      </c>
      <c r="AM298" s="37">
        <f t="shared" si="109"/>
        <v>21975.449889419193</v>
      </c>
    </row>
    <row r="299" spans="12:39">
      <c r="L299">
        <v>295</v>
      </c>
      <c r="M299" s="37">
        <f t="shared" si="94"/>
        <v>1.8535396656179892</v>
      </c>
      <c r="N299" s="37">
        <f t="shared" si="88"/>
        <v>18605.044469803801</v>
      </c>
      <c r="O299" s="37">
        <f t="shared" si="89"/>
        <v>12301.4684283847</v>
      </c>
      <c r="R299" s="37">
        <f t="shared" si="90"/>
        <v>-20976.468871137338</v>
      </c>
      <c r="S299" s="37">
        <f t="shared" si="91"/>
        <v>13361.02789986929</v>
      </c>
      <c r="V299" s="37">
        <f t="shared" si="92"/>
        <v>-6394.9555301962</v>
      </c>
      <c r="W299" s="37">
        <f t="shared" si="93"/>
        <v>-10198.5315716153</v>
      </c>
      <c r="Y299" s="37">
        <f t="shared" si="95"/>
        <v>7773.0570673342718</v>
      </c>
      <c r="Z299" s="37">
        <f t="shared" si="96"/>
        <v>3804.836855364807</v>
      </c>
      <c r="AA299" s="37">
        <f t="shared" si="97"/>
        <v>-6166.6151364502639</v>
      </c>
      <c r="AB299" s="37">
        <f t="shared" si="98"/>
        <v>7462.986694884863</v>
      </c>
      <c r="AC299" s="37">
        <f t="shared" si="99"/>
        <v>864.86697913649857</v>
      </c>
      <c r="AD299" s="37">
        <f t="shared" si="100"/>
        <v>-145.35912049537018</v>
      </c>
      <c r="AE299" s="39">
        <f t="shared" si="101"/>
        <v>1499.7041506701216</v>
      </c>
      <c r="AF299" s="39">
        <f t="shared" si="102"/>
        <v>453.23279383332027</v>
      </c>
      <c r="AG299" s="39">
        <f t="shared" si="103"/>
        <v>-198.21521112059227</v>
      </c>
      <c r="AH299" s="39">
        <f t="shared" si="104"/>
        <v>44.21463462460099</v>
      </c>
      <c r="AI299" s="39">
        <f t="shared" si="105"/>
        <v>-436.62196041303071</v>
      </c>
      <c r="AJ299" s="39">
        <f t="shared" si="106"/>
        <v>-642.80654895329144</v>
      </c>
      <c r="AK299" s="37">
        <f t="shared" si="107"/>
        <v>12773.110981438102</v>
      </c>
      <c r="AL299" s="37">
        <f t="shared" si="108"/>
        <v>28455.627655246906</v>
      </c>
      <c r="AM299" s="37">
        <f t="shared" si="109"/>
        <v>22732.63900215425</v>
      </c>
    </row>
    <row r="300" spans="12:39">
      <c r="L300">
        <v>296</v>
      </c>
      <c r="M300" s="37">
        <f t="shared" si="94"/>
        <v>1.8598228509251689</v>
      </c>
      <c r="N300" s="37">
        <f t="shared" si="88"/>
        <v>18574.903687650065</v>
      </c>
      <c r="O300" s="37">
        <f t="shared" si="89"/>
        <v>12292.608945086864</v>
      </c>
      <c r="R300" s="37">
        <f t="shared" si="90"/>
        <v>-20997.567418644954</v>
      </c>
      <c r="S300" s="37">
        <f t="shared" si="91"/>
        <v>13354.826261560804</v>
      </c>
      <c r="V300" s="37">
        <f t="shared" si="92"/>
        <v>-6425.096312349935</v>
      </c>
      <c r="W300" s="37">
        <f t="shared" si="93"/>
        <v>-10207.391054913136</v>
      </c>
      <c r="Y300" s="37">
        <f t="shared" si="95"/>
        <v>4797.8578715012018</v>
      </c>
      <c r="Z300" s="37">
        <f t="shared" si="96"/>
        <v>7518.1603127453172</v>
      </c>
      <c r="AA300" s="37">
        <f t="shared" si="97"/>
        <v>-5734.1816468820143</v>
      </c>
      <c r="AB300" s="37">
        <f t="shared" si="98"/>
        <v>7390.307134637178</v>
      </c>
      <c r="AC300" s="37">
        <f t="shared" si="99"/>
        <v>789.21708006094013</v>
      </c>
      <c r="AD300" s="37">
        <f t="shared" si="100"/>
        <v>-608.34923616791468</v>
      </c>
      <c r="AE300" s="39">
        <f t="shared" si="101"/>
        <v>1321.1554081086035</v>
      </c>
      <c r="AF300" s="39">
        <f t="shared" si="102"/>
        <v>-1.5782378031739088</v>
      </c>
      <c r="AG300" s="39">
        <f t="shared" si="103"/>
        <v>-256.74619245604816</v>
      </c>
      <c r="AH300" s="39">
        <f t="shared" si="104"/>
        <v>25.695884430455223</v>
      </c>
      <c r="AI300" s="39">
        <f t="shared" si="105"/>
        <v>-275.19213559161523</v>
      </c>
      <c r="AJ300" s="39">
        <f t="shared" si="106"/>
        <v>-632.46688279519594</v>
      </c>
      <c r="AK300" s="37">
        <f t="shared" si="107"/>
        <v>15202.152975550438</v>
      </c>
      <c r="AL300" s="37">
        <f t="shared" si="108"/>
        <v>24921.743182378043</v>
      </c>
      <c r="AM300" s="37">
        <f t="shared" si="109"/>
        <v>24557.39323993156</v>
      </c>
    </row>
    <row r="301" spans="12:39">
      <c r="L301">
        <v>297</v>
      </c>
      <c r="M301" s="37">
        <f t="shared" si="94"/>
        <v>1.8661060362323485</v>
      </c>
      <c r="N301" s="37">
        <f t="shared" si="88"/>
        <v>18544.819165858586</v>
      </c>
      <c r="O301" s="37">
        <f t="shared" si="89"/>
        <v>12283.560257794135</v>
      </c>
      <c r="R301" s="37">
        <f t="shared" si="90"/>
        <v>-21018.626583898989</v>
      </c>
      <c r="S301" s="37">
        <f t="shared" si="91"/>
        <v>13348.492180455894</v>
      </c>
      <c r="V301" s="37">
        <f t="shared" si="92"/>
        <v>-6455.1808341414135</v>
      </c>
      <c r="W301" s="37">
        <f t="shared" si="93"/>
        <v>-10216.439742205865</v>
      </c>
      <c r="Y301" s="37">
        <f t="shared" si="95"/>
        <v>2029.4191830678121</v>
      </c>
      <c r="Z301" s="37">
        <f t="shared" si="96"/>
        <v>11137.270225542918</v>
      </c>
      <c r="AA301" s="37">
        <f t="shared" si="97"/>
        <v>-5339.5731068515443</v>
      </c>
      <c r="AB301" s="37">
        <f t="shared" si="98"/>
        <v>7086.1325165532207</v>
      </c>
      <c r="AC301" s="37">
        <f t="shared" si="99"/>
        <v>560.53967895155756</v>
      </c>
      <c r="AD301" s="37">
        <f t="shared" si="100"/>
        <v>-795.22261716909952</v>
      </c>
      <c r="AE301" s="39">
        <f t="shared" si="101"/>
        <v>1032.9392844025599</v>
      </c>
      <c r="AF301" s="39">
        <f t="shared" si="102"/>
        <v>-209.06832907765872</v>
      </c>
      <c r="AG301" s="39">
        <f t="shared" si="103"/>
        <v>-319.18956823603747</v>
      </c>
      <c r="AH301" s="39">
        <f t="shared" si="104"/>
        <v>-16.47818261762237</v>
      </c>
      <c r="AI301" s="39">
        <f t="shared" si="105"/>
        <v>-153.21003721496481</v>
      </c>
      <c r="AJ301" s="39">
        <f t="shared" si="106"/>
        <v>-569.67610547381844</v>
      </c>
      <c r="AK301" s="37">
        <f t="shared" si="107"/>
        <v>18334.98049062262</v>
      </c>
      <c r="AL301" s="37">
        <f t="shared" si="108"/>
        <v>22058.755475076618</v>
      </c>
      <c r="AM301" s="37">
        <f t="shared" si="109"/>
        <v>27066.023514626857</v>
      </c>
    </row>
    <row r="302" spans="12:39">
      <c r="L302">
        <v>298</v>
      </c>
      <c r="M302" s="37">
        <f t="shared" si="94"/>
        <v>1.8723892215395281</v>
      </c>
      <c r="N302" s="37">
        <f t="shared" si="88"/>
        <v>18514.792092114771</v>
      </c>
      <c r="O302" s="37">
        <f t="shared" si="89"/>
        <v>12274.322723733199</v>
      </c>
      <c r="R302" s="37">
        <f t="shared" si="90"/>
        <v>-21039.645535519659</v>
      </c>
      <c r="S302" s="37">
        <f t="shared" si="91"/>
        <v>13342.025906613238</v>
      </c>
      <c r="V302" s="37">
        <f t="shared" si="92"/>
        <v>-6485.2079078852285</v>
      </c>
      <c r="W302" s="37">
        <f t="shared" si="93"/>
        <v>-10225.677276266801</v>
      </c>
      <c r="Y302" s="37">
        <f t="shared" si="95"/>
        <v>-570.29991048901525</v>
      </c>
      <c r="Z302" s="37">
        <f t="shared" si="96"/>
        <v>14580.933656673391</v>
      </c>
      <c r="AA302" s="37">
        <f t="shared" si="97"/>
        <v>-5059.3032673757652</v>
      </c>
      <c r="AB302" s="37">
        <f t="shared" si="98"/>
        <v>6688.5212079686708</v>
      </c>
      <c r="AC302" s="37">
        <f t="shared" si="99"/>
        <v>342.12847956285049</v>
      </c>
      <c r="AD302" s="37">
        <f t="shared" si="100"/>
        <v>-850.76396461954721</v>
      </c>
      <c r="AE302" s="39">
        <f t="shared" si="101"/>
        <v>784.68008060084412</v>
      </c>
      <c r="AF302" s="39">
        <f t="shared" si="102"/>
        <v>-270.11116107327666</v>
      </c>
      <c r="AG302" s="39">
        <f t="shared" si="103"/>
        <v>-368.61406477949117</v>
      </c>
      <c r="AH302" s="39">
        <f t="shared" si="104"/>
        <v>-86.908010308565494</v>
      </c>
      <c r="AI302" s="39">
        <f t="shared" si="105"/>
        <v>-73.937536258502462</v>
      </c>
      <c r="AJ302" s="39">
        <f t="shared" si="106"/>
        <v>-493.74479323770504</v>
      </c>
      <c r="AK302" s="37">
        <f t="shared" si="107"/>
        <v>21754.927254708859</v>
      </c>
      <c r="AL302" s="37">
        <f t="shared" si="108"/>
        <v>19962.419661333297</v>
      </c>
      <c r="AM302" s="37">
        <f t="shared" si="109"/>
        <v>29910.765267433835</v>
      </c>
    </row>
    <row r="303" spans="12:39">
      <c r="L303">
        <v>299</v>
      </c>
      <c r="M303" s="37">
        <f t="shared" si="94"/>
        <v>1.8786724068467078</v>
      </c>
      <c r="N303" s="37">
        <f t="shared" si="88"/>
        <v>18484.823651836075</v>
      </c>
      <c r="O303" s="37">
        <f t="shared" si="89"/>
        <v>12264.896707586076</v>
      </c>
      <c r="R303" s="37">
        <f t="shared" si="90"/>
        <v>-21060.623443714747</v>
      </c>
      <c r="S303" s="37">
        <f t="shared" si="91"/>
        <v>13335.427695310253</v>
      </c>
      <c r="V303" s="37">
        <f t="shared" si="92"/>
        <v>-6515.1763481639246</v>
      </c>
      <c r="W303" s="37">
        <f t="shared" si="93"/>
        <v>-10235.103292413924</v>
      </c>
      <c r="Y303" s="37">
        <f t="shared" si="95"/>
        <v>-3057.185484231542</v>
      </c>
      <c r="Z303" s="37">
        <f t="shared" si="96"/>
        <v>17818.848765080282</v>
      </c>
      <c r="AA303" s="37">
        <f t="shared" si="97"/>
        <v>-4888.2390275943399</v>
      </c>
      <c r="AB303" s="37">
        <f t="shared" si="98"/>
        <v>6263.139225658897</v>
      </c>
      <c r="AC303" s="37">
        <f t="shared" si="99"/>
        <v>192.57226764257589</v>
      </c>
      <c r="AD303" s="37">
        <f t="shared" si="100"/>
        <v>-870.29779277792852</v>
      </c>
      <c r="AE303" s="39">
        <f t="shared" si="101"/>
        <v>602.03414886494011</v>
      </c>
      <c r="AF303" s="39">
        <f t="shared" si="102"/>
        <v>-269.43008017173833</v>
      </c>
      <c r="AG303" s="39">
        <f t="shared" si="103"/>
        <v>-384.39287550367754</v>
      </c>
      <c r="AH303" s="39">
        <f t="shared" si="104"/>
        <v>-177.39141021348007</v>
      </c>
      <c r="AI303" s="39">
        <f t="shared" si="105"/>
        <v>-25.069005718686661</v>
      </c>
      <c r="AJ303" s="39">
        <f t="shared" si="106"/>
        <v>-423.47630239271012</v>
      </c>
      <c r="AK303" s="37">
        <f t="shared" si="107"/>
        <v>25260.887599030571</v>
      </c>
      <c r="AL303" s="37">
        <f t="shared" si="108"/>
        <v>18659.939971150277</v>
      </c>
      <c r="AM303" s="37">
        <f t="shared" si="109"/>
        <v>32876.303966654952</v>
      </c>
    </row>
    <row r="304" spans="12:39">
      <c r="L304">
        <v>300</v>
      </c>
      <c r="M304" s="37">
        <f t="shared" si="94"/>
        <v>1.8849555921538874</v>
      </c>
      <c r="N304" s="37">
        <f t="shared" si="88"/>
        <v>18454.915028125208</v>
      </c>
      <c r="O304" s="37">
        <f t="shared" si="89"/>
        <v>12255.282581475749</v>
      </c>
      <c r="R304" s="37">
        <f t="shared" si="90"/>
        <v>-21081.559480312353</v>
      </c>
      <c r="S304" s="37">
        <f t="shared" si="91"/>
        <v>13328.697807033026</v>
      </c>
      <c r="V304" s="37">
        <f t="shared" si="92"/>
        <v>-6545.0849718747913</v>
      </c>
      <c r="W304" s="37">
        <f t="shared" si="93"/>
        <v>-10244.717418524251</v>
      </c>
      <c r="Y304" s="37">
        <f t="shared" si="95"/>
        <v>-5477.2334645733899</v>
      </c>
      <c r="Z304" s="37">
        <f t="shared" si="96"/>
        <v>20841.631153812486</v>
      </c>
      <c r="AA304" s="37">
        <f t="shared" si="97"/>
        <v>-4791.952893773052</v>
      </c>
      <c r="AB304" s="37">
        <f t="shared" si="98"/>
        <v>5827.9903292699328</v>
      </c>
      <c r="AC304" s="37">
        <f t="shared" si="99"/>
        <v>121.74961318819489</v>
      </c>
      <c r="AD304" s="37">
        <f t="shared" si="100"/>
        <v>-877.14214502072502</v>
      </c>
      <c r="AE304" s="39">
        <f t="shared" si="101"/>
        <v>472.57317442346158</v>
      </c>
      <c r="AF304" s="39">
        <f t="shared" si="102"/>
        <v>-247.47180635256981</v>
      </c>
      <c r="AG304" s="39">
        <f t="shared" si="103"/>
        <v>-355.67226084641459</v>
      </c>
      <c r="AH304" s="39">
        <f t="shared" si="104"/>
        <v>-265.51879453084774</v>
      </c>
      <c r="AI304" s="39">
        <f t="shared" si="105"/>
        <v>4.8486996111478984</v>
      </c>
      <c r="AJ304" s="39">
        <f t="shared" si="106"/>
        <v>-364.1515441373075</v>
      </c>
      <c r="AK304" s="37">
        <f t="shared" si="107"/>
        <v>28759.147185769576</v>
      </c>
      <c r="AL304" s="37">
        <f t="shared" si="108"/>
        <v>18123.236849906931</v>
      </c>
      <c r="AM304" s="37">
        <f t="shared" si="109"/>
        <v>35844.808209078903</v>
      </c>
    </row>
    <row r="305" spans="12:39">
      <c r="L305">
        <v>301</v>
      </c>
      <c r="M305" s="37">
        <f t="shared" si="94"/>
        <v>1.8912387774610671</v>
      </c>
      <c r="N305" s="37">
        <f t="shared" si="88"/>
        <v>18425.06740172342</v>
      </c>
      <c r="O305" s="37">
        <f t="shared" si="89"/>
        <v>12245.480724951454</v>
      </c>
      <c r="R305" s="37">
        <f t="shared" si="90"/>
        <v>-21102.452818793605</v>
      </c>
      <c r="S305" s="37">
        <f t="shared" si="91"/>
        <v>13321.836507466018</v>
      </c>
      <c r="V305" s="37">
        <f t="shared" si="92"/>
        <v>-6574.9325982765786</v>
      </c>
      <c r="W305" s="37">
        <f t="shared" si="93"/>
        <v>-10254.519275048546</v>
      </c>
      <c r="Y305" s="37">
        <f t="shared" si="95"/>
        <v>-7857.9912098113919</v>
      </c>
      <c r="Z305" s="37">
        <f t="shared" si="96"/>
        <v>23645.983550319863</v>
      </c>
      <c r="AA305" s="37">
        <f t="shared" si="97"/>
        <v>-4731.0780871789548</v>
      </c>
      <c r="AB305" s="37">
        <f t="shared" si="98"/>
        <v>5389.4192567595701</v>
      </c>
      <c r="AC305" s="37">
        <f t="shared" si="99"/>
        <v>112.58726449995686</v>
      </c>
      <c r="AD305" s="37">
        <f t="shared" si="100"/>
        <v>-863.67462868748908</v>
      </c>
      <c r="AE305" s="39">
        <f t="shared" si="101"/>
        <v>380.5791407236909</v>
      </c>
      <c r="AF305" s="39">
        <f t="shared" si="102"/>
        <v>-220.57672785665238</v>
      </c>
      <c r="AG305" s="39">
        <f t="shared" si="103"/>
        <v>-291.33698047576496</v>
      </c>
      <c r="AH305" s="39">
        <f t="shared" si="104"/>
        <v>-327.42355172602322</v>
      </c>
      <c r="AI305" s="39">
        <f t="shared" si="105"/>
        <v>23.345104252030925</v>
      </c>
      <c r="AJ305" s="39">
        <f t="shared" si="106"/>
        <v>-315.67434910481342</v>
      </c>
      <c r="AK305" s="37">
        <f t="shared" si="107"/>
        <v>32198.764868440659</v>
      </c>
      <c r="AL305" s="37">
        <f t="shared" si="108"/>
        <v>18265.849132099433</v>
      </c>
      <c r="AM305" s="37">
        <f t="shared" si="109"/>
        <v>38751.518142221896</v>
      </c>
    </row>
    <row r="306" spans="12:39">
      <c r="L306">
        <v>302</v>
      </c>
      <c r="M306" s="37">
        <f t="shared" si="94"/>
        <v>1.8975219627682467</v>
      </c>
      <c r="N306" s="37">
        <f t="shared" si="88"/>
        <v>18395.281950963898</v>
      </c>
      <c r="O306" s="37">
        <f t="shared" si="89"/>
        <v>12235.491524973702</v>
      </c>
      <c r="R306" s="37">
        <f t="shared" si="90"/>
        <v>-21123.302634325271</v>
      </c>
      <c r="S306" s="37">
        <f t="shared" si="91"/>
        <v>13314.844067481592</v>
      </c>
      <c r="V306" s="37">
        <f t="shared" si="92"/>
        <v>-6604.7180490361025</v>
      </c>
      <c r="W306" s="37">
        <f t="shared" si="93"/>
        <v>-10264.508475026298</v>
      </c>
      <c r="Y306" s="37">
        <f t="shared" si="95"/>
        <v>-10209.456845338374</v>
      </c>
      <c r="Z306" s="37">
        <f t="shared" si="96"/>
        <v>26232.733850113709</v>
      </c>
      <c r="AA306" s="37">
        <f t="shared" si="97"/>
        <v>-4674.7844549289766</v>
      </c>
      <c r="AB306" s="37">
        <f t="shared" si="98"/>
        <v>4957.5819424158253</v>
      </c>
      <c r="AC306" s="37">
        <f t="shared" si="99"/>
        <v>135.99845018188037</v>
      </c>
      <c r="AD306" s="37">
        <f t="shared" si="100"/>
        <v>-824.48965418596299</v>
      </c>
      <c r="AE306" s="39">
        <f t="shared" si="101"/>
        <v>314.15654858012385</v>
      </c>
      <c r="AF306" s="39">
        <f t="shared" si="102"/>
        <v>-194.80691235035874</v>
      </c>
      <c r="AG306" s="39">
        <f t="shared" si="103"/>
        <v>-213.07892886663242</v>
      </c>
      <c r="AH306" s="39">
        <f t="shared" si="104"/>
        <v>-353.28515351188383</v>
      </c>
      <c r="AI306" s="39">
        <f t="shared" si="105"/>
        <v>34.920830468388935</v>
      </c>
      <c r="AJ306" s="39">
        <f t="shared" si="106"/>
        <v>-276.3975883237203</v>
      </c>
      <c r="AK306" s="37">
        <f t="shared" si="107"/>
        <v>35546.119343601458</v>
      </c>
      <c r="AL306" s="37">
        <f t="shared" si="108"/>
        <v>18956.697589820837</v>
      </c>
      <c r="AM306" s="37">
        <f t="shared" si="109"/>
        <v>41560.51950322272</v>
      </c>
    </row>
    <row r="307" spans="12:39">
      <c r="L307">
        <v>303</v>
      </c>
      <c r="M307" s="37">
        <f t="shared" si="94"/>
        <v>1.9038051480754263</v>
      </c>
      <c r="N307" s="37">
        <f t="shared" si="88"/>
        <v>18365.559851725233</v>
      </c>
      <c r="O307" s="37">
        <f t="shared" si="89"/>
        <v>12225.315375899005</v>
      </c>
      <c r="R307" s="37">
        <f t="shared" si="90"/>
        <v>-21144.108103792336</v>
      </c>
      <c r="S307" s="37">
        <f t="shared" si="91"/>
        <v>13307.720763129304</v>
      </c>
      <c r="V307" s="37">
        <f t="shared" si="92"/>
        <v>-6634.4401482747671</v>
      </c>
      <c r="W307" s="37">
        <f t="shared" si="93"/>
        <v>-10274.684624100995</v>
      </c>
      <c r="Y307" s="37">
        <f t="shared" si="95"/>
        <v>-12529.849266530127</v>
      </c>
      <c r="Z307" s="37">
        <f t="shared" si="96"/>
        <v>28608.463614548378</v>
      </c>
      <c r="AA307" s="37">
        <f t="shared" si="97"/>
        <v>-4606.7852298380367</v>
      </c>
      <c r="AB307" s="37">
        <f t="shared" si="98"/>
        <v>4545.3371153228436</v>
      </c>
      <c r="AC307" s="37">
        <f t="shared" si="99"/>
        <v>167.37906608477931</v>
      </c>
      <c r="AD307" s="37">
        <f t="shared" si="100"/>
        <v>-765.42431642984559</v>
      </c>
      <c r="AE307" s="39">
        <f t="shared" si="101"/>
        <v>265.1992464563441</v>
      </c>
      <c r="AF307" s="39">
        <f t="shared" si="102"/>
        <v>-172.08652270605819</v>
      </c>
      <c r="AG307" s="39">
        <f t="shared" si="103"/>
        <v>-140.0375606341689</v>
      </c>
      <c r="AH307" s="39">
        <f t="shared" si="104"/>
        <v>-348.83952743489232</v>
      </c>
      <c r="AI307" s="39">
        <f t="shared" si="105"/>
        <v>42.217380262604095</v>
      </c>
      <c r="AJ307" s="39">
        <f t="shared" si="106"/>
        <v>-244.498266288895</v>
      </c>
      <c r="AK307" s="37">
        <f t="shared" si="107"/>
        <v>38778.322932662821</v>
      </c>
      <c r="AL307" s="37">
        <f t="shared" si="108"/>
        <v>20051.884451959406</v>
      </c>
      <c r="AM307" s="37">
        <f t="shared" si="109"/>
        <v>44253.776435441694</v>
      </c>
    </row>
    <row r="308" spans="12:39">
      <c r="L308">
        <v>304</v>
      </c>
      <c r="M308" s="37">
        <f t="shared" si="94"/>
        <v>1.910088333382606</v>
      </c>
      <c r="N308" s="37">
        <f t="shared" si="88"/>
        <v>18335.902277385012</v>
      </c>
      <c r="O308" s="37">
        <f t="shared" si="89"/>
        <v>12214.952679464302</v>
      </c>
      <c r="R308" s="37">
        <f t="shared" si="90"/>
        <v>-21164.868405830493</v>
      </c>
      <c r="S308" s="37">
        <f t="shared" si="91"/>
        <v>13300.466875625012</v>
      </c>
      <c r="V308" s="37">
        <f t="shared" si="92"/>
        <v>-6664.097722614988</v>
      </c>
      <c r="W308" s="37">
        <f t="shared" si="93"/>
        <v>-10285.047320535698</v>
      </c>
      <c r="Y308" s="37">
        <f t="shared" si="95"/>
        <v>-14812.31949818855</v>
      </c>
      <c r="Z308" s="37">
        <f t="shared" si="96"/>
        <v>30785.454132656068</v>
      </c>
      <c r="AA308" s="37">
        <f t="shared" si="97"/>
        <v>-4523.0956967956472</v>
      </c>
      <c r="AB308" s="37">
        <f t="shared" si="98"/>
        <v>4162.6249571079206</v>
      </c>
      <c r="AC308" s="37">
        <f t="shared" si="99"/>
        <v>193.73172788266183</v>
      </c>
      <c r="AD308" s="37">
        <f t="shared" si="100"/>
        <v>-697.18668423186432</v>
      </c>
      <c r="AE308" s="39">
        <f t="shared" si="101"/>
        <v>228.31179664962042</v>
      </c>
      <c r="AF308" s="39">
        <f t="shared" si="102"/>
        <v>-152.71443975761713</v>
      </c>
      <c r="AG308" s="39">
        <f t="shared" si="103"/>
        <v>-81.383843040411875</v>
      </c>
      <c r="AH308" s="39">
        <f t="shared" si="104"/>
        <v>-326.08024647336777</v>
      </c>
      <c r="AI308" s="39">
        <f t="shared" si="105"/>
        <v>46.803774273453293</v>
      </c>
      <c r="AJ308" s="39">
        <f t="shared" si="106"/>
        <v>-218.39199800087943</v>
      </c>
      <c r="AK308" s="37">
        <f t="shared" si="107"/>
        <v>41882.095972002018</v>
      </c>
      <c r="AL308" s="37">
        <f t="shared" si="108"/>
        <v>21423.051428067476</v>
      </c>
      <c r="AM308" s="37">
        <f t="shared" si="109"/>
        <v>46825.09395685271</v>
      </c>
    </row>
    <row r="309" spans="12:39">
      <c r="L309">
        <v>305</v>
      </c>
      <c r="M309" s="37">
        <f t="shared" si="94"/>
        <v>1.9163715186897856</v>
      </c>
      <c r="N309" s="37">
        <f t="shared" si="88"/>
        <v>18306.310398773487</v>
      </c>
      <c r="O309" s="37">
        <f t="shared" si="89"/>
        <v>12204.403844771106</v>
      </c>
      <c r="R309" s="37">
        <f t="shared" si="90"/>
        <v>-21185.582720858558</v>
      </c>
      <c r="S309" s="37">
        <f t="shared" si="91"/>
        <v>13293.082691339776</v>
      </c>
      <c r="V309" s="37">
        <f t="shared" si="92"/>
        <v>-6693.6896012265115</v>
      </c>
      <c r="W309" s="37">
        <f t="shared" si="93"/>
        <v>-10295.596155228894</v>
      </c>
      <c r="Y309" s="37">
        <f t="shared" si="95"/>
        <v>-17049.650880601039</v>
      </c>
      <c r="Z309" s="37">
        <f t="shared" si="96"/>
        <v>32779.618275681045</v>
      </c>
      <c r="AA309" s="37">
        <f t="shared" si="97"/>
        <v>-4426.2298328543166</v>
      </c>
      <c r="AB309" s="37">
        <f t="shared" si="98"/>
        <v>3814.0316149919886</v>
      </c>
      <c r="AC309" s="37">
        <f t="shared" si="99"/>
        <v>211.27149366884291</v>
      </c>
      <c r="AD309" s="37">
        <f t="shared" si="100"/>
        <v>-628.67889114764853</v>
      </c>
      <c r="AE309" s="39">
        <f t="shared" si="101"/>
        <v>199.90487716662449</v>
      </c>
      <c r="AF309" s="39">
        <f t="shared" si="102"/>
        <v>-136.3985588556562</v>
      </c>
      <c r="AG309" s="39">
        <f t="shared" si="103"/>
        <v>-38.268074058987182</v>
      </c>
      <c r="AH309" s="39">
        <f t="shared" si="104"/>
        <v>-295.46744603120305</v>
      </c>
      <c r="AI309" s="39">
        <f t="shared" si="105"/>
        <v>49.634690561205588</v>
      </c>
      <c r="AJ309" s="39">
        <f t="shared" si="106"/>
        <v>-196.8128862607893</v>
      </c>
      <c r="AK309" s="37">
        <f t="shared" si="107"/>
        <v>44852.377089052578</v>
      </c>
      <c r="AL309" s="37">
        <f t="shared" si="108"/>
        <v>22969.883950775202</v>
      </c>
      <c r="AM309" s="37">
        <f t="shared" si="109"/>
        <v>49275.612719824843</v>
      </c>
    </row>
    <row r="310" spans="12:39">
      <c r="L310">
        <v>306</v>
      </c>
      <c r="M310" s="37">
        <f t="shared" si="94"/>
        <v>1.9226547039969653</v>
      </c>
      <c r="N310" s="37">
        <f t="shared" si="88"/>
        <v>18276.785384127361</v>
      </c>
      <c r="O310" s="37">
        <f t="shared" si="89"/>
        <v>12193.66928826935</v>
      </c>
      <c r="R310" s="37">
        <f t="shared" si="90"/>
        <v>-21206.250231110847</v>
      </c>
      <c r="S310" s="37">
        <f t="shared" si="91"/>
        <v>13285.568501788544</v>
      </c>
      <c r="V310" s="37">
        <f t="shared" si="92"/>
        <v>-6723.2146158726409</v>
      </c>
      <c r="W310" s="37">
        <f t="shared" si="93"/>
        <v>-10306.33071173065</v>
      </c>
      <c r="Y310" s="37">
        <f t="shared" si="95"/>
        <v>-19236.356860319593</v>
      </c>
      <c r="Z310" s="37">
        <f t="shared" si="96"/>
        <v>34608.049221783578</v>
      </c>
      <c r="AA310" s="37">
        <f t="shared" si="97"/>
        <v>-4320.5940860198953</v>
      </c>
      <c r="AB310" s="37">
        <f t="shared" si="98"/>
        <v>3499.6921694181642</v>
      </c>
      <c r="AC310" s="37">
        <f t="shared" si="99"/>
        <v>220.69996797080569</v>
      </c>
      <c r="AD310" s="37">
        <f t="shared" si="100"/>
        <v>-565.02126906112142</v>
      </c>
      <c r="AE310" s="39">
        <f t="shared" si="101"/>
        <v>177.5715863376073</v>
      </c>
      <c r="AF310" s="39">
        <f t="shared" si="102"/>
        <v>-122.68262621747506</v>
      </c>
      <c r="AG310" s="39">
        <f t="shared" si="103"/>
        <v>-8.1786717972242791</v>
      </c>
      <c r="AH310" s="39">
        <f t="shared" si="104"/>
        <v>-263.55393991902832</v>
      </c>
      <c r="AI310" s="39">
        <f t="shared" si="105"/>
        <v>51.307053430422648</v>
      </c>
      <c r="AJ310" s="39">
        <f t="shared" si="106"/>
        <v>-178.78470292461807</v>
      </c>
      <c r="AK310" s="37">
        <f t="shared" si="107"/>
        <v>47690.020258760531</v>
      </c>
      <c r="AL310" s="37">
        <f t="shared" si="108"/>
        <v>24619.895153036381</v>
      </c>
      <c r="AM310" s="37">
        <f t="shared" si="109"/>
        <v>51610.390467862875</v>
      </c>
    </row>
    <row r="311" spans="12:39">
      <c r="L311">
        <v>307</v>
      </c>
      <c r="M311" s="37">
        <f t="shared" si="94"/>
        <v>1.9289378893041449</v>
      </c>
      <c r="N311" s="37">
        <f t="shared" si="88"/>
        <v>18247.32839904365</v>
      </c>
      <c r="O311" s="37">
        <f t="shared" si="89"/>
        <v>12182.749433740941</v>
      </c>
      <c r="R311" s="37">
        <f t="shared" si="90"/>
        <v>-21226.870120669446</v>
      </c>
      <c r="S311" s="37">
        <f t="shared" si="91"/>
        <v>13277.92460361866</v>
      </c>
      <c r="V311" s="37">
        <f t="shared" si="92"/>
        <v>-6752.6716009563506</v>
      </c>
      <c r="W311" s="37">
        <f t="shared" si="93"/>
        <v>-10317.250566259059</v>
      </c>
      <c r="Y311" s="37">
        <f t="shared" si="95"/>
        <v>-21369.06640733319</v>
      </c>
      <c r="Z311" s="37">
        <f t="shared" si="96"/>
        <v>36287.267647860019</v>
      </c>
      <c r="AA311" s="37">
        <f t="shared" si="97"/>
        <v>-4210.2441020344922</v>
      </c>
      <c r="AB311" s="37">
        <f t="shared" si="98"/>
        <v>3217.1815348876034</v>
      </c>
      <c r="AC311" s="37">
        <f t="shared" si="99"/>
        <v>224.04845208937999</v>
      </c>
      <c r="AD311" s="37">
        <f t="shared" si="100"/>
        <v>-508.30590963744476</v>
      </c>
      <c r="AE311" s="39">
        <f t="shared" si="101"/>
        <v>159.67693552441216</v>
      </c>
      <c r="AF311" s="39">
        <f t="shared" si="102"/>
        <v>-111.1135222359411</v>
      </c>
      <c r="AG311" s="39">
        <f t="shared" si="103"/>
        <v>12.167567965506063</v>
      </c>
      <c r="AH311" s="39">
        <f t="shared" si="104"/>
        <v>-233.62790440226101</v>
      </c>
      <c r="AI311" s="39">
        <f t="shared" si="105"/>
        <v>52.203948599461768</v>
      </c>
      <c r="AJ311" s="39">
        <f t="shared" si="106"/>
        <v>-163.56448299924259</v>
      </c>
      <c r="AK311" s="37">
        <f t="shared" si="107"/>
        <v>50399.468588903503</v>
      </c>
      <c r="AL311" s="37">
        <f t="shared" si="108"/>
        <v>26322.894658793062</v>
      </c>
      <c r="AM311" s="37">
        <f t="shared" si="109"/>
        <v>53836.141743543551</v>
      </c>
    </row>
    <row r="312" spans="12:39">
      <c r="L312">
        <v>308</v>
      </c>
      <c r="M312" s="37">
        <f t="shared" si="94"/>
        <v>1.9352210746113245</v>
      </c>
      <c r="N312" s="37">
        <f t="shared" si="88"/>
        <v>18217.940606433691</v>
      </c>
      <c r="O312" s="37">
        <f t="shared" si="89"/>
        <v>12171.64471228304</v>
      </c>
      <c r="R312" s="37">
        <f t="shared" si="90"/>
        <v>-21247.441575496417</v>
      </c>
      <c r="S312" s="37">
        <f t="shared" si="91"/>
        <v>13270.151298598128</v>
      </c>
      <c r="V312" s="37">
        <f t="shared" si="92"/>
        <v>-6782.0593935663092</v>
      </c>
      <c r="W312" s="37">
        <f t="shared" si="93"/>
        <v>-10328.35528771696</v>
      </c>
      <c r="Y312" s="37">
        <f t="shared" si="95"/>
        <v>-23446.182401839265</v>
      </c>
      <c r="Z312" s="37">
        <f t="shared" si="96"/>
        <v>37832.32017659914</v>
      </c>
      <c r="AA312" s="37">
        <f t="shared" si="97"/>
        <v>-4098.2198759898019</v>
      </c>
      <c r="AB312" s="37">
        <f t="shared" si="98"/>
        <v>2963.0285800688812</v>
      </c>
      <c r="AC312" s="37">
        <f t="shared" si="99"/>
        <v>223.29620606409503</v>
      </c>
      <c r="AD312" s="37">
        <f t="shared" si="100"/>
        <v>-458.856649863879</v>
      </c>
      <c r="AE312" s="39">
        <f t="shared" si="101"/>
        <v>145.09207103295338</v>
      </c>
      <c r="AF312" s="39">
        <f t="shared" si="102"/>
        <v>-101.29725813311263</v>
      </c>
      <c r="AG312" s="39">
        <f t="shared" si="103"/>
        <v>25.627145486969248</v>
      </c>
      <c r="AH312" s="39">
        <f t="shared" si="104"/>
        <v>-206.97189969542518</v>
      </c>
      <c r="AI312" s="39">
        <f t="shared" si="105"/>
        <v>52.576989544172399</v>
      </c>
      <c r="AJ312" s="39">
        <f t="shared" si="106"/>
        <v>-150.5874920353412</v>
      </c>
      <c r="AK312" s="37">
        <f t="shared" si="107"/>
        <v>52986.983426022765</v>
      </c>
      <c r="AL312" s="37">
        <f t="shared" si="108"/>
        <v>28044.860840436955</v>
      </c>
      <c r="AM312" s="37">
        <f t="shared" si="109"/>
        <v>55959.947287721858</v>
      </c>
    </row>
    <row r="313" spans="12:39">
      <c r="L313">
        <v>309</v>
      </c>
      <c r="M313" s="37">
        <f t="shared" si="94"/>
        <v>1.9415042599185042</v>
      </c>
      <c r="N313" s="37">
        <f t="shared" si="88"/>
        <v>18188.623166477217</v>
      </c>
      <c r="O313" s="37">
        <f t="shared" si="89"/>
        <v>12160.355562291033</v>
      </c>
      <c r="R313" s="37">
        <f t="shared" si="90"/>
        <v>-21267.963783465948</v>
      </c>
      <c r="S313" s="37">
        <f t="shared" si="91"/>
        <v>13262.248893603723</v>
      </c>
      <c r="V313" s="37">
        <f t="shared" si="92"/>
        <v>-6811.3768335227842</v>
      </c>
      <c r="W313" s="37">
        <f t="shared" si="93"/>
        <v>-10339.644437708967</v>
      </c>
      <c r="Y313" s="37">
        <f t="shared" si="95"/>
        <v>-25467.380314076156</v>
      </c>
      <c r="Z313" s="37">
        <f t="shared" si="96"/>
        <v>39256.477385400598</v>
      </c>
      <c r="AA313" s="37">
        <f t="shared" si="97"/>
        <v>-3986.5717729577545</v>
      </c>
      <c r="AB313" s="37">
        <f t="shared" si="98"/>
        <v>2733.6002551369415</v>
      </c>
      <c r="AC313" s="37">
        <f t="shared" si="99"/>
        <v>219.97153754629653</v>
      </c>
      <c r="AD313" s="37">
        <f t="shared" si="100"/>
        <v>-416.16034552333406</v>
      </c>
      <c r="AE313" s="39">
        <f t="shared" si="101"/>
        <v>133.02331156410108</v>
      </c>
      <c r="AF313" s="39">
        <f t="shared" si="102"/>
        <v>-92.909504709438139</v>
      </c>
      <c r="AG313" s="39">
        <f t="shared" si="103"/>
        <v>34.353459279732078</v>
      </c>
      <c r="AH313" s="39">
        <f t="shared" si="104"/>
        <v>-183.82866140483424</v>
      </c>
      <c r="AI313" s="39">
        <f t="shared" si="105"/>
        <v>52.59476670246336</v>
      </c>
      <c r="AJ313" s="39">
        <f t="shared" si="106"/>
        <v>-139.42217940906173</v>
      </c>
      <c r="AK313" s="37">
        <f t="shared" si="107"/>
        <v>55459.503500791456</v>
      </c>
      <c r="AL313" s="37">
        <f t="shared" si="108"/>
        <v>29762.958799507891</v>
      </c>
      <c r="AM313" s="37">
        <f t="shared" si="109"/>
        <v>57988.61090932873</v>
      </c>
    </row>
    <row r="314" spans="12:39">
      <c r="L314">
        <v>310</v>
      </c>
      <c r="M314" s="37">
        <f t="shared" si="94"/>
        <v>1.9477874452256838</v>
      </c>
      <c r="N314" s="37">
        <f t="shared" si="88"/>
        <v>18159.377236576554</v>
      </c>
      <c r="O314" s="37">
        <f t="shared" si="89"/>
        <v>12148.882429441235</v>
      </c>
      <c r="R314" s="37">
        <f t="shared" si="90"/>
        <v>-21288.435934396413</v>
      </c>
      <c r="S314" s="37">
        <f t="shared" si="91"/>
        <v>13254.217700608864</v>
      </c>
      <c r="V314" s="37">
        <f t="shared" si="92"/>
        <v>-6840.6227634234456</v>
      </c>
      <c r="W314" s="37">
        <f t="shared" si="93"/>
        <v>-10351.117570558765</v>
      </c>
      <c r="Y314" s="37">
        <f t="shared" si="95"/>
        <v>-27433.169758361746</v>
      </c>
      <c r="Z314" s="37">
        <f t="shared" si="96"/>
        <v>40571.257469778655</v>
      </c>
      <c r="AA314" s="37">
        <f t="shared" si="97"/>
        <v>-3876.5860041846063</v>
      </c>
      <c r="AB314" s="37">
        <f t="shared" si="98"/>
        <v>2525.5200823752743</v>
      </c>
      <c r="AC314" s="37">
        <f t="shared" si="99"/>
        <v>215.14319972579193</v>
      </c>
      <c r="AD314" s="37">
        <f t="shared" si="100"/>
        <v>-379.39917579098369</v>
      </c>
      <c r="AE314" s="39">
        <f t="shared" si="101"/>
        <v>122.90205267516654</v>
      </c>
      <c r="AF314" s="39">
        <f t="shared" si="102"/>
        <v>-85.68951744719142</v>
      </c>
      <c r="AG314" s="39">
        <f t="shared" si="103"/>
        <v>39.868982041387603</v>
      </c>
      <c r="AH314" s="39">
        <f t="shared" si="104"/>
        <v>-163.97377628489306</v>
      </c>
      <c r="AI314" s="39">
        <f t="shared" si="105"/>
        <v>52.372165009237776</v>
      </c>
      <c r="AJ314" s="39">
        <f t="shared" si="106"/>
        <v>-129.73588205889925</v>
      </c>
      <c r="AK314" s="37">
        <f t="shared" si="107"/>
        <v>57823.988654864981</v>
      </c>
      <c r="AL314" s="37">
        <f t="shared" si="108"/>
        <v>31461.942024295335</v>
      </c>
      <c r="AM314" s="37">
        <f t="shared" si="109"/>
        <v>59928.388616580589</v>
      </c>
    </row>
    <row r="315" spans="12:39">
      <c r="L315">
        <v>311</v>
      </c>
      <c r="M315" s="37">
        <f t="shared" si="94"/>
        <v>1.9540706305328635</v>
      </c>
      <c r="N315" s="37">
        <f t="shared" si="88"/>
        <v>18130.203971310941</v>
      </c>
      <c r="O315" s="37">
        <f t="shared" si="89"/>
        <v>12137.225766673284</v>
      </c>
      <c r="R315" s="37">
        <f t="shared" si="90"/>
        <v>-21308.85722008234</v>
      </c>
      <c r="S315" s="37">
        <f t="shared" si="91"/>
        <v>13246.058036671298</v>
      </c>
      <c r="V315" s="37">
        <f t="shared" si="92"/>
        <v>-6869.7960286890575</v>
      </c>
      <c r="W315" s="37">
        <f t="shared" si="93"/>
        <v>-10362.774233326716</v>
      </c>
      <c r="Y315" s="37">
        <f t="shared" si="95"/>
        <v>-29344.569860488326</v>
      </c>
      <c r="Z315" s="37">
        <f t="shared" si="96"/>
        <v>41786.592613992412</v>
      </c>
      <c r="AA315" s="37">
        <f t="shared" si="97"/>
        <v>-3769.0144043217101</v>
      </c>
      <c r="AB315" s="37">
        <f t="shared" si="98"/>
        <v>2335.8204944797826</v>
      </c>
      <c r="AC315" s="37">
        <f t="shared" si="99"/>
        <v>209.52069774661533</v>
      </c>
      <c r="AD315" s="37">
        <f t="shared" si="100"/>
        <v>-347.71252182891232</v>
      </c>
      <c r="AE315" s="39">
        <f t="shared" si="101"/>
        <v>114.31333208077</v>
      </c>
      <c r="AF315" s="39">
        <f t="shared" si="102"/>
        <v>-79.429502749395411</v>
      </c>
      <c r="AG315" s="39">
        <f t="shared" si="103"/>
        <v>43.218783158743804</v>
      </c>
      <c r="AH315" s="39">
        <f t="shared" si="104"/>
        <v>-147.01349276098998</v>
      </c>
      <c r="AI315" s="39">
        <f t="shared" si="105"/>
        <v>51.988582507101519</v>
      </c>
      <c r="AJ315" s="39">
        <f t="shared" si="106"/>
        <v>-121.26952631852693</v>
      </c>
      <c r="AK315" s="37">
        <f t="shared" si="107"/>
        <v>60087.078542682466</v>
      </c>
      <c r="AL315" s="37">
        <f t="shared" si="108"/>
        <v>33131.683565515712</v>
      </c>
      <c r="AM315" s="37">
        <f t="shared" si="109"/>
        <v>61784.910636819201</v>
      </c>
    </row>
    <row r="316" spans="12:39">
      <c r="L316">
        <v>312</v>
      </c>
      <c r="M316" s="37">
        <f t="shared" si="94"/>
        <v>1.9603538158400431</v>
      </c>
      <c r="N316" s="37">
        <f t="shared" si="88"/>
        <v>18101.104522390939</v>
      </c>
      <c r="O316" s="37">
        <f t="shared" si="89"/>
        <v>12125.386034172268</v>
      </c>
      <c r="R316" s="37">
        <f t="shared" si="90"/>
        <v>-21329.226834326342</v>
      </c>
      <c r="S316" s="37">
        <f t="shared" si="91"/>
        <v>13237.770223920586</v>
      </c>
      <c r="V316" s="37">
        <f t="shared" si="92"/>
        <v>-6898.8954776090613</v>
      </c>
      <c r="W316" s="37">
        <f t="shared" si="93"/>
        <v>-10374.613965827732</v>
      </c>
      <c r="Y316" s="37">
        <f t="shared" si="95"/>
        <v>-31202.886975430851</v>
      </c>
      <c r="Z316" s="37">
        <f t="shared" si="96"/>
        <v>42911.03879600369</v>
      </c>
      <c r="AA316" s="37">
        <f t="shared" si="97"/>
        <v>-3664.2540554484026</v>
      </c>
      <c r="AB316" s="37">
        <f t="shared" si="98"/>
        <v>2161.9642335653266</v>
      </c>
      <c r="AC316" s="37">
        <f t="shared" si="99"/>
        <v>203.55997518017392</v>
      </c>
      <c r="AD316" s="37">
        <f t="shared" si="100"/>
        <v>-320.30864708092133</v>
      </c>
      <c r="AE316" s="39">
        <f t="shared" si="101"/>
        <v>106.94891454500652</v>
      </c>
      <c r="AF316" s="39">
        <f t="shared" si="102"/>
        <v>-73.964035738081378</v>
      </c>
      <c r="AG316" s="39">
        <f t="shared" si="103"/>
        <v>45.111533195576982</v>
      </c>
      <c r="AH316" s="39">
        <f t="shared" si="104"/>
        <v>-132.52543048973709</v>
      </c>
      <c r="AI316" s="39">
        <f t="shared" si="105"/>
        <v>51.499527439590437</v>
      </c>
      <c r="AJ316" s="39">
        <f t="shared" si="106"/>
        <v>-113.81918085310288</v>
      </c>
      <c r="AK316" s="37">
        <f t="shared" si="107"/>
        <v>62254.937982708048</v>
      </c>
      <c r="AL316" s="37">
        <f t="shared" si="108"/>
        <v>34765.516697099993</v>
      </c>
      <c r="AM316" s="37">
        <f t="shared" si="109"/>
        <v>63563.194541176483</v>
      </c>
    </row>
    <row r="317" spans="12:39">
      <c r="L317">
        <v>313</v>
      </c>
      <c r="M317" s="37">
        <f t="shared" si="94"/>
        <v>1.9666370011472227</v>
      </c>
      <c r="N317" s="37">
        <f t="shared" si="88"/>
        <v>18072.080038612963</v>
      </c>
      <c r="O317" s="37">
        <f t="shared" si="89"/>
        <v>12113.36369935055</v>
      </c>
      <c r="R317" s="37">
        <f t="shared" si="90"/>
        <v>-21349.543972970929</v>
      </c>
      <c r="S317" s="37">
        <f t="shared" si="91"/>
        <v>13229.354589545386</v>
      </c>
      <c r="V317" s="37">
        <f t="shared" si="92"/>
        <v>-6927.9199613870387</v>
      </c>
      <c r="W317" s="37">
        <f t="shared" si="93"/>
        <v>-10386.63630064945</v>
      </c>
      <c r="Y317" s="37">
        <f t="shared" si="95"/>
        <v>-33009.56900625753</v>
      </c>
      <c r="Z317" s="37">
        <f t="shared" si="96"/>
        <v>43951.982331901243</v>
      </c>
      <c r="AA317" s="37">
        <f t="shared" si="97"/>
        <v>-3562.4740678583157</v>
      </c>
      <c r="AB317" s="37">
        <f t="shared" si="98"/>
        <v>2001.809910024866</v>
      </c>
      <c r="AC317" s="37">
        <f t="shared" si="99"/>
        <v>197.54648524293628</v>
      </c>
      <c r="AD317" s="37">
        <f t="shared" si="100"/>
        <v>-296.50169649077702</v>
      </c>
      <c r="AE317" s="39">
        <f t="shared" si="101"/>
        <v>100.57601773268425</v>
      </c>
      <c r="AF317" s="39">
        <f t="shared" si="102"/>
        <v>-69.161007911081398</v>
      </c>
      <c r="AG317" s="39">
        <f t="shared" si="103"/>
        <v>46.026306609052071</v>
      </c>
      <c r="AH317" s="39">
        <f t="shared" si="104"/>
        <v>-120.11807216992068</v>
      </c>
      <c r="AI317" s="39">
        <f t="shared" si="105"/>
        <v>50.944160901199943</v>
      </c>
      <c r="AJ317" s="39">
        <f t="shared" si="106"/>
        <v>-107.22261640977497</v>
      </c>
      <c r="AK317" s="37">
        <f t="shared" si="107"/>
        <v>64333.206216964027</v>
      </c>
      <c r="AL317" s="37">
        <f t="shared" si="108"/>
        <v>36359.125264427232</v>
      </c>
      <c r="AM317" s="37">
        <f t="shared" si="109"/>
        <v>65267.696272942703</v>
      </c>
    </row>
    <row r="318" spans="12:39">
      <c r="L318">
        <v>314</v>
      </c>
      <c r="M318" s="37">
        <f t="shared" si="94"/>
        <v>1.9729201864544024</v>
      </c>
      <c r="N318" s="37">
        <f t="shared" si="88"/>
        <v>18043.131665813933</v>
      </c>
      <c r="O318" s="37">
        <f t="shared" si="89"/>
        <v>12101.159236829328</v>
      </c>
      <c r="R318" s="37">
        <f t="shared" si="90"/>
        <v>-21369.807833930248</v>
      </c>
      <c r="S318" s="37">
        <f t="shared" si="91"/>
        <v>13220.811465780529</v>
      </c>
      <c r="V318" s="37">
        <f t="shared" si="92"/>
        <v>-6956.8683341860688</v>
      </c>
      <c r="W318" s="37">
        <f t="shared" si="93"/>
        <v>-10398.840763170672</v>
      </c>
      <c r="Y318" s="37">
        <f t="shared" si="95"/>
        <v>-34766.11272953132</v>
      </c>
      <c r="Z318" s="37">
        <f t="shared" si="96"/>
        <v>44915.824574852326</v>
      </c>
      <c r="AA318" s="37">
        <f t="shared" si="97"/>
        <v>-3463.7008252368478</v>
      </c>
      <c r="AB318" s="37">
        <f t="shared" si="98"/>
        <v>1853.5590617794774</v>
      </c>
      <c r="AC318" s="37">
        <f t="shared" si="99"/>
        <v>191.65391632550131</v>
      </c>
      <c r="AD318" s="37">
        <f t="shared" si="100"/>
        <v>-275.71483348700968</v>
      </c>
      <c r="AE318" s="39">
        <f t="shared" si="101"/>
        <v>95.016122882613331</v>
      </c>
      <c r="AF318" s="39">
        <f t="shared" si="102"/>
        <v>-64.914349556189435</v>
      </c>
      <c r="AG318" s="39">
        <f t="shared" si="103"/>
        <v>46.287495845691431</v>
      </c>
      <c r="AH318" s="39">
        <f t="shared" si="104"/>
        <v>-109.45101900279653</v>
      </c>
      <c r="AI318" s="39">
        <f t="shared" si="105"/>
        <v>50.35029759719653</v>
      </c>
      <c r="AJ318" s="39">
        <f t="shared" si="106"/>
        <v>-101.34946492802375</v>
      </c>
      <c r="AK318" s="37">
        <f t="shared" si="107"/>
        <v>66327.000777359557</v>
      </c>
      <c r="AL318" s="37">
        <f t="shared" si="108"/>
        <v>37909.799404416379</v>
      </c>
      <c r="AM318" s="37">
        <f t="shared" si="109"/>
        <v>66902.372913908257</v>
      </c>
    </row>
    <row r="319" spans="12:39">
      <c r="L319">
        <v>315</v>
      </c>
      <c r="M319" s="37">
        <f t="shared" si="94"/>
        <v>1.979203371761582</v>
      </c>
      <c r="N319" s="37">
        <f t="shared" si="88"/>
        <v>18014.260546826041</v>
      </c>
      <c r="O319" s="37">
        <f t="shared" si="89"/>
        <v>12088.773128419882</v>
      </c>
      <c r="R319" s="37">
        <f t="shared" si="90"/>
        <v>-21390.017617221773</v>
      </c>
      <c r="S319" s="37">
        <f t="shared" si="91"/>
        <v>13212.141189893917</v>
      </c>
      <c r="V319" s="37">
        <f t="shared" si="92"/>
        <v>-6985.7394531739592</v>
      </c>
      <c r="W319" s="37">
        <f t="shared" si="93"/>
        <v>-10411.226871580118</v>
      </c>
      <c r="Y319" s="37">
        <f t="shared" si="95"/>
        <v>-36474.006402609062</v>
      </c>
      <c r="Z319" s="37">
        <f t="shared" si="96"/>
        <v>45808.139751556191</v>
      </c>
      <c r="AA319" s="37">
        <f t="shared" si="97"/>
        <v>-3367.8738670740972</v>
      </c>
      <c r="AB319" s="37">
        <f t="shared" si="98"/>
        <v>1715.7016450359724</v>
      </c>
      <c r="AC319" s="37">
        <f t="shared" si="99"/>
        <v>185.98375566817111</v>
      </c>
      <c r="AD319" s="37">
        <f t="shared" si="100"/>
        <v>-257.46983537952599</v>
      </c>
      <c r="AE319" s="39">
        <f t="shared" si="101"/>
        <v>90.130377420771055</v>
      </c>
      <c r="AF319" s="39">
        <f t="shared" si="102"/>
        <v>-61.138341584631902</v>
      </c>
      <c r="AG319" s="39">
        <f t="shared" si="103"/>
        <v>46.115599536699712</v>
      </c>
      <c r="AH319" s="39">
        <f t="shared" si="104"/>
        <v>-100.23753740167403</v>
      </c>
      <c r="AI319" s="39">
        <f t="shared" si="105"/>
        <v>49.737778710700354</v>
      </c>
      <c r="AJ319" s="39">
        <f t="shared" si="106"/>
        <v>-96.09395639322004</v>
      </c>
      <c r="AK319" s="37">
        <f t="shared" si="107"/>
        <v>68240.947900704661</v>
      </c>
      <c r="AL319" s="37">
        <f t="shared" si="108"/>
        <v>39415.932811747371</v>
      </c>
      <c r="AM319" s="37">
        <f t="shared" si="109"/>
        <v>68470.745133058575</v>
      </c>
    </row>
    <row r="320" spans="12:39">
      <c r="L320">
        <v>316</v>
      </c>
      <c r="M320" s="37">
        <f t="shared" si="94"/>
        <v>1.9854865570687616</v>
      </c>
      <c r="N320" s="37">
        <f t="shared" si="88"/>
        <v>17985.46782143163</v>
      </c>
      <c r="O320" s="37">
        <f t="shared" si="89"/>
        <v>12076.205863104562</v>
      </c>
      <c r="R320" s="37">
        <f t="shared" si="90"/>
        <v>-21410.172524997859</v>
      </c>
      <c r="S320" s="37">
        <f t="shared" si="91"/>
        <v>13203.344104173195</v>
      </c>
      <c r="V320" s="37">
        <f t="shared" si="92"/>
        <v>-7014.53217856837</v>
      </c>
      <c r="W320" s="37">
        <f t="shared" si="93"/>
        <v>-10423.794136895438</v>
      </c>
      <c r="Y320" s="37">
        <f t="shared" si="95"/>
        <v>-38134.695366687592</v>
      </c>
      <c r="Z320" s="37">
        <f t="shared" si="96"/>
        <v>46633.806844651735</v>
      </c>
      <c r="AA320" s="37">
        <f t="shared" si="97"/>
        <v>-3274.8819892400115</v>
      </c>
      <c r="AB320" s="37">
        <f t="shared" si="98"/>
        <v>1586.9667273462094</v>
      </c>
      <c r="AC320" s="37">
        <f t="shared" si="99"/>
        <v>180.59132944069475</v>
      </c>
      <c r="AD320" s="37">
        <f t="shared" si="100"/>
        <v>-241.37264078010611</v>
      </c>
      <c r="AE320" s="39">
        <f t="shared" si="101"/>
        <v>85.809372375989781</v>
      </c>
      <c r="AF320" s="39">
        <f t="shared" si="102"/>
        <v>-57.763223542184598</v>
      </c>
      <c r="AG320" s="39">
        <f t="shared" si="103"/>
        <v>45.661175044964949</v>
      </c>
      <c r="AH320" s="39">
        <f t="shared" si="104"/>
        <v>-92.239909911572681</v>
      </c>
      <c r="AI320" s="39">
        <f t="shared" si="105"/>
        <v>49.120782019740012</v>
      </c>
      <c r="AJ320" s="39">
        <f t="shared" si="106"/>
        <v>-91.369507326348824</v>
      </c>
      <c r="AK320" s="37">
        <f t="shared" si="107"/>
        <v>70079.224050584919</v>
      </c>
      <c r="AL320" s="37">
        <f t="shared" si="108"/>
        <v>40876.680148635023</v>
      </c>
      <c r="AM320" s="37">
        <f t="shared" si="109"/>
        <v>69975.954321516954</v>
      </c>
    </row>
    <row r="321" spans="12:39">
      <c r="L321">
        <v>317</v>
      </c>
      <c r="M321" s="37">
        <f t="shared" si="94"/>
        <v>1.9917697423759413</v>
      </c>
      <c r="N321" s="37">
        <f t="shared" si="88"/>
        <v>17956.754626318198</v>
      </c>
      <c r="O321" s="37">
        <f t="shared" si="89"/>
        <v>12063.457937017489</v>
      </c>
      <c r="R321" s="37">
        <f t="shared" si="90"/>
        <v>-21430.27176157726</v>
      </c>
      <c r="S321" s="37">
        <f t="shared" si="91"/>
        <v>13194.420555912242</v>
      </c>
      <c r="V321" s="37">
        <f t="shared" si="92"/>
        <v>-7043.2453736818015</v>
      </c>
      <c r="W321" s="37">
        <f t="shared" si="93"/>
        <v>-10436.542062982511</v>
      </c>
      <c r="Y321" s="37">
        <f t="shared" si="95"/>
        <v>-39749.562445127507</v>
      </c>
      <c r="Z321" s="37">
        <f t="shared" si="96"/>
        <v>47397.118628227327</v>
      </c>
      <c r="AA321" s="37">
        <f t="shared" si="97"/>
        <v>-3184.5863245196642</v>
      </c>
      <c r="AB321" s="37">
        <f t="shared" si="98"/>
        <v>1466.2804069561564</v>
      </c>
      <c r="AC321" s="37">
        <f t="shared" si="99"/>
        <v>175.50275018211013</v>
      </c>
      <c r="AD321" s="37">
        <f t="shared" si="100"/>
        <v>-227.09896352903391</v>
      </c>
      <c r="AE321" s="39">
        <f t="shared" si="101"/>
        <v>81.965869283048946</v>
      </c>
      <c r="AF321" s="39">
        <f t="shared" si="102"/>
        <v>-54.731815203748972</v>
      </c>
      <c r="AG321" s="39">
        <f t="shared" si="103"/>
        <v>45.02745483215832</v>
      </c>
      <c r="AH321" s="39">
        <f t="shared" si="104"/>
        <v>-85.262500096593953</v>
      </c>
      <c r="AI321" s="39">
        <f t="shared" si="105"/>
        <v>48.509426066902883</v>
      </c>
      <c r="AJ321" s="39">
        <f t="shared" si="106"/>
        <v>-87.104648228690991</v>
      </c>
      <c r="AK321" s="37">
        <f t="shared" si="107"/>
        <v>71845.600333068651</v>
      </c>
      <c r="AL321" s="37">
        <f t="shared" si="108"/>
        <v>42291.721393999775</v>
      </c>
      <c r="AM321" s="37">
        <f t="shared" si="109"/>
        <v>71420.81281554341</v>
      </c>
    </row>
    <row r="322" spans="12:39">
      <c r="L322">
        <v>318</v>
      </c>
      <c r="M322" s="37">
        <f t="shared" si="94"/>
        <v>1.9980529276831209</v>
      </c>
      <c r="N322" s="37">
        <f t="shared" si="88"/>
        <v>17928.122095033523</v>
      </c>
      <c r="O322" s="37">
        <f t="shared" si="89"/>
        <v>12050.529853424952</v>
      </c>
      <c r="R322" s="37">
        <f t="shared" si="90"/>
        <v>-21450.314533476536</v>
      </c>
      <c r="S322" s="37">
        <f t="shared" si="91"/>
        <v>13185.370897397466</v>
      </c>
      <c r="V322" s="37">
        <f t="shared" si="92"/>
        <v>-7071.8779049664772</v>
      </c>
      <c r="W322" s="37">
        <f t="shared" si="93"/>
        <v>-10449.470146575048</v>
      </c>
      <c r="Y322" s="37">
        <f t="shared" si="95"/>
        <v>-41319.917763614576</v>
      </c>
      <c r="Z322" s="37">
        <f t="shared" si="96"/>
        <v>48101.871461264273</v>
      </c>
      <c r="AA322" s="37">
        <f t="shared" si="97"/>
        <v>-3096.834949428609</v>
      </c>
      <c r="AB322" s="37">
        <f t="shared" si="98"/>
        <v>1352.7309251916395</v>
      </c>
      <c r="AC322" s="37">
        <f t="shared" si="99"/>
        <v>170.72588856589181</v>
      </c>
      <c r="AD322" s="37">
        <f t="shared" si="100"/>
        <v>-214.38153270478659</v>
      </c>
      <c r="AE322" s="39">
        <f t="shared" si="101"/>
        <v>78.529547109557797</v>
      </c>
      <c r="AF322" s="39">
        <f t="shared" si="102"/>
        <v>-51.996915422242992</v>
      </c>
      <c r="AG322" s="39">
        <f t="shared" si="103"/>
        <v>44.28544349648628</v>
      </c>
      <c r="AH322" s="39">
        <f t="shared" si="104"/>
        <v>-79.144689694249905</v>
      </c>
      <c r="AI322" s="39">
        <f t="shared" si="105"/>
        <v>47.910897959847723</v>
      </c>
      <c r="AJ322" s="39">
        <f t="shared" si="106"/>
        <v>-83.23992758829371</v>
      </c>
      <c r="AK322" s="37">
        <f t="shared" si="107"/>
        <v>73543.485644164844</v>
      </c>
      <c r="AL322" s="37">
        <f t="shared" si="108"/>
        <v>43661.09827177957</v>
      </c>
      <c r="AM322" s="37">
        <f t="shared" si="109"/>
        <v>72807.847161344107</v>
      </c>
    </row>
    <row r="323" spans="12:39">
      <c r="L323">
        <v>319</v>
      </c>
      <c r="M323" s="37">
        <f t="shared" si="94"/>
        <v>2.0043361129903006</v>
      </c>
      <c r="N323" s="37">
        <f t="shared" si="88"/>
        <v>17899.571357940913</v>
      </c>
      <c r="O323" s="37">
        <f t="shared" si="89"/>
        <v>12037.422122705559</v>
      </c>
      <c r="R323" s="37">
        <f t="shared" si="90"/>
        <v>-21470.300049441361</v>
      </c>
      <c r="S323" s="37">
        <f t="shared" si="91"/>
        <v>13176.195485893892</v>
      </c>
      <c r="V323" s="37">
        <f t="shared" si="92"/>
        <v>-7100.4286420590879</v>
      </c>
      <c r="W323" s="37">
        <f t="shared" si="93"/>
        <v>-10462.577877294441</v>
      </c>
      <c r="Y323" s="37">
        <f t="shared" si="95"/>
        <v>-42846.994502258145</v>
      </c>
      <c r="Z323" s="37">
        <f t="shared" si="96"/>
        <v>48751.439232271994</v>
      </c>
      <c r="AA323" s="37">
        <f t="shared" si="97"/>
        <v>-3011.4720051456629</v>
      </c>
      <c r="AB323" s="37">
        <f t="shared" si="98"/>
        <v>1245.5401588392463</v>
      </c>
      <c r="AC323" s="37">
        <f t="shared" si="99"/>
        <v>166.25745758679244</v>
      </c>
      <c r="AD323" s="37">
        <f t="shared" si="100"/>
        <v>-202.99936242781601</v>
      </c>
      <c r="AE323" s="39">
        <f t="shared" si="101"/>
        <v>75.443153964001368</v>
      </c>
      <c r="AF323" s="39">
        <f t="shared" si="102"/>
        <v>-49.519292145706679</v>
      </c>
      <c r="AG323" s="39">
        <f t="shared" si="103"/>
        <v>43.484048527216359</v>
      </c>
      <c r="AH323" s="39">
        <f t="shared" si="104"/>
        <v>-73.75453536827537</v>
      </c>
      <c r="AI323" s="39">
        <f t="shared" si="105"/>
        <v>47.330255095574728</v>
      </c>
      <c r="AJ323" s="39">
        <f t="shared" si="106"/>
        <v>-79.725534913833968</v>
      </c>
      <c r="AK323" s="37">
        <f t="shared" si="107"/>
        <v>75175.966616337537</v>
      </c>
      <c r="AL323" s="37">
        <f t="shared" si="108"/>
        <v>44985.099759350131</v>
      </c>
      <c r="AM323" s="37">
        <f t="shared" si="109"/>
        <v>74139.335018868544</v>
      </c>
    </row>
    <row r="324" spans="12:39">
      <c r="L324">
        <v>320</v>
      </c>
      <c r="M324" s="37">
        <f t="shared" si="94"/>
        <v>2.0106192982974802</v>
      </c>
      <c r="N324" s="37">
        <f t="shared" si="88"/>
        <v>17871.10354217458</v>
      </c>
      <c r="O324" s="37">
        <f t="shared" si="89"/>
        <v>12024.13526233007</v>
      </c>
      <c r="R324" s="37">
        <f t="shared" si="90"/>
        <v>-21490.227520477794</v>
      </c>
      <c r="S324" s="37">
        <f t="shared" si="91"/>
        <v>13166.89468363105</v>
      </c>
      <c r="V324" s="37">
        <f t="shared" si="92"/>
        <v>-7128.8964578254199</v>
      </c>
      <c r="W324" s="37">
        <f t="shared" si="93"/>
        <v>-10475.86473766993</v>
      </c>
      <c r="Y324" s="37">
        <f t="shared" si="95"/>
        <v>-44331.948322632627</v>
      </c>
      <c r="Z324" s="37">
        <f t="shared" si="96"/>
        <v>49348.83439138814</v>
      </c>
      <c r="AA324" s="37">
        <f t="shared" si="97"/>
        <v>-2928.3432763522669</v>
      </c>
      <c r="AB324" s="37">
        <f t="shared" si="98"/>
        <v>1144.0404776253383</v>
      </c>
      <c r="AC324" s="37">
        <f t="shared" si="99"/>
        <v>162.08757652303544</v>
      </c>
      <c r="AD324" s="37">
        <f t="shared" si="100"/>
        <v>-192.76897040634742</v>
      </c>
      <c r="AE324" s="39">
        <f t="shared" si="101"/>
        <v>72.65965016963878</v>
      </c>
      <c r="AF324" s="39">
        <f t="shared" si="102"/>
        <v>-47.266121206772993</v>
      </c>
      <c r="AG324" s="39">
        <f t="shared" si="103"/>
        <v>42.656925589196305</v>
      </c>
      <c r="AH324" s="39">
        <f t="shared" si="104"/>
        <v>-68.983390824226646</v>
      </c>
      <c r="AI324" s="39">
        <f t="shared" si="105"/>
        <v>46.771000764200359</v>
      </c>
      <c r="AJ324" s="39">
        <f t="shared" si="106"/>
        <v>-76.519458375347767</v>
      </c>
      <c r="AK324" s="37">
        <f t="shared" si="107"/>
        <v>76745.843632757766</v>
      </c>
      <c r="AL324" s="37">
        <f t="shared" si="108"/>
        <v>46264.181362433665</v>
      </c>
      <c r="AM324" s="37">
        <f t="shared" si="109"/>
        <v>75417.336510808571</v>
      </c>
    </row>
    <row r="325" spans="12:39">
      <c r="L325">
        <v>321</v>
      </c>
      <c r="M325" s="37">
        <f t="shared" si="94"/>
        <v>2.0169024836046598</v>
      </c>
      <c r="N325" s="37">
        <f t="shared" ref="N325:N388" si="110">COS(M325)*$D$37+$D$36</f>
        <v>17842.719771595148</v>
      </c>
      <c r="O325" s="37">
        <f t="shared" ref="O325:O388" si="111">SIN(M325)*$D$37+$E$36</f>
        <v>12010.669796840986</v>
      </c>
      <c r="R325" s="37">
        <f t="shared" ref="R325:R388" si="112">COS(M325)*$D$48+$D$47</f>
        <v>-21510.096159883396</v>
      </c>
      <c r="S325" s="37">
        <f t="shared" ref="S325:S388" si="113">SIN(M325)*$D$48+$E$47</f>
        <v>13157.468857788692</v>
      </c>
      <c r="V325" s="37">
        <f t="shared" ref="V325:V388" si="114">COS(M325)*$D$57+$D$56</f>
        <v>-7157.2802284048521</v>
      </c>
      <c r="W325" s="37">
        <f t="shared" ref="W325:W388" si="115">SIN(M325)*$D$57+$E$56</f>
        <v>-10489.330203159014</v>
      </c>
      <c r="Y325" s="37">
        <f t="shared" si="95"/>
        <v>-45775.859013743386</v>
      </c>
      <c r="Z325" s="37">
        <f t="shared" si="96"/>
        <v>49896.75850890002</v>
      </c>
      <c r="AA325" s="37">
        <f t="shared" si="97"/>
        <v>-2847.299488090749</v>
      </c>
      <c r="AB325" s="37">
        <f t="shared" si="98"/>
        <v>1047.6559924221647</v>
      </c>
      <c r="AC325" s="37">
        <f t="shared" si="99"/>
        <v>158.20270129287991</v>
      </c>
      <c r="AD325" s="37">
        <f t="shared" si="100"/>
        <v>-183.53729097103206</v>
      </c>
      <c r="AE325" s="39">
        <f t="shared" si="101"/>
        <v>70.140060781737716</v>
      </c>
      <c r="AF325" s="39">
        <f t="shared" si="102"/>
        <v>-45.209766369475588</v>
      </c>
      <c r="AG325" s="39">
        <f t="shared" si="103"/>
        <v>41.827139431266012</v>
      </c>
      <c r="AH325" s="39">
        <f t="shared" si="104"/>
        <v>-64.741480783144524</v>
      </c>
      <c r="AI325" s="39">
        <f t="shared" si="105"/>
        <v>46.235501079876158</v>
      </c>
      <c r="AJ325" s="39">
        <f t="shared" si="106"/>
        <v>-73.586043818411966</v>
      </c>
      <c r="AK325" s="37">
        <f t="shared" si="107"/>
        <v>78255.662805050932</v>
      </c>
      <c r="AL325" s="37">
        <f t="shared" si="108"/>
        <v>47498.90785495875</v>
      </c>
      <c r="AM325" s="37">
        <f t="shared" si="109"/>
        <v>76643.720833941537</v>
      </c>
    </row>
    <row r="326" spans="12:39">
      <c r="L326">
        <v>322</v>
      </c>
      <c r="M326" s="37">
        <f t="shared" ref="M326:M389" si="116">M325+$J$3</f>
        <v>2.0231856689118395</v>
      </c>
      <c r="N326" s="37">
        <f t="shared" si="110"/>
        <v>17814.42116674528</v>
      </c>
      <c r="O326" s="37">
        <f t="shared" si="111"/>
        <v>11997.026257831829</v>
      </c>
      <c r="R326" s="37">
        <f t="shared" si="112"/>
        <v>-21529.905183278304</v>
      </c>
      <c r="S326" s="37">
        <f t="shared" si="113"/>
        <v>13147.918380482279</v>
      </c>
      <c r="V326" s="37">
        <f t="shared" si="114"/>
        <v>-7185.5788332547218</v>
      </c>
      <c r="W326" s="37">
        <f t="shared" si="115"/>
        <v>-10502.973742168171</v>
      </c>
      <c r="Y326" s="37">
        <f t="shared" ref="Y326:Y389" si="117">Y325+(AA325*$D$14)+((1/2)*AC325)*$D$14^2</f>
        <v>-47179.733420127151</v>
      </c>
      <c r="Z326" s="37">
        <f t="shared" ref="Z326:Z389" si="118">Z325+(AB325*$D$14)+((1/2)*AD325)*$D$14^2</f>
        <v>50397.644343739725</v>
      </c>
      <c r="AA326" s="37">
        <f t="shared" ref="AA326:AA389" si="119">AA325+(AC325*$D$14)</f>
        <v>-2768.1981374443089</v>
      </c>
      <c r="AB326" s="37">
        <f t="shared" ref="AB326:AB389" si="120">AB325+(AD325*$D$14)</f>
        <v>955.88734693664867</v>
      </c>
      <c r="AC326" s="37">
        <f t="shared" ref="AC326:AC389" si="121">AE326+AG326+AI326</f>
        <v>154.58749442912631</v>
      </c>
      <c r="AD326" s="37">
        <f t="shared" ref="AD326:AD389" si="122">AF326+AH326+AJ326</f>
        <v>-175.17599314653197</v>
      </c>
      <c r="AE326" s="39">
        <f t="shared" ref="AE326:AE389" si="123">$D$40*($D$36-Y326)/(AK326^2+$D$41^2)^(3/2)</f>
        <v>67.851842536346851</v>
      </c>
      <c r="AF326" s="39">
        <f t="shared" ref="AF326:AF389" si="124">$D$40*($E$36-Z326)/(AK326^2+$D$41^2)^(3/2)</f>
        <v>-43.326819875703642</v>
      </c>
      <c r="AG326" s="39">
        <f t="shared" ref="AG326:AG389" si="125">$D$51*($D$47-Y326)/(AL326^2+$D$52^2)^(3/2)</f>
        <v>41.01036253228704</v>
      </c>
      <c r="AH326" s="39">
        <f t="shared" ref="AH326:AH389" si="126">$D$51*($E$47-Z326)/(AL326^2+$D$52^2)^(3/2)</f>
        <v>-60.954315275230933</v>
      </c>
      <c r="AI326" s="39">
        <f t="shared" ref="AI326:AI389" si="127">$D$60*($D$56-Y326)/(AM326^2+$D$61^2)^(3/2)</f>
        <v>45.725289360492397</v>
      </c>
      <c r="AJ326" s="39">
        <f t="shared" ref="AJ326:AJ389" si="128">$D$60*($E$56-Z326)/(AM326^2+$D$61^2)^(3/2)</f>
        <v>-70.894857995597391</v>
      </c>
      <c r="AK326" s="37">
        <f t="shared" ref="AK326:AK389" si="129">SQRT(($D$36-Y326)^2+($E$36-Z326)^2)</f>
        <v>79707.744119635798</v>
      </c>
      <c r="AL326" s="37">
        <f t="shared" ref="AL326:AL389" si="130">SQRT(($D$47-Y326)^2+($E$47-Z326)^2)</f>
        <v>48689.912480024679</v>
      </c>
      <c r="AM326" s="37">
        <f t="shared" ref="AM326:AM389" si="131">SQRT(($D$56-Y326)^2+($E$56-Z326)^2)</f>
        <v>77820.188878614674</v>
      </c>
    </row>
    <row r="327" spans="12:39">
      <c r="L327">
        <v>323</v>
      </c>
      <c r="M327" s="37">
        <f t="shared" si="116"/>
        <v>2.0294688542190191</v>
      </c>
      <c r="N327" s="37">
        <f t="shared" si="110"/>
        <v>17786.208844805435</v>
      </c>
      <c r="O327" s="37">
        <f t="shared" si="111"/>
        <v>11983.205183926151</v>
      </c>
      <c r="R327" s="37">
        <f t="shared" si="112"/>
        <v>-21549.653808636194</v>
      </c>
      <c r="S327" s="37">
        <f t="shared" si="113"/>
        <v>13138.243628748305</v>
      </c>
      <c r="V327" s="37">
        <f t="shared" si="114"/>
        <v>-7213.7911551945645</v>
      </c>
      <c r="W327" s="37">
        <f t="shared" si="115"/>
        <v>-10516.794816073849</v>
      </c>
      <c r="Y327" s="37">
        <f t="shared" si="117"/>
        <v>-48544.509052045665</v>
      </c>
      <c r="Z327" s="37">
        <f t="shared" si="118"/>
        <v>50853.691018064732</v>
      </c>
      <c r="AA327" s="37">
        <f t="shared" si="119"/>
        <v>-2690.9043902297458</v>
      </c>
      <c r="AB327" s="37">
        <f t="shared" si="120"/>
        <v>868.2993503633827</v>
      </c>
      <c r="AC327" s="37">
        <f t="shared" si="121"/>
        <v>151.22600559526518</v>
      </c>
      <c r="AD327" s="37">
        <f t="shared" si="122"/>
        <v>-167.57693517124048</v>
      </c>
      <c r="AE327" s="39">
        <f t="shared" si="123"/>
        <v>65.767628484635452</v>
      </c>
      <c r="AF327" s="39">
        <f t="shared" si="124"/>
        <v>-41.597342861538287</v>
      </c>
      <c r="AG327" s="39">
        <f t="shared" si="125"/>
        <v>40.217087227174964</v>
      </c>
      <c r="AH327" s="39">
        <f t="shared" si="126"/>
        <v>-57.559807815570601</v>
      </c>
      <c r="AI327" s="39">
        <f t="shared" si="127"/>
        <v>45.241289883454748</v>
      </c>
      <c r="AJ327" s="39">
        <f t="shared" si="128"/>
        <v>-68.419784494131591</v>
      </c>
      <c r="AK327" s="37">
        <f t="shared" si="129"/>
        <v>81104.206093616362</v>
      </c>
      <c r="AL327" s="37">
        <f t="shared" si="130"/>
        <v>49837.867799714506</v>
      </c>
      <c r="AM327" s="37">
        <f t="shared" si="131"/>
        <v>78948.292503932142</v>
      </c>
    </row>
    <row r="328" spans="12:39">
      <c r="L328">
        <v>324</v>
      </c>
      <c r="M328" s="37">
        <f t="shared" si="116"/>
        <v>2.0357520395261988</v>
      </c>
      <c r="N328" s="37">
        <f t="shared" si="110"/>
        <v>17758.083919549783</v>
      </c>
      <c r="O328" s="37">
        <f t="shared" si="111"/>
        <v>11969.207120756291</v>
      </c>
      <c r="R328" s="37">
        <f t="shared" si="112"/>
        <v>-21569.341256315154</v>
      </c>
      <c r="S328" s="37">
        <f t="shared" si="113"/>
        <v>13128.444984529404</v>
      </c>
      <c r="V328" s="37">
        <f t="shared" si="114"/>
        <v>-7241.9160804502189</v>
      </c>
      <c r="W328" s="37">
        <f t="shared" si="115"/>
        <v>-10530.792879243709</v>
      </c>
      <c r="Y328" s="37">
        <f t="shared" si="117"/>
        <v>-49871.057996461124</v>
      </c>
      <c r="Z328" s="37">
        <f t="shared" si="118"/>
        <v>51266.893576350012</v>
      </c>
      <c r="AA328" s="37">
        <f t="shared" si="119"/>
        <v>-2615.291387432113</v>
      </c>
      <c r="AB328" s="37">
        <f t="shared" si="120"/>
        <v>784.5108827777625</v>
      </c>
      <c r="AC328" s="37">
        <f t="shared" si="121"/>
        <v>148.10240334582235</v>
      </c>
      <c r="AD328" s="37">
        <f t="shared" si="122"/>
        <v>-160.64852627623344</v>
      </c>
      <c r="AE328" s="39">
        <f t="shared" si="123"/>
        <v>63.864253172022757</v>
      </c>
      <c r="AF328" s="39">
        <f t="shared" si="124"/>
        <v>-40.004260019285297</v>
      </c>
      <c r="AG328" s="39">
        <f t="shared" si="125"/>
        <v>39.454166803866833</v>
      </c>
      <c r="AH328" s="39">
        <f t="shared" si="126"/>
        <v>-54.505967041128038</v>
      </c>
      <c r="AI328" s="39">
        <f t="shared" si="127"/>
        <v>44.783983369932777</v>
      </c>
      <c r="AJ328" s="39">
        <f t="shared" si="128"/>
        <v>-66.138299215820112</v>
      </c>
      <c r="AK328" s="37">
        <f t="shared" si="129"/>
        <v>82446.98732439155</v>
      </c>
      <c r="AL328" s="37">
        <f t="shared" si="130"/>
        <v>50943.464853401383</v>
      </c>
      <c r="AM328" s="37">
        <f t="shared" si="131"/>
        <v>80029.451016366933</v>
      </c>
    </row>
    <row r="329" spans="12:39">
      <c r="L329">
        <v>325</v>
      </c>
      <c r="M329" s="37">
        <f t="shared" si="116"/>
        <v>2.0420352248333784</v>
      </c>
      <c r="N329" s="37">
        <f t="shared" si="110"/>
        <v>17730.047501302208</v>
      </c>
      <c r="O329" s="37">
        <f t="shared" si="111"/>
        <v>11955.032620941809</v>
      </c>
      <c r="R329" s="37">
        <f t="shared" si="112"/>
        <v>-21588.966749088453</v>
      </c>
      <c r="S329" s="37">
        <f t="shared" si="113"/>
        <v>13118.522834659267</v>
      </c>
      <c r="V329" s="37">
        <f t="shared" si="114"/>
        <v>-7269.9524986977904</v>
      </c>
      <c r="W329" s="37">
        <f t="shared" si="115"/>
        <v>-10544.967379058191</v>
      </c>
      <c r="Y329" s="37">
        <f t="shared" si="117"/>
        <v>-51160.190889758953</v>
      </c>
      <c r="Z329" s="37">
        <f t="shared" si="118"/>
        <v>51639.067951954363</v>
      </c>
      <c r="AA329" s="37">
        <f t="shared" si="119"/>
        <v>-2541.2401857592017</v>
      </c>
      <c r="AB329" s="37">
        <f t="shared" si="120"/>
        <v>704.18661963964576</v>
      </c>
      <c r="AC329" s="37">
        <f t="shared" si="121"/>
        <v>145.20141491105986</v>
      </c>
      <c r="AD329" s="37">
        <f t="shared" si="122"/>
        <v>-154.31280815822453</v>
      </c>
      <c r="AE329" s="39">
        <f t="shared" si="123"/>
        <v>62.121988502549996</v>
      </c>
      <c r="AF329" s="39">
        <f t="shared" si="124"/>
        <v>-38.532874034479278</v>
      </c>
      <c r="AG329" s="39">
        <f t="shared" si="125"/>
        <v>38.725896397961733</v>
      </c>
      <c r="AH329" s="39">
        <f t="shared" si="126"/>
        <v>-51.74904856391742</v>
      </c>
      <c r="AI329" s="39">
        <f t="shared" si="127"/>
        <v>44.35353001054812</v>
      </c>
      <c r="AJ329" s="39">
        <f t="shared" si="128"/>
        <v>-64.030885559827837</v>
      </c>
      <c r="AK329" s="37">
        <f t="shared" si="129"/>
        <v>83737.865312737573</v>
      </c>
      <c r="AL329" s="37">
        <f t="shared" si="130"/>
        <v>52007.398283260525</v>
      </c>
      <c r="AM329" s="37">
        <f t="shared" si="131"/>
        <v>81064.965308597879</v>
      </c>
    </row>
    <row r="330" spans="12:39">
      <c r="L330">
        <v>326</v>
      </c>
      <c r="M330" s="37">
        <f t="shared" si="116"/>
        <v>2.048318410140558</v>
      </c>
      <c r="N330" s="37">
        <f t="shared" si="110"/>
        <v>17702.100696892503</v>
      </c>
      <c r="O330" s="37">
        <f t="shared" si="111"/>
        <v>11940.682244067693</v>
      </c>
      <c r="R330" s="37">
        <f t="shared" si="112"/>
        <v>-21608.529512175246</v>
      </c>
      <c r="S330" s="37">
        <f t="shared" si="113"/>
        <v>13108.477570847384</v>
      </c>
      <c r="V330" s="37">
        <f t="shared" si="114"/>
        <v>-7297.8993031074961</v>
      </c>
      <c r="W330" s="37">
        <f t="shared" si="115"/>
        <v>-10559.317755932307</v>
      </c>
      <c r="Y330" s="37">
        <f t="shared" si="117"/>
        <v>-52412.660805774671</v>
      </c>
      <c r="Z330" s="37">
        <f t="shared" si="118"/>
        <v>51971.872160754407</v>
      </c>
      <c r="AA330" s="37">
        <f t="shared" si="119"/>
        <v>-2468.6394783036717</v>
      </c>
      <c r="AB330" s="37">
        <f t="shared" si="120"/>
        <v>627.03021556053352</v>
      </c>
      <c r="AC330" s="37">
        <f t="shared" si="121"/>
        <v>142.50857651739551</v>
      </c>
      <c r="AD330" s="37">
        <f t="shared" si="122"/>
        <v>-148.50310604624158</v>
      </c>
      <c r="AE330" s="39">
        <f t="shared" si="123"/>
        <v>60.523939461503417</v>
      </c>
      <c r="AF330" s="39">
        <f t="shared" si="124"/>
        <v>-37.170473622239435</v>
      </c>
      <c r="AG330" s="39">
        <f t="shared" si="125"/>
        <v>38.03477572832594</v>
      </c>
      <c r="AH330" s="39">
        <f t="shared" si="126"/>
        <v>-49.252073259219941</v>
      </c>
      <c r="AI330" s="39">
        <f t="shared" si="127"/>
        <v>43.949861327566168</v>
      </c>
      <c r="AJ330" s="39">
        <f t="shared" si="128"/>
        <v>-62.080559164782215</v>
      </c>
      <c r="AK330" s="37">
        <f t="shared" si="129"/>
        <v>84978.472911994948</v>
      </c>
      <c r="AL330" s="37">
        <f t="shared" si="130"/>
        <v>53030.355770906463</v>
      </c>
      <c r="AM330" s="37">
        <f t="shared" si="131"/>
        <v>82056.030036797849</v>
      </c>
    </row>
    <row r="331" spans="12:39">
      <c r="L331">
        <v>327</v>
      </c>
      <c r="M331" s="37">
        <f t="shared" si="116"/>
        <v>2.0546015954477377</v>
      </c>
      <c r="N331" s="37">
        <f t="shared" si="110"/>
        <v>17674.244609612651</v>
      </c>
      <c r="O331" s="37">
        <f t="shared" si="111"/>
        <v>11926.156556662247</v>
      </c>
      <c r="R331" s="37">
        <f t="shared" si="112"/>
        <v>-21628.028773271144</v>
      </c>
      <c r="S331" s="37">
        <f t="shared" si="113"/>
        <v>13098.309589663571</v>
      </c>
      <c r="V331" s="37">
        <f t="shared" si="114"/>
        <v>-7325.7553903873486</v>
      </c>
      <c r="W331" s="37">
        <f t="shared" si="115"/>
        <v>-10573.843443337753</v>
      </c>
      <c r="Y331" s="37">
        <f t="shared" si="117"/>
        <v>-53629.166972861829</v>
      </c>
      <c r="Z331" s="37">
        <f t="shared" si="118"/>
        <v>52266.824380278893</v>
      </c>
      <c r="AA331" s="37">
        <f t="shared" si="119"/>
        <v>-2397.385190044974</v>
      </c>
      <c r="AB331" s="37">
        <f t="shared" si="120"/>
        <v>552.77866253741274</v>
      </c>
      <c r="AC331" s="37">
        <f t="shared" si="121"/>
        <v>140.01036150134141</v>
      </c>
      <c r="AD331" s="37">
        <f t="shared" si="122"/>
        <v>-143.16213068257963</v>
      </c>
      <c r="AE331" s="39">
        <f t="shared" si="123"/>
        <v>59.055562309011655</v>
      </c>
      <c r="AF331" s="39">
        <f t="shared" si="124"/>
        <v>-35.906015173858549</v>
      </c>
      <c r="AG331" s="39">
        <f t="shared" si="125"/>
        <v>37.382050178594625</v>
      </c>
      <c r="AH331" s="39">
        <f t="shared" si="126"/>
        <v>-46.983636292521972</v>
      </c>
      <c r="AI331" s="39">
        <f t="shared" si="127"/>
        <v>43.572749013735127</v>
      </c>
      <c r="AJ331" s="39">
        <f t="shared" si="128"/>
        <v>-60.272479216199116</v>
      </c>
      <c r="AK331" s="37">
        <f t="shared" si="129"/>
        <v>86170.312719708163</v>
      </c>
      <c r="AL331" s="37">
        <f t="shared" si="130"/>
        <v>54013.010603760638</v>
      </c>
      <c r="AM331" s="37">
        <f t="shared" si="131"/>
        <v>83003.744148572951</v>
      </c>
    </row>
    <row r="332" spans="12:39">
      <c r="L332">
        <v>328</v>
      </c>
      <c r="M332" s="37">
        <f t="shared" si="116"/>
        <v>2.0608847807549173</v>
      </c>
      <c r="N332" s="37">
        <f t="shared" si="110"/>
        <v>17646.480339173278</v>
      </c>
      <c r="O332" s="37">
        <f t="shared" si="111"/>
        <v>11911.456132174735</v>
      </c>
      <c r="R332" s="37">
        <f t="shared" si="112"/>
        <v>-21647.463762578704</v>
      </c>
      <c r="S332" s="37">
        <f t="shared" si="113"/>
        <v>13088.019292522315</v>
      </c>
      <c r="V332" s="37">
        <f t="shared" si="114"/>
        <v>-7353.5196608267197</v>
      </c>
      <c r="W332" s="37">
        <f t="shared" si="115"/>
        <v>-10588.543867825265</v>
      </c>
      <c r="Y332" s="37">
        <f t="shared" si="117"/>
        <v>-54810.358272696649</v>
      </c>
      <c r="Z332" s="37">
        <f t="shared" si="118"/>
        <v>52525.31844521228</v>
      </c>
      <c r="AA332" s="37">
        <f t="shared" si="119"/>
        <v>-2327.3800092943034</v>
      </c>
      <c r="AB332" s="37">
        <f t="shared" si="120"/>
        <v>481.19759719612296</v>
      </c>
      <c r="AC332" s="37">
        <f t="shared" si="121"/>
        <v>137.69423045823319</v>
      </c>
      <c r="AD332" s="37">
        <f t="shared" si="122"/>
        <v>-138.24043794525787</v>
      </c>
      <c r="AE332" s="39">
        <f t="shared" si="123"/>
        <v>57.704277457460648</v>
      </c>
      <c r="AF332" s="39">
        <f t="shared" si="124"/>
        <v>-34.729862657552488</v>
      </c>
      <c r="AG332" s="39">
        <f t="shared" si="125"/>
        <v>36.768096337892906</v>
      </c>
      <c r="AH332" s="39">
        <f t="shared" si="126"/>
        <v>-44.916946649742542</v>
      </c>
      <c r="AI332" s="39">
        <f t="shared" si="127"/>
        <v>43.221856662879638</v>
      </c>
      <c r="AJ332" s="39">
        <f t="shared" si="128"/>
        <v>-58.593628637962844</v>
      </c>
      <c r="AK332" s="37">
        <f t="shared" si="129"/>
        <v>87314.769689795343</v>
      </c>
      <c r="AL332" s="37">
        <f t="shared" si="130"/>
        <v>54956.016521762307</v>
      </c>
      <c r="AM332" s="37">
        <f t="shared" si="131"/>
        <v>83909.120019111899</v>
      </c>
    </row>
    <row r="333" spans="12:39">
      <c r="L333">
        <v>329</v>
      </c>
      <c r="M333" s="37">
        <f t="shared" si="116"/>
        <v>2.067167966062097</v>
      </c>
      <c r="N333" s="37">
        <f t="shared" si="110"/>
        <v>17618.808981660248</v>
      </c>
      <c r="O333" s="37">
        <f t="shared" si="111"/>
        <v>11896.581550952749</v>
      </c>
      <c r="R333" s="37">
        <f t="shared" si="112"/>
        <v>-21666.833712837826</v>
      </c>
      <c r="S333" s="37">
        <f t="shared" si="113"/>
        <v>13077.607085666925</v>
      </c>
      <c r="V333" s="37">
        <f t="shared" si="114"/>
        <v>-7381.1910183397522</v>
      </c>
      <c r="W333" s="37">
        <f t="shared" si="115"/>
        <v>-10603.418449047251</v>
      </c>
      <c r="Y333" s="37">
        <f t="shared" si="117"/>
        <v>-55956.836498536519</v>
      </c>
      <c r="Z333" s="37">
        <f t="shared" si="118"/>
        <v>52748.637189067187</v>
      </c>
      <c r="AA333" s="37">
        <f t="shared" si="119"/>
        <v>-2258.5328940651866</v>
      </c>
      <c r="AB333" s="37">
        <f t="shared" si="120"/>
        <v>412.07737822349401</v>
      </c>
      <c r="AC333" s="37">
        <f t="shared" si="121"/>
        <v>135.54863256402152</v>
      </c>
      <c r="AD333" s="37">
        <f t="shared" si="122"/>
        <v>-133.69517297480746</v>
      </c>
      <c r="AE333" s="39">
        <f t="shared" si="123"/>
        <v>56.459156178284296</v>
      </c>
      <c r="AF333" s="39">
        <f t="shared" si="124"/>
        <v>-33.633573904322475</v>
      </c>
      <c r="AG333" s="39">
        <f t="shared" si="125"/>
        <v>36.192697662292481</v>
      </c>
      <c r="AH333" s="39">
        <f t="shared" si="126"/>
        <v>-43.029049602901353</v>
      </c>
      <c r="AI333" s="39">
        <f t="shared" si="127"/>
        <v>42.896778723444747</v>
      </c>
      <c r="AJ333" s="39">
        <f t="shared" si="128"/>
        <v>-57.032549467583621</v>
      </c>
      <c r="AK333" s="37">
        <f t="shared" si="129"/>
        <v>88413.122206679502</v>
      </c>
      <c r="AL333" s="37">
        <f t="shared" si="130"/>
        <v>55860.004229367776</v>
      </c>
      <c r="AM333" s="37">
        <f t="shared" si="131"/>
        <v>84773.091408267283</v>
      </c>
    </row>
    <row r="334" spans="12:39">
      <c r="L334">
        <v>330</v>
      </c>
      <c r="M334" s="37">
        <f t="shared" si="116"/>
        <v>2.0734511513692766</v>
      </c>
      <c r="N334" s="37">
        <f t="shared" si="110"/>
        <v>17591.231629491365</v>
      </c>
      <c r="O334" s="37">
        <f t="shared" si="111"/>
        <v>11881.533400219287</v>
      </c>
      <c r="R334" s="37">
        <f t="shared" si="112"/>
        <v>-21686.137859356044</v>
      </c>
      <c r="S334" s="37">
        <f t="shared" si="113"/>
        <v>13067.073380153501</v>
      </c>
      <c r="V334" s="37">
        <f t="shared" si="114"/>
        <v>-7408.7683705086329</v>
      </c>
      <c r="W334" s="37">
        <f t="shared" si="115"/>
        <v>-10618.466599780713</v>
      </c>
      <c r="Y334" s="37">
        <f t="shared" si="117"/>
        <v>-57069.159366498607</v>
      </c>
      <c r="Z334" s="37">
        <f t="shared" si="118"/>
        <v>52937.963981557084</v>
      </c>
      <c r="AA334" s="37">
        <f t="shared" si="119"/>
        <v>-2190.758577783176</v>
      </c>
      <c r="AB334" s="37">
        <f t="shared" si="120"/>
        <v>345.22979173609031</v>
      </c>
      <c r="AC334" s="37">
        <f t="shared" si="121"/>
        <v>133.56297725161585</v>
      </c>
      <c r="AD334" s="37">
        <f t="shared" si="122"/>
        <v>-129.4890414518685</v>
      </c>
      <c r="AE334" s="39">
        <f t="shared" si="123"/>
        <v>55.310665342110283</v>
      </c>
      <c r="AF334" s="39">
        <f t="shared" si="124"/>
        <v>-32.60972404875141</v>
      </c>
      <c r="AG334" s="39">
        <f t="shared" si="125"/>
        <v>35.65524204050346</v>
      </c>
      <c r="AH334" s="39">
        <f t="shared" si="126"/>
        <v>-41.300194680768819</v>
      </c>
      <c r="AI334" s="39">
        <f t="shared" si="127"/>
        <v>42.597069869002105</v>
      </c>
      <c r="AJ334" s="39">
        <f t="shared" si="128"/>
        <v>-55.579122722348266</v>
      </c>
      <c r="AK334" s="37">
        <f t="shared" si="129"/>
        <v>89466.551829429751</v>
      </c>
      <c r="AL334" s="37">
        <f t="shared" si="130"/>
        <v>56725.57912459215</v>
      </c>
      <c r="AM334" s="37">
        <f t="shared" si="131"/>
        <v>85596.520414635888</v>
      </c>
    </row>
    <row r="335" spans="12:39">
      <c r="L335">
        <v>331</v>
      </c>
      <c r="M335" s="37">
        <f t="shared" si="116"/>
        <v>2.0797343366764562</v>
      </c>
      <c r="N335" s="37">
        <f t="shared" si="110"/>
        <v>17563.74937137328</v>
      </c>
      <c r="O335" s="37">
        <f t="shared" si="111"/>
        <v>11866.312274049569</v>
      </c>
      <c r="R335" s="37">
        <f t="shared" si="112"/>
        <v>-21705.375440038704</v>
      </c>
      <c r="S335" s="37">
        <f t="shared" si="113"/>
        <v>13056.418591834699</v>
      </c>
      <c r="V335" s="37">
        <f t="shared" si="114"/>
        <v>-7436.2506286267189</v>
      </c>
      <c r="W335" s="37">
        <f t="shared" si="115"/>
        <v>-10633.687725950431</v>
      </c>
      <c r="Y335" s="37">
        <f t="shared" si="117"/>
        <v>-58147.843283233742</v>
      </c>
      <c r="Z335" s="37">
        <f t="shared" si="118"/>
        <v>53094.392747243641</v>
      </c>
      <c r="AA335" s="37">
        <f t="shared" si="119"/>
        <v>-2123.977089157368</v>
      </c>
      <c r="AB335" s="37">
        <f t="shared" si="120"/>
        <v>280.48527101015605</v>
      </c>
      <c r="AC335" s="37">
        <f t="shared" si="121"/>
        <v>131.72758883248147</v>
      </c>
      <c r="AD335" s="37">
        <f t="shared" si="122"/>
        <v>-125.58946297514777</v>
      </c>
      <c r="AE335" s="39">
        <f t="shared" si="123"/>
        <v>54.250458123443387</v>
      </c>
      <c r="AF335" s="39">
        <f t="shared" si="124"/>
        <v>-31.651758903100195</v>
      </c>
      <c r="AG335" s="39">
        <f t="shared" si="125"/>
        <v>35.154863552395938</v>
      </c>
      <c r="AH335" s="39">
        <f t="shared" si="126"/>
        <v>-39.713319719140067</v>
      </c>
      <c r="AI335" s="39">
        <f t="shared" si="127"/>
        <v>42.322267156642134</v>
      </c>
      <c r="AJ335" s="39">
        <f t="shared" si="128"/>
        <v>-54.224384352907499</v>
      </c>
      <c r="AK335" s="37">
        <f t="shared" si="129"/>
        <v>90476.151884409657</v>
      </c>
      <c r="AL335" s="37">
        <f t="shared" si="130"/>
        <v>57553.319916542147</v>
      </c>
      <c r="AM335" s="37">
        <f t="shared" si="131"/>
        <v>86380.203572780723</v>
      </c>
    </row>
    <row r="336" spans="12:39">
      <c r="L336">
        <v>332</v>
      </c>
      <c r="M336" s="37">
        <f t="shared" si="116"/>
        <v>2.0860175219836359</v>
      </c>
      <c r="N336" s="37">
        <f t="shared" si="110"/>
        <v>17536.363292258484</v>
      </c>
      <c r="O336" s="37">
        <f t="shared" si="111"/>
        <v>11850.918773347596</v>
      </c>
      <c r="R336" s="37">
        <f t="shared" si="112"/>
        <v>-21724.545695419059</v>
      </c>
      <c r="S336" s="37">
        <f t="shared" si="113"/>
        <v>13045.643141343317</v>
      </c>
      <c r="V336" s="37">
        <f t="shared" si="114"/>
        <v>-7463.6367077415152</v>
      </c>
      <c r="W336" s="37">
        <f t="shared" si="115"/>
        <v>-10649.081226652404</v>
      </c>
      <c r="Y336" s="37">
        <f t="shared" si="117"/>
        <v>-59193.365879208366</v>
      </c>
      <c r="Z336" s="37">
        <f t="shared" si="118"/>
        <v>53218.936699876824</v>
      </c>
      <c r="AA336" s="37">
        <f t="shared" si="119"/>
        <v>-2058.1132947411274</v>
      </c>
      <c r="AB336" s="37">
        <f t="shared" si="120"/>
        <v>217.69053952258218</v>
      </c>
      <c r="AC336" s="37">
        <f t="shared" si="121"/>
        <v>130.03365227769777</v>
      </c>
      <c r="AD336" s="37">
        <f t="shared" si="122"/>
        <v>-121.96787105821565</v>
      </c>
      <c r="AE336" s="39">
        <f t="shared" si="123"/>
        <v>53.271201372948596</v>
      </c>
      <c r="AF336" s="39">
        <f t="shared" si="124"/>
        <v>-30.753872580830045</v>
      </c>
      <c r="AG336" s="39">
        <f t="shared" si="125"/>
        <v>34.690544160722119</v>
      </c>
      <c r="AH336" s="39">
        <f t="shared" si="126"/>
        <v>-38.253627840672046</v>
      </c>
      <c r="AI336" s="39">
        <f t="shared" si="127"/>
        <v>42.071906744027046</v>
      </c>
      <c r="AJ336" s="39">
        <f t="shared" si="128"/>
        <v>-52.96037063671357</v>
      </c>
      <c r="AK336" s="37">
        <f t="shared" si="129"/>
        <v>91442.93505922427</v>
      </c>
      <c r="AL336" s="37">
        <f t="shared" si="130"/>
        <v>58343.777889415549</v>
      </c>
      <c r="AM336" s="37">
        <f t="shared" si="131"/>
        <v>87124.877215291082</v>
      </c>
    </row>
    <row r="337" spans="12:39">
      <c r="L337">
        <v>333</v>
      </c>
      <c r="M337" s="37">
        <f t="shared" si="116"/>
        <v>2.0923007072908155</v>
      </c>
      <c r="N337" s="37">
        <f t="shared" si="110"/>
        <v>17509.074473302488</v>
      </c>
      <c r="O337" s="37">
        <f t="shared" si="111"/>
        <v>11835.353505822417</v>
      </c>
      <c r="R337" s="37">
        <f t="shared" si="112"/>
        <v>-21743.647868688258</v>
      </c>
      <c r="S337" s="37">
        <f t="shared" si="113"/>
        <v>13034.747454075692</v>
      </c>
      <c r="V337" s="37">
        <f t="shared" si="114"/>
        <v>-7490.9255266975115</v>
      </c>
      <c r="W337" s="37">
        <f t="shared" si="115"/>
        <v>-10664.646494177583</v>
      </c>
      <c r="Y337" s="37">
        <f t="shared" si="117"/>
        <v>-60206.168320044213</v>
      </c>
      <c r="Z337" s="37">
        <f t="shared" si="118"/>
        <v>53312.535985755836</v>
      </c>
      <c r="AA337" s="37">
        <f t="shared" si="119"/>
        <v>-1993.0964686022785</v>
      </c>
      <c r="AB337" s="37">
        <f t="shared" si="120"/>
        <v>156.70660399347435</v>
      </c>
      <c r="AC337" s="37">
        <f t="shared" si="121"/>
        <v>128.47315546075953</v>
      </c>
      <c r="AD337" s="37">
        <f t="shared" si="122"/>
        <v>-118.59913170598081</v>
      </c>
      <c r="AE337" s="39">
        <f t="shared" si="123"/>
        <v>52.366432440045564</v>
      </c>
      <c r="AF337" s="39">
        <f t="shared" si="124"/>
        <v>-29.910904869964956</v>
      </c>
      <c r="AG337" s="39">
        <f t="shared" si="125"/>
        <v>34.26118652548724</v>
      </c>
      <c r="AH337" s="39">
        <f t="shared" si="126"/>
        <v>-36.908239116137374</v>
      </c>
      <c r="AI337" s="39">
        <f t="shared" si="127"/>
        <v>41.84553649522671</v>
      </c>
      <c r="AJ337" s="39">
        <f t="shared" si="128"/>
        <v>-51.779987719878477</v>
      </c>
      <c r="AK337" s="37">
        <f t="shared" si="129"/>
        <v>92367.840128636963</v>
      </c>
      <c r="AL337" s="37">
        <f t="shared" si="130"/>
        <v>59097.47663392339</v>
      </c>
      <c r="AM337" s="37">
        <f t="shared" si="131"/>
        <v>87831.222201368917</v>
      </c>
    </row>
    <row r="338" spans="12:39">
      <c r="L338">
        <v>334</v>
      </c>
      <c r="M338" s="37">
        <f t="shared" si="116"/>
        <v>2.0985838925979952</v>
      </c>
      <c r="N338" s="37">
        <f t="shared" si="110"/>
        <v>17481.883991821138</v>
      </c>
      <c r="O338" s="37">
        <f t="shared" si="111"/>
        <v>11819.617085964142</v>
      </c>
      <c r="R338" s="37">
        <f t="shared" si="112"/>
        <v>-21762.681205725203</v>
      </c>
      <c r="S338" s="37">
        <f t="shared" si="113"/>
        <v>13023.7319601749</v>
      </c>
      <c r="V338" s="37">
        <f t="shared" si="114"/>
        <v>-7518.1160081788621</v>
      </c>
      <c r="W338" s="37">
        <f t="shared" si="115"/>
        <v>-10680.382914035858</v>
      </c>
      <c r="Y338" s="37">
        <f t="shared" si="117"/>
        <v>-61186.657409912754</v>
      </c>
      <c r="Z338" s="37">
        <f t="shared" si="118"/>
        <v>53376.064396289323</v>
      </c>
      <c r="AA338" s="37">
        <f t="shared" si="119"/>
        <v>-1928.8598908718986</v>
      </c>
      <c r="AB338" s="37">
        <f t="shared" si="120"/>
        <v>97.407038140483934</v>
      </c>
      <c r="AC338" s="37">
        <f t="shared" si="121"/>
        <v>127.03883122592801</v>
      </c>
      <c r="AD338" s="37">
        <f t="shared" si="122"/>
        <v>-115.46105832856061</v>
      </c>
      <c r="AE338" s="39">
        <f t="shared" si="123"/>
        <v>51.530439801834198</v>
      </c>
      <c r="AF338" s="39">
        <f t="shared" si="124"/>
        <v>-29.11825477408328</v>
      </c>
      <c r="AG338" s="39">
        <f t="shared" si="125"/>
        <v>33.865665944244988</v>
      </c>
      <c r="AH338" s="39">
        <f t="shared" si="126"/>
        <v>-35.665902483925429</v>
      </c>
      <c r="AI338" s="39">
        <f t="shared" si="127"/>
        <v>41.642725479848821</v>
      </c>
      <c r="AJ338" s="39">
        <f t="shared" si="128"/>
        <v>-50.676901070551907</v>
      </c>
      <c r="AK338" s="37">
        <f t="shared" si="129"/>
        <v>93251.737924217945</v>
      </c>
      <c r="AL338" s="37">
        <f t="shared" si="130"/>
        <v>59814.91211322273</v>
      </c>
      <c r="AM338" s="37">
        <f t="shared" si="131"/>
        <v>88499.868097214741</v>
      </c>
    </row>
    <row r="339" spans="12:39">
      <c r="L339">
        <v>335</v>
      </c>
      <c r="M339" s="37">
        <f t="shared" si="116"/>
        <v>2.1048670779051748</v>
      </c>
      <c r="N339" s="37">
        <f t="shared" si="110"/>
        <v>17454.792921248085</v>
      </c>
      <c r="O339" s="37">
        <f t="shared" si="111"/>
        <v>11803.710135019684</v>
      </c>
      <c r="R339" s="37">
        <f t="shared" si="112"/>
        <v>-21781.644955126339</v>
      </c>
      <c r="S339" s="37">
        <f t="shared" si="113"/>
        <v>13012.59709451378</v>
      </c>
      <c r="V339" s="37">
        <f t="shared" si="114"/>
        <v>-7545.2070787519133</v>
      </c>
      <c r="W339" s="37">
        <f t="shared" si="115"/>
        <v>-10696.289864980316</v>
      </c>
      <c r="Y339" s="37">
        <f t="shared" si="117"/>
        <v>-62135.20750144546</v>
      </c>
      <c r="Z339" s="37">
        <f t="shared" si="118"/>
        <v>53410.335283068496</v>
      </c>
      <c r="AA339" s="37">
        <f t="shared" si="119"/>
        <v>-1865.3404752589347</v>
      </c>
      <c r="AB339" s="37">
        <f t="shared" si="120"/>
        <v>39.676508976203628</v>
      </c>
      <c r="AC339" s="37">
        <f t="shared" si="121"/>
        <v>125.72410135737883</v>
      </c>
      <c r="AD339" s="37">
        <f t="shared" si="122"/>
        <v>-112.53400527662734</v>
      </c>
      <c r="AE339" s="39">
        <f t="shared" si="123"/>
        <v>50.758163054120359</v>
      </c>
      <c r="AF339" s="39">
        <f t="shared" si="124"/>
        <v>-28.371807353458202</v>
      </c>
      <c r="AG339" s="39">
        <f t="shared" si="125"/>
        <v>33.50286717527888</v>
      </c>
      <c r="AH339" s="39">
        <f t="shared" si="126"/>
        <v>-34.516756490948175</v>
      </c>
      <c r="AI339" s="39">
        <f t="shared" si="127"/>
        <v>41.463071127979596</v>
      </c>
      <c r="AJ339" s="39">
        <f t="shared" si="128"/>
        <v>-49.645441432220956</v>
      </c>
      <c r="AK339" s="37">
        <f t="shared" si="129"/>
        <v>94095.436643384921</v>
      </c>
      <c r="AL339" s="37">
        <f t="shared" si="130"/>
        <v>60496.552964431678</v>
      </c>
      <c r="AM339" s="37">
        <f t="shared" si="131"/>
        <v>89131.396879971973</v>
      </c>
    </row>
    <row r="340" spans="12:39">
      <c r="L340">
        <v>336</v>
      </c>
      <c r="M340" s="37">
        <f t="shared" si="116"/>
        <v>2.1111502632123544</v>
      </c>
      <c r="N340" s="37">
        <f t="shared" si="110"/>
        <v>17427.802331092411</v>
      </c>
      <c r="O340" s="37">
        <f t="shared" si="111"/>
        <v>11787.633280968226</v>
      </c>
      <c r="R340" s="37">
        <f t="shared" si="112"/>
        <v>-21800.538368235313</v>
      </c>
      <c r="S340" s="37">
        <f t="shared" si="113"/>
        <v>13001.343296677758</v>
      </c>
      <c r="V340" s="37">
        <f t="shared" si="114"/>
        <v>-7572.19766890759</v>
      </c>
      <c r="W340" s="37">
        <f t="shared" si="115"/>
        <v>-10712.366719031774</v>
      </c>
      <c r="Y340" s="37">
        <f t="shared" si="117"/>
        <v>-63052.162226405257</v>
      </c>
      <c r="Z340" s="37">
        <f t="shared" si="118"/>
        <v>53416.10678689702</v>
      </c>
      <c r="AA340" s="37">
        <f t="shared" si="119"/>
        <v>-1802.4784245802452</v>
      </c>
      <c r="AB340" s="37">
        <f t="shared" si="120"/>
        <v>-16.590493662110042</v>
      </c>
      <c r="AC340" s="37">
        <f t="shared" si="121"/>
        <v>124.52302367117736</v>
      </c>
      <c r="AD340" s="37">
        <f t="shared" si="122"/>
        <v>-109.80052582760911</v>
      </c>
      <c r="AE340" s="39">
        <f t="shared" si="123"/>
        <v>50.045108742072024</v>
      </c>
      <c r="AF340" s="39">
        <f t="shared" si="124"/>
        <v>-27.667871558824693</v>
      </c>
      <c r="AG340" s="39">
        <f t="shared" si="125"/>
        <v>33.171710306496777</v>
      </c>
      <c r="AH340" s="39">
        <f t="shared" si="126"/>
        <v>-33.452129753603046</v>
      </c>
      <c r="AI340" s="39">
        <f t="shared" si="127"/>
        <v>41.306204622608561</v>
      </c>
      <c r="AJ340" s="39">
        <f t="shared" si="128"/>
        <v>-48.680524515181375</v>
      </c>
      <c r="AK340" s="37">
        <f t="shared" si="129"/>
        <v>94899.686579813671</v>
      </c>
      <c r="AL340" s="37">
        <f t="shared" si="130"/>
        <v>61142.840961963491</v>
      </c>
      <c r="AM340" s="37">
        <f t="shared" si="131"/>
        <v>89726.346225826957</v>
      </c>
    </row>
    <row r="341" spans="12:39">
      <c r="L341">
        <v>337</v>
      </c>
      <c r="M341" s="37">
        <f t="shared" si="116"/>
        <v>2.1174334485195341</v>
      </c>
      <c r="N341" s="37">
        <f t="shared" si="110"/>
        <v>17400.913286896393</v>
      </c>
      <c r="O341" s="37">
        <f t="shared" si="111"/>
        <v>11771.38715849644</v>
      </c>
      <c r="R341" s="37">
        <f t="shared" si="112"/>
        <v>-21819.360699172525</v>
      </c>
      <c r="S341" s="37">
        <f t="shared" si="113"/>
        <v>12989.971010947509</v>
      </c>
      <c r="V341" s="37">
        <f t="shared" si="114"/>
        <v>-7599.0867131036048</v>
      </c>
      <c r="W341" s="37">
        <f t="shared" si="115"/>
        <v>-10728.61284150356</v>
      </c>
      <c r="Y341" s="37">
        <f t="shared" si="117"/>
        <v>-63937.836060736481</v>
      </c>
      <c r="Z341" s="37">
        <f t="shared" si="118"/>
        <v>53394.086474337513</v>
      </c>
      <c r="AA341" s="37">
        <f t="shared" si="119"/>
        <v>-1740.2169127446566</v>
      </c>
      <c r="AB341" s="37">
        <f t="shared" si="120"/>
        <v>-71.490756575914588</v>
      </c>
      <c r="AC341" s="37">
        <f t="shared" si="121"/>
        <v>123.43024289134598</v>
      </c>
      <c r="AD341" s="37">
        <f t="shared" si="122"/>
        <v>-107.24508323896076</v>
      </c>
      <c r="AE341" s="39">
        <f t="shared" si="123"/>
        <v>49.387279221302663</v>
      </c>
      <c r="AF341" s="39">
        <f t="shared" si="124"/>
        <v>-27.003127191349584</v>
      </c>
      <c r="AG341" s="39">
        <f t="shared" si="125"/>
        <v>32.871168694585897</v>
      </c>
      <c r="AH341" s="39">
        <f t="shared" si="126"/>
        <v>-32.464373868426854</v>
      </c>
      <c r="AI341" s="39">
        <f t="shared" si="127"/>
        <v>41.171794975457431</v>
      </c>
      <c r="AJ341" s="39">
        <f t="shared" si="128"/>
        <v>-47.777582179184321</v>
      </c>
      <c r="AK341" s="37">
        <f t="shared" si="129"/>
        <v>95665.18434557601</v>
      </c>
      <c r="AL341" s="37">
        <f t="shared" si="130"/>
        <v>61754.191587635869</v>
      </c>
      <c r="AM341" s="37">
        <f t="shared" si="131"/>
        <v>90285.212433606241</v>
      </c>
    </row>
    <row r="342" spans="12:39">
      <c r="L342">
        <v>338</v>
      </c>
      <c r="M342" s="37">
        <f t="shared" si="116"/>
        <v>2.1237166338267137</v>
      </c>
      <c r="N342" s="37">
        <f t="shared" si="110"/>
        <v>17374.126850193465</v>
      </c>
      <c r="O342" s="37">
        <f t="shared" si="111"/>
        <v>11754.972408973423</v>
      </c>
      <c r="R342" s="37">
        <f t="shared" si="112"/>
        <v>-21838.111204864574</v>
      </c>
      <c r="S342" s="37">
        <f t="shared" si="113"/>
        <v>12978.480686281397</v>
      </c>
      <c r="V342" s="37">
        <f t="shared" si="114"/>
        <v>-7625.8731498065354</v>
      </c>
      <c r="W342" s="37">
        <f t="shared" si="115"/>
        <v>-10745.027591026577</v>
      </c>
      <c r="Y342" s="37">
        <f t="shared" si="117"/>
        <v>-64792.515736747388</v>
      </c>
      <c r="Z342" s="37">
        <f t="shared" si="118"/>
        <v>53344.93546064468</v>
      </c>
      <c r="AA342" s="37">
        <f t="shared" si="119"/>
        <v>-1678.5017912989836</v>
      </c>
      <c r="AB342" s="37">
        <f t="shared" si="120"/>
        <v>-125.11329819539498</v>
      </c>
      <c r="AC342" s="37">
        <f t="shared" si="121"/>
        <v>122.44094560725085</v>
      </c>
      <c r="AD342" s="37">
        <f t="shared" si="122"/>
        <v>-104.85380568378648</v>
      </c>
      <c r="AE342" s="39">
        <f t="shared" si="123"/>
        <v>48.781112295900002</v>
      </c>
      <c r="AF342" s="39">
        <f t="shared" si="124"/>
        <v>-26.374579471697398</v>
      </c>
      <c r="AG342" s="39">
        <f t="shared" si="125"/>
        <v>32.600281181568832</v>
      </c>
      <c r="AH342" s="39">
        <f t="shared" si="126"/>
        <v>-31.546722941813041</v>
      </c>
      <c r="AI342" s="39">
        <f t="shared" si="127"/>
        <v>41.05955212978202</v>
      </c>
      <c r="AJ342" s="39">
        <f t="shared" si="128"/>
        <v>-46.93250327027603</v>
      </c>
      <c r="AK342" s="37">
        <f t="shared" si="129"/>
        <v>96392.576645492925</v>
      </c>
      <c r="AL342" s="37">
        <f t="shared" si="130"/>
        <v>62330.994666491686</v>
      </c>
      <c r="AM342" s="37">
        <f t="shared" si="131"/>
        <v>90808.453027506592</v>
      </c>
    </row>
    <row r="343" spans="12:39">
      <c r="L343">
        <v>339</v>
      </c>
      <c r="M343" s="37">
        <f t="shared" si="116"/>
        <v>2.1299998191338934</v>
      </c>
      <c r="N343" s="37">
        <f t="shared" si="110"/>
        <v>17347.444078466273</v>
      </c>
      <c r="O343" s="37">
        <f t="shared" si="111"/>
        <v>11738.38968042538</v>
      </c>
      <c r="R343" s="37">
        <f t="shared" si="112"/>
        <v>-21856.78914507361</v>
      </c>
      <c r="S343" s="37">
        <f t="shared" si="113"/>
        <v>12966.872776297765</v>
      </c>
      <c r="V343" s="37">
        <f t="shared" si="114"/>
        <v>-7652.5559215337271</v>
      </c>
      <c r="W343" s="37">
        <f t="shared" si="115"/>
        <v>-10761.61031957462</v>
      </c>
      <c r="Y343" s="37">
        <f t="shared" si="117"/>
        <v>-65616.461514195966</v>
      </c>
      <c r="Z343" s="37">
        <f t="shared" si="118"/>
        <v>53269.272085836506</v>
      </c>
      <c r="AA343" s="37">
        <f t="shared" si="119"/>
        <v>-1617.2813184953582</v>
      </c>
      <c r="AB343" s="37">
        <f t="shared" si="120"/>
        <v>-177.54020103728823</v>
      </c>
      <c r="AC343" s="37">
        <f t="shared" si="121"/>
        <v>121.5508193778725</v>
      </c>
      <c r="AD343" s="37">
        <f t="shared" si="122"/>
        <v>-102.61427762638561</v>
      </c>
      <c r="AE343" s="39">
        <f t="shared" si="123"/>
        <v>48.223429815705835</v>
      </c>
      <c r="AF343" s="39">
        <f t="shared" si="124"/>
        <v>-25.779519979125929</v>
      </c>
      <c r="AG343" s="39">
        <f t="shared" si="125"/>
        <v>32.358160205853743</v>
      </c>
      <c r="AH343" s="39">
        <f t="shared" si="126"/>
        <v>-30.693175044023391</v>
      </c>
      <c r="AI343" s="39">
        <f t="shared" si="127"/>
        <v>40.969229356312916</v>
      </c>
      <c r="AJ343" s="39">
        <f t="shared" si="128"/>
        <v>-46.141582603236294</v>
      </c>
      <c r="AK343" s="37">
        <f t="shared" si="129"/>
        <v>97082.463655796935</v>
      </c>
      <c r="AL343" s="37">
        <f t="shared" si="130"/>
        <v>62873.615037742755</v>
      </c>
      <c r="AM343" s="37">
        <f t="shared" si="131"/>
        <v>91296.489076152197</v>
      </c>
    </row>
    <row r="344" spans="12:39">
      <c r="L344">
        <v>340</v>
      </c>
      <c r="M344" s="37">
        <f t="shared" si="116"/>
        <v>2.136283004441073</v>
      </c>
      <c r="N344" s="37">
        <f t="shared" si="110"/>
        <v>17320.866025104959</v>
      </c>
      <c r="O344" s="37">
        <f t="shared" si="111"/>
        <v>11721.639627510038</v>
      </c>
      <c r="R344" s="37">
        <f t="shared" si="112"/>
        <v>-21875.393782426527</v>
      </c>
      <c r="S344" s="37">
        <f t="shared" si="113"/>
        <v>12955.147739257027</v>
      </c>
      <c r="V344" s="37">
        <f t="shared" si="114"/>
        <v>-7679.1339748950404</v>
      </c>
      <c r="W344" s="37">
        <f t="shared" si="115"/>
        <v>-10778.360372489962</v>
      </c>
      <c r="Y344" s="37">
        <f t="shared" si="117"/>
        <v>-66409.908321021416</v>
      </c>
      <c r="Z344" s="37">
        <f t="shared" si="118"/>
        <v>53167.675200614562</v>
      </c>
      <c r="AA344" s="37">
        <f t="shared" si="119"/>
        <v>-1556.505908806422</v>
      </c>
      <c r="AB344" s="37">
        <f t="shared" si="120"/>
        <v>-228.84733985048103</v>
      </c>
      <c r="AC344" s="37">
        <f t="shared" si="121"/>
        <v>120.75601590576744</v>
      </c>
      <c r="AD344" s="37">
        <f t="shared" si="122"/>
        <v>-100.51536158134346</v>
      </c>
      <c r="AE344" s="39">
        <f t="shared" si="123"/>
        <v>47.711393759016637</v>
      </c>
      <c r="AF344" s="39">
        <f t="shared" si="124"/>
        <v>-25.215492943942113</v>
      </c>
      <c r="AG344" s="39">
        <f t="shared" si="125"/>
        <v>32.143996996966443</v>
      </c>
      <c r="AH344" s="39">
        <f t="shared" si="126"/>
        <v>-29.898391792040467</v>
      </c>
      <c r="AI344" s="39">
        <f t="shared" si="127"/>
        <v>40.900625149784368</v>
      </c>
      <c r="AJ344" s="39">
        <f t="shared" si="128"/>
        <v>-45.401476845360875</v>
      </c>
      <c r="AK344" s="37">
        <f t="shared" si="129"/>
        <v>97735.40205205149</v>
      </c>
      <c r="AL344" s="37">
        <f t="shared" si="130"/>
        <v>63382.393238117533</v>
      </c>
      <c r="AM344" s="37">
        <f t="shared" si="131"/>
        <v>91749.70725976587</v>
      </c>
    </row>
    <row r="345" spans="12:39">
      <c r="L345">
        <v>341</v>
      </c>
      <c r="M345" s="37">
        <f t="shared" si="116"/>
        <v>2.1425661897482526</v>
      </c>
      <c r="N345" s="37">
        <f t="shared" si="110"/>
        <v>17294.393739365565</v>
      </c>
      <c r="O345" s="37">
        <f t="shared" si="111"/>
        <v>11704.722911490808</v>
      </c>
      <c r="R345" s="37">
        <f t="shared" si="112"/>
        <v>-21893.924382444107</v>
      </c>
      <c r="S345" s="37">
        <f t="shared" si="113"/>
        <v>12943.306038043565</v>
      </c>
      <c r="V345" s="37">
        <f t="shared" si="114"/>
        <v>-7705.6062606344367</v>
      </c>
      <c r="W345" s="37">
        <f t="shared" si="115"/>
        <v>-10795.277088509192</v>
      </c>
      <c r="Y345" s="37">
        <f t="shared" si="117"/>
        <v>-67173.066773436411</v>
      </c>
      <c r="Z345" s="37">
        <f t="shared" si="118"/>
        <v>53040.68711049165</v>
      </c>
      <c r="AA345" s="37">
        <f t="shared" si="119"/>
        <v>-1496.1279008535382</v>
      </c>
      <c r="AB345" s="37">
        <f t="shared" si="120"/>
        <v>-279.10502064115275</v>
      </c>
      <c r="AC345" s="37">
        <f t="shared" si="121"/>
        <v>120.05311812038244</v>
      </c>
      <c r="AD345" s="37">
        <f t="shared" si="122"/>
        <v>-98.547045307109244</v>
      </c>
      <c r="AE345" s="39">
        <f t="shared" si="123"/>
        <v>47.242468599849644</v>
      </c>
      <c r="AF345" s="39">
        <f t="shared" si="124"/>
        <v>-24.680266055393332</v>
      </c>
      <c r="AG345" s="39">
        <f t="shared" si="125"/>
        <v>31.957064731593313</v>
      </c>
      <c r="AH345" s="39">
        <f t="shared" si="126"/>
        <v>-29.157612980480771</v>
      </c>
      <c r="AI345" s="39">
        <f t="shared" si="127"/>
        <v>40.853584788939493</v>
      </c>
      <c r="AJ345" s="39">
        <f t="shared" si="128"/>
        <v>-44.709166271235134</v>
      </c>
      <c r="AK345" s="37">
        <f t="shared" si="129"/>
        <v>98351.907725176861</v>
      </c>
      <c r="AL345" s="37">
        <f t="shared" si="130"/>
        <v>63857.64618081638</v>
      </c>
      <c r="AM345" s="37">
        <f t="shared" si="131"/>
        <v>92168.461712681354</v>
      </c>
    </row>
    <row r="346" spans="12:39">
      <c r="L346">
        <v>342</v>
      </c>
      <c r="M346" s="37">
        <f t="shared" si="116"/>
        <v>2.1488493750554323</v>
      </c>
      <c r="N346" s="37">
        <f t="shared" si="110"/>
        <v>17268.028266328598</v>
      </c>
      <c r="O346" s="37">
        <f t="shared" si="111"/>
        <v>11687.64020021067</v>
      </c>
      <c r="R346" s="37">
        <f t="shared" si="112"/>
        <v>-21912.380213569981</v>
      </c>
      <c r="S346" s="37">
        <f t="shared" si="113"/>
        <v>12931.348140147469</v>
      </c>
      <c r="V346" s="37">
        <f t="shared" si="114"/>
        <v>-7731.9717336714029</v>
      </c>
      <c r="W346" s="37">
        <f t="shared" si="115"/>
        <v>-10812.35979978933</v>
      </c>
      <c r="Y346" s="37">
        <f t="shared" si="117"/>
        <v>-67906.124084098134</v>
      </c>
      <c r="Z346" s="37">
        <f t="shared" si="118"/>
        <v>52888.816219507687</v>
      </c>
      <c r="AA346" s="37">
        <f t="shared" si="119"/>
        <v>-1436.101341793347</v>
      </c>
      <c r="AB346" s="37">
        <f t="shared" si="120"/>
        <v>-328.37854329470736</v>
      </c>
      <c r="AC346" s="37">
        <f t="shared" si="121"/>
        <v>119.43911096684937</v>
      </c>
      <c r="AD346" s="37">
        <f t="shared" si="122"/>
        <v>-96.700310373254212</v>
      </c>
      <c r="AE346" s="39">
        <f t="shared" si="123"/>
        <v>46.814388976839581</v>
      </c>
      <c r="AF346" s="39">
        <f t="shared" si="124"/>
        <v>-24.171805091366721</v>
      </c>
      <c r="AG346" s="39">
        <f t="shared" si="125"/>
        <v>31.796720300948575</v>
      </c>
      <c r="AH346" s="39">
        <f t="shared" si="126"/>
        <v>-28.466583749845555</v>
      </c>
      <c r="AI346" s="39">
        <f t="shared" si="127"/>
        <v>40.828001689061203</v>
      </c>
      <c r="AJ346" s="39">
        <f t="shared" si="128"/>
        <v>-44.061921532041936</v>
      </c>
      <c r="AK346" s="37">
        <f t="shared" si="129"/>
        <v>98932.458219216918</v>
      </c>
      <c r="AL346" s="37">
        <f t="shared" si="130"/>
        <v>64299.667817740032</v>
      </c>
      <c r="AM346" s="37">
        <f t="shared" si="131"/>
        <v>92553.075664561475</v>
      </c>
    </row>
    <row r="347" spans="12:39">
      <c r="L347">
        <v>343</v>
      </c>
      <c r="M347" s="37">
        <f t="shared" si="116"/>
        <v>2.1551325603626119</v>
      </c>
      <c r="N347" s="37">
        <f t="shared" si="110"/>
        <v>17241.770646857793</v>
      </c>
      <c r="O347" s="37">
        <f t="shared" si="111"/>
        <v>11670.392168065817</v>
      </c>
      <c r="R347" s="37">
        <f t="shared" si="112"/>
        <v>-21930.760547199545</v>
      </c>
      <c r="S347" s="37">
        <f t="shared" si="113"/>
        <v>12919.274517646072</v>
      </c>
      <c r="V347" s="37">
        <f t="shared" si="114"/>
        <v>-7758.2293531422092</v>
      </c>
      <c r="W347" s="37">
        <f t="shared" si="115"/>
        <v>-10829.607831934183</v>
      </c>
      <c r="Y347" s="37">
        <f t="shared" si="117"/>
        <v>-68609.244866123947</v>
      </c>
      <c r="Z347" s="37">
        <f t="shared" si="118"/>
        <v>52712.539409063676</v>
      </c>
      <c r="AA347" s="37">
        <f t="shared" si="119"/>
        <v>-1376.3817863099223</v>
      </c>
      <c r="AB347" s="37">
        <f t="shared" si="120"/>
        <v>-376.72869848133445</v>
      </c>
      <c r="AC347" s="37">
        <f t="shared" si="121"/>
        <v>118.91135567906565</v>
      </c>
      <c r="AD347" s="37">
        <f t="shared" si="122"/>
        <v>-94.967018756114129</v>
      </c>
      <c r="AE347" s="39">
        <f t="shared" si="123"/>
        <v>46.425131855796728</v>
      </c>
      <c r="AF347" s="39">
        <f t="shared" si="124"/>
        <v>-23.68825179328045</v>
      </c>
      <c r="AG347" s="39">
        <f t="shared" si="125"/>
        <v>31.662405172822929</v>
      </c>
      <c r="AH347" s="39">
        <f t="shared" si="126"/>
        <v>-27.821492237836082</v>
      </c>
      <c r="AI347" s="39">
        <f t="shared" si="127"/>
        <v>40.823818650445979</v>
      </c>
      <c r="AJ347" s="39">
        <f t="shared" si="128"/>
        <v>-43.457274724997603</v>
      </c>
      <c r="AK347" s="37">
        <f t="shared" si="129"/>
        <v>99477.494920011173</v>
      </c>
      <c r="AL347" s="37">
        <f t="shared" si="130"/>
        <v>64708.729776017193</v>
      </c>
      <c r="AM347" s="37">
        <f t="shared" si="131"/>
        <v>92903.842900401694</v>
      </c>
    </row>
    <row r="348" spans="12:39">
      <c r="L348">
        <v>344</v>
      </c>
      <c r="M348" s="37">
        <f t="shared" si="116"/>
        <v>2.1614157456697916</v>
      </c>
      <c r="N348" s="37">
        <f t="shared" si="110"/>
        <v>17215.621917559001</v>
      </c>
      <c r="O348" s="37">
        <f t="shared" si="111"/>
        <v>11652.979495979023</v>
      </c>
      <c r="R348" s="37">
        <f t="shared" si="112"/>
        <v>-21949.064657708699</v>
      </c>
      <c r="S348" s="37">
        <f t="shared" si="113"/>
        <v>12907.085647185317</v>
      </c>
      <c r="V348" s="37">
        <f t="shared" si="114"/>
        <v>-7784.3780824409969</v>
      </c>
      <c r="W348" s="37">
        <f t="shared" si="115"/>
        <v>-10847.020504020977</v>
      </c>
      <c r="Y348" s="37">
        <f t="shared" si="117"/>
        <v>-69282.571839819022</v>
      </c>
      <c r="Z348" s="37">
        <f t="shared" si="118"/>
        <v>52512.304182478489</v>
      </c>
      <c r="AA348" s="37">
        <f t="shared" si="119"/>
        <v>-1316.9261084703894</v>
      </c>
      <c r="AB348" s="37">
        <f t="shared" si="120"/>
        <v>-424.21220785939153</v>
      </c>
      <c r="AC348" s="37">
        <f t="shared" si="121"/>
        <v>118.46756731559341</v>
      </c>
      <c r="AD348" s="37">
        <f t="shared" si="122"/>
        <v>-93.339814696205934</v>
      </c>
      <c r="AE348" s="39">
        <f t="shared" si="123"/>
        <v>46.072892519166132</v>
      </c>
      <c r="AF348" s="39">
        <f t="shared" si="124"/>
        <v>-23.227904504812116</v>
      </c>
      <c r="AG348" s="39">
        <f t="shared" si="125"/>
        <v>31.553645709490358</v>
      </c>
      <c r="AH348" s="39">
        <f t="shared" si="126"/>
        <v>-27.21891602629757</v>
      </c>
      <c r="AI348" s="39">
        <f t="shared" si="127"/>
        <v>40.841029086936928</v>
      </c>
      <c r="AJ348" s="39">
        <f t="shared" si="128"/>
        <v>-42.892994165096241</v>
      </c>
      <c r="AK348" s="37">
        <f t="shared" si="129"/>
        <v>99987.425020091468</v>
      </c>
      <c r="AL348" s="37">
        <f t="shared" si="130"/>
        <v>65085.081962385979</v>
      </c>
      <c r="AM348" s="37">
        <f t="shared" si="131"/>
        <v>93221.029056586776</v>
      </c>
    </row>
    <row r="349" spans="12:39">
      <c r="L349">
        <v>345</v>
      </c>
      <c r="M349" s="37">
        <f t="shared" si="116"/>
        <v>2.1676989309769712</v>
      </c>
      <c r="N349" s="37">
        <f t="shared" si="110"/>
        <v>17189.583110739291</v>
      </c>
      <c r="O349" s="37">
        <f t="shared" si="111"/>
        <v>11635.402871372771</v>
      </c>
      <c r="R349" s="37">
        <f t="shared" si="112"/>
        <v>-21967.291822482497</v>
      </c>
      <c r="S349" s="37">
        <f t="shared" si="113"/>
        <v>12894.78200996094</v>
      </c>
      <c r="V349" s="37">
        <f t="shared" si="114"/>
        <v>-7810.4168892607104</v>
      </c>
      <c r="W349" s="37">
        <f t="shared" si="115"/>
        <v>-10864.597128627229</v>
      </c>
      <c r="Y349" s="37">
        <f t="shared" si="117"/>
        <v>-69926.226448139772</v>
      </c>
      <c r="Z349" s="37">
        <f t="shared" si="118"/>
        <v>52288.530601711762</v>
      </c>
      <c r="AA349" s="37">
        <f t="shared" si="119"/>
        <v>-1257.6923248125927</v>
      </c>
      <c r="AB349" s="37">
        <f t="shared" si="120"/>
        <v>-470.88211520749451</v>
      </c>
      <c r="AC349" s="37">
        <f t="shared" si="121"/>
        <v>118.10579534759589</v>
      </c>
      <c r="AD349" s="37">
        <f t="shared" si="122"/>
        <v>-91.812039520712489</v>
      </c>
      <c r="AE349" s="39">
        <f t="shared" si="123"/>
        <v>45.756063830231177</v>
      </c>
      <c r="AF349" s="39">
        <f t="shared" si="124"/>
        <v>-22.789201170984736</v>
      </c>
      <c r="AG349" s="39">
        <f t="shared" si="125"/>
        <v>31.470053213117875</v>
      </c>
      <c r="AH349" s="39">
        <f t="shared" si="126"/>
        <v>-26.655775992259446</v>
      </c>
      <c r="AI349" s="39">
        <f t="shared" si="127"/>
        <v>40.879678304246838</v>
      </c>
      <c r="AJ349" s="39">
        <f t="shared" si="128"/>
        <v>-42.367062357468313</v>
      </c>
      <c r="AK349" s="37">
        <f t="shared" si="129"/>
        <v>100462.62328180857</v>
      </c>
      <c r="AL349" s="37">
        <f t="shared" si="130"/>
        <v>65428.953130879629</v>
      </c>
      <c r="AM349" s="37">
        <f t="shared" si="131"/>
        <v>93504.872767854336</v>
      </c>
    </row>
    <row r="350" spans="12:39">
      <c r="L350">
        <v>346</v>
      </c>
      <c r="M350" s="37">
        <f t="shared" si="116"/>
        <v>2.1739821162841508</v>
      </c>
      <c r="N350" s="37">
        <f t="shared" si="110"/>
        <v>17163.65525436616</v>
      </c>
      <c r="O350" s="37">
        <f t="shared" si="111"/>
        <v>11617.662988142098</v>
      </c>
      <c r="R350" s="37">
        <f t="shared" si="112"/>
        <v>-21985.441321943686</v>
      </c>
      <c r="S350" s="37">
        <f t="shared" si="113"/>
        <v>12882.364091699468</v>
      </c>
      <c r="V350" s="37">
        <f t="shared" si="114"/>
        <v>-7836.3447456338399</v>
      </c>
      <c r="W350" s="37">
        <f t="shared" si="115"/>
        <v>-10882.337011857902</v>
      </c>
      <c r="Y350" s="37">
        <f t="shared" si="117"/>
        <v>-70540.309386127614</v>
      </c>
      <c r="Z350" s="37">
        <f t="shared" si="118"/>
        <v>52041.613039167925</v>
      </c>
      <c r="AA350" s="37">
        <f t="shared" si="119"/>
        <v>-1198.6394271387946</v>
      </c>
      <c r="AB350" s="37">
        <f t="shared" si="120"/>
        <v>-516.78813496785074</v>
      </c>
      <c r="AC350" s="37">
        <f t="shared" si="121"/>
        <v>117.82440710551285</v>
      </c>
      <c r="AD350" s="37">
        <f t="shared" si="122"/>
        <v>-90.377657517342698</v>
      </c>
      <c r="AE350" s="39">
        <f t="shared" si="123"/>
        <v>45.473218313360881</v>
      </c>
      <c r="AF350" s="39">
        <f t="shared" si="124"/>
        <v>-22.370704358004545</v>
      </c>
      <c r="AG350" s="39">
        <f t="shared" si="125"/>
        <v>31.411323904900829</v>
      </c>
      <c r="AH350" s="39">
        <f t="shared" si="126"/>
        <v>-26.129296411079778</v>
      </c>
      <c r="AI350" s="39">
        <f t="shared" si="127"/>
        <v>40.939864887251133</v>
      </c>
      <c r="AJ350" s="39">
        <f t="shared" si="128"/>
        <v>-41.877656748258367</v>
      </c>
      <c r="AK350" s="37">
        <f t="shared" si="129"/>
        <v>100903.43361782434</v>
      </c>
      <c r="AL350" s="37">
        <f t="shared" si="130"/>
        <v>65740.551410682849</v>
      </c>
      <c r="AM350" s="37">
        <f t="shared" si="131"/>
        <v>93755.586677930056</v>
      </c>
    </row>
    <row r="351" spans="12:39">
      <c r="L351">
        <v>347</v>
      </c>
      <c r="M351" s="37">
        <f t="shared" si="116"/>
        <v>2.1802653015913305</v>
      </c>
      <c r="N351" s="37">
        <f t="shared" si="110"/>
        <v>17137.839372026989</v>
      </c>
      <c r="O351" s="37">
        <f t="shared" si="111"/>
        <v>11599.760546627222</v>
      </c>
      <c r="R351" s="37">
        <f t="shared" si="112"/>
        <v>-22003.512439581107</v>
      </c>
      <c r="S351" s="37">
        <f t="shared" si="113"/>
        <v>12869.832382639055</v>
      </c>
      <c r="V351" s="37">
        <f t="shared" si="114"/>
        <v>-7862.1606279730113</v>
      </c>
      <c r="W351" s="37">
        <f t="shared" si="115"/>
        <v>-10900.239453372778</v>
      </c>
      <c r="Y351" s="37">
        <f t="shared" si="117"/>
        <v>-71124.90104880881</v>
      </c>
      <c r="Z351" s="37">
        <f t="shared" si="118"/>
        <v>51771.921764494335</v>
      </c>
      <c r="AA351" s="37">
        <f t="shared" si="119"/>
        <v>-1139.7272235860382</v>
      </c>
      <c r="AB351" s="37">
        <f t="shared" si="120"/>
        <v>-561.97696372652206</v>
      </c>
      <c r="AC351" s="37">
        <f t="shared" si="121"/>
        <v>117.62207391286441</v>
      </c>
      <c r="AD351" s="37">
        <f t="shared" si="122"/>
        <v>-89.031191259300527</v>
      </c>
      <c r="AE351" s="39">
        <f t="shared" si="123"/>
        <v>45.223092668254083</v>
      </c>
      <c r="AF351" s="39">
        <f t="shared" si="124"/>
        <v>-21.971088006834041</v>
      </c>
      <c r="AG351" s="39">
        <f t="shared" si="125"/>
        <v>31.377238996645485</v>
      </c>
      <c r="AH351" s="39">
        <f t="shared" si="126"/>
        <v>-25.636970354278159</v>
      </c>
      <c r="AI351" s="39">
        <f t="shared" si="127"/>
        <v>41.021742247964831</v>
      </c>
      <c r="AJ351" s="39">
        <f t="shared" si="128"/>
        <v>-41.423132898188321</v>
      </c>
      <c r="AK351" s="37">
        <f t="shared" si="129"/>
        <v>101310.17050561462</v>
      </c>
      <c r="AL351" s="37">
        <f t="shared" si="130"/>
        <v>66020.064792073084</v>
      </c>
      <c r="AM351" s="37">
        <f t="shared" si="131"/>
        <v>93973.358324785368</v>
      </c>
    </row>
    <row r="352" spans="12:39">
      <c r="L352">
        <v>348</v>
      </c>
      <c r="M352" s="37">
        <f t="shared" si="116"/>
        <v>2.1865484868985101</v>
      </c>
      <c r="N352" s="37">
        <f t="shared" si="110"/>
        <v>17112.136482888603</v>
      </c>
      <c r="O352" s="37">
        <f t="shared" si="111"/>
        <v>11581.69625358588</v>
      </c>
      <c r="R352" s="37">
        <f t="shared" si="112"/>
        <v>-22021.504461977976</v>
      </c>
      <c r="S352" s="37">
        <f t="shared" si="113"/>
        <v>12857.187377510116</v>
      </c>
      <c r="V352" s="37">
        <f t="shared" si="114"/>
        <v>-7887.8635171113947</v>
      </c>
      <c r="W352" s="37">
        <f t="shared" si="115"/>
        <v>-10918.30374641412</v>
      </c>
      <c r="Y352" s="37">
        <f t="shared" si="117"/>
        <v>-71680.061901362715</v>
      </c>
      <c r="Z352" s="37">
        <f t="shared" si="118"/>
        <v>51479.804383723662</v>
      </c>
      <c r="AA352" s="37">
        <f t="shared" si="119"/>
        <v>-1080.916186629606</v>
      </c>
      <c r="AB352" s="37">
        <f t="shared" si="120"/>
        <v>-606.49255935617236</v>
      </c>
      <c r="AC352" s="37">
        <f t="shared" si="121"/>
        <v>117.49775975963011</v>
      </c>
      <c r="AD352" s="37">
        <f t="shared" si="122"/>
        <v>-87.767665038442573</v>
      </c>
      <c r="AE352" s="39">
        <f t="shared" si="123"/>
        <v>45.004574399307806</v>
      </c>
      <c r="AF352" s="39">
        <f t="shared" si="124"/>
        <v>-21.589125676897861</v>
      </c>
      <c r="AG352" s="39">
        <f t="shared" si="125"/>
        <v>31.367664979416968</v>
      </c>
      <c r="AH352" s="39">
        <f t="shared" si="126"/>
        <v>-25.176529583183154</v>
      </c>
      <c r="AI352" s="39">
        <f t="shared" si="127"/>
        <v>41.125520380905343</v>
      </c>
      <c r="AJ352" s="39">
        <f t="shared" si="128"/>
        <v>-41.002009778361554</v>
      </c>
      <c r="AK352" s="37">
        <f t="shared" si="129"/>
        <v>101683.12025045404</v>
      </c>
      <c r="AL352" s="37">
        <f t="shared" si="130"/>
        <v>66267.661569129355</v>
      </c>
      <c r="AM352" s="37">
        <f t="shared" si="131"/>
        <v>94158.35090987802</v>
      </c>
    </row>
    <row r="353" spans="12:39">
      <c r="L353">
        <v>349</v>
      </c>
      <c r="M353" s="37">
        <f t="shared" si="116"/>
        <v>2.1928316722056898</v>
      </c>
      <c r="N353" s="37">
        <f t="shared" si="110"/>
        <v>17086.547601657061</v>
      </c>
      <c r="O353" s="37">
        <f t="shared" si="111"/>
        <v>11563.470822165429</v>
      </c>
      <c r="R353" s="37">
        <f t="shared" si="112"/>
        <v>-22039.416678840054</v>
      </c>
      <c r="S353" s="37">
        <f t="shared" si="113"/>
        <v>12844.4295755158</v>
      </c>
      <c r="V353" s="37">
        <f t="shared" si="114"/>
        <v>-7913.4523983429372</v>
      </c>
      <c r="W353" s="37">
        <f t="shared" si="115"/>
        <v>-10936.529177834571</v>
      </c>
      <c r="Y353" s="37">
        <f t="shared" si="117"/>
        <v>-72205.832774707567</v>
      </c>
      <c r="Z353" s="37">
        <f t="shared" si="118"/>
        <v>51165.587145915764</v>
      </c>
      <c r="AA353" s="37">
        <f t="shared" si="119"/>
        <v>-1022.167306749791</v>
      </c>
      <c r="AB353" s="37">
        <f t="shared" si="120"/>
        <v>-650.37639187539367</v>
      </c>
      <c r="AC353" s="37">
        <f t="shared" si="121"/>
        <v>117.45071239310218</v>
      </c>
      <c r="AD353" s="37">
        <f t="shared" si="122"/>
        <v>-86.58255527579044</v>
      </c>
      <c r="AE353" s="39">
        <f t="shared" si="123"/>
        <v>44.816690293598832</v>
      </c>
      <c r="AF353" s="39">
        <f t="shared" si="124"/>
        <v>-21.223680072259548</v>
      </c>
      <c r="AG353" s="39">
        <f t="shared" si="125"/>
        <v>31.382554229925987</v>
      </c>
      <c r="AH353" s="39">
        <f t="shared" si="126"/>
        <v>-24.745918269104408</v>
      </c>
      <c r="AI353" s="39">
        <f t="shared" si="127"/>
        <v>41.251467869577375</v>
      </c>
      <c r="AJ353" s="39">
        <f t="shared" si="128"/>
        <v>-40.612956934426478</v>
      </c>
      <c r="AK353" s="37">
        <f t="shared" si="129"/>
        <v>102022.54210945197</v>
      </c>
      <c r="AL353" s="37">
        <f t="shared" si="130"/>
        <v>66483.490738443594</v>
      </c>
      <c r="AM353" s="37">
        <f t="shared" si="131"/>
        <v>94310.703959337145</v>
      </c>
    </row>
    <row r="354" spans="12:39">
      <c r="L354">
        <v>350</v>
      </c>
      <c r="M354" s="37">
        <f t="shared" si="116"/>
        <v>2.1991148575128694</v>
      </c>
      <c r="N354" s="37">
        <f t="shared" si="110"/>
        <v>17061.073738537576</v>
      </c>
      <c r="O354" s="37">
        <f t="shared" si="111"/>
        <v>11545.084971874696</v>
      </c>
      <c r="R354" s="37">
        <f t="shared" si="112"/>
        <v>-22057.248383023696</v>
      </c>
      <c r="S354" s="37">
        <f t="shared" si="113"/>
        <v>12831.559480312288</v>
      </c>
      <c r="V354" s="37">
        <f t="shared" si="114"/>
        <v>-7938.9262614624222</v>
      </c>
      <c r="W354" s="37">
        <f t="shared" si="115"/>
        <v>-10954.915028125304</v>
      </c>
      <c r="Y354" s="37">
        <f t="shared" si="117"/>
        <v>-72702.235089033318</v>
      </c>
      <c r="Z354" s="37">
        <f t="shared" si="118"/>
        <v>50829.576130568588</v>
      </c>
      <c r="AA354" s="37">
        <f t="shared" si="119"/>
        <v>-963.44195055323996</v>
      </c>
      <c r="AB354" s="37">
        <f t="shared" si="120"/>
        <v>-693.66766951328884</v>
      </c>
      <c r="AC354" s="37">
        <f t="shared" si="121"/>
        <v>117.48045673029569</v>
      </c>
      <c r="AD354" s="37">
        <f t="shared" si="122"/>
        <v>-85.471746953875652</v>
      </c>
      <c r="AE354" s="39">
        <f t="shared" si="123"/>
        <v>44.658596524626944</v>
      </c>
      <c r="AF354" s="39">
        <f t="shared" si="124"/>
        <v>-20.873693672431035</v>
      </c>
      <c r="AG354" s="39">
        <f t="shared" si="125"/>
        <v>31.421946019112433</v>
      </c>
      <c r="AH354" s="39">
        <f t="shared" si="126"/>
        <v>-24.343269976891978</v>
      </c>
      <c r="AI354" s="39">
        <f t="shared" si="127"/>
        <v>41.399914186556316</v>
      </c>
      <c r="AJ354" s="39">
        <f t="shared" si="128"/>
        <v>-40.254783304552632</v>
      </c>
      <c r="AK354" s="37">
        <f t="shared" si="129"/>
        <v>102328.66928753222</v>
      </c>
      <c r="AL354" s="37">
        <f t="shared" si="130"/>
        <v>66667.682353458411</v>
      </c>
      <c r="AM354" s="37">
        <f t="shared" si="131"/>
        <v>94430.533883808268</v>
      </c>
    </row>
    <row r="355" spans="12:39">
      <c r="L355">
        <v>351</v>
      </c>
      <c r="M355" s="37">
        <f t="shared" si="116"/>
        <v>2.205398042820049</v>
      </c>
      <c r="N355" s="37">
        <f t="shared" si="110"/>
        <v>17035.715899194645</v>
      </c>
      <c r="O355" s="37">
        <f t="shared" si="111"/>
        <v>11526.539428555567</v>
      </c>
      <c r="R355" s="37">
        <f t="shared" si="112"/>
        <v>-22074.998870563748</v>
      </c>
      <c r="S355" s="37">
        <f t="shared" si="113"/>
        <v>12818.577599988897</v>
      </c>
      <c r="V355" s="37">
        <f t="shared" si="114"/>
        <v>-7964.2841008053529</v>
      </c>
      <c r="W355" s="37">
        <f t="shared" si="115"/>
        <v>-10973.460571444433</v>
      </c>
      <c r="Y355" s="37">
        <f t="shared" si="117"/>
        <v>-73169.271007218646</v>
      </c>
      <c r="Z355" s="37">
        <f t="shared" si="118"/>
        <v>50472.058327442704</v>
      </c>
      <c r="AA355" s="37">
        <f t="shared" si="119"/>
        <v>-904.70172218809216</v>
      </c>
      <c r="AB355" s="37">
        <f t="shared" si="120"/>
        <v>-736.4035429902267</v>
      </c>
      <c r="AC355" s="37">
        <f t="shared" si="121"/>
        <v>117.58679052271569</v>
      </c>
      <c r="AD355" s="37">
        <f t="shared" si="122"/>
        <v>-84.431495260804169</v>
      </c>
      <c r="AE355" s="39">
        <f t="shared" si="123"/>
        <v>44.529570195591774</v>
      </c>
      <c r="AF355" s="39">
        <f t="shared" si="124"/>
        <v>-20.538180314759206</v>
      </c>
      <c r="AG355" s="39">
        <f t="shared" si="125"/>
        <v>31.485967997216324</v>
      </c>
      <c r="AH355" s="39">
        <f t="shared" si="126"/>
        <v>-23.966887435908699</v>
      </c>
      <c r="AI355" s="39">
        <f t="shared" si="127"/>
        <v>41.571252329907601</v>
      </c>
      <c r="AJ355" s="39">
        <f t="shared" si="128"/>
        <v>-39.926427510136264</v>
      </c>
      <c r="AK355" s="37">
        <f t="shared" si="129"/>
        <v>102601.70981476718</v>
      </c>
      <c r="AL355" s="37">
        <f t="shared" si="130"/>
        <v>66820.347834316053</v>
      </c>
      <c r="AM355" s="37">
        <f t="shared" si="131"/>
        <v>94517.934442557933</v>
      </c>
    </row>
    <row r="356" spans="12:39">
      <c r="L356">
        <v>352</v>
      </c>
      <c r="M356" s="37">
        <f t="shared" si="116"/>
        <v>2.2116812281272287</v>
      </c>
      <c r="N356" s="37">
        <f t="shared" si="110"/>
        <v>17010.475084712351</v>
      </c>
      <c r="O356" s="37">
        <f t="shared" si="111"/>
        <v>11507.83492435434</v>
      </c>
      <c r="R356" s="37">
        <f t="shared" si="112"/>
        <v>-22092.667440701356</v>
      </c>
      <c r="S356" s="37">
        <f t="shared" si="113"/>
        <v>12805.484447048038</v>
      </c>
      <c r="V356" s="37">
        <f t="shared" si="114"/>
        <v>-7989.5249152876513</v>
      </c>
      <c r="W356" s="37">
        <f t="shared" si="115"/>
        <v>-10992.16507564566</v>
      </c>
      <c r="Y356" s="37">
        <f t="shared" si="117"/>
        <v>-73606.923519497359</v>
      </c>
      <c r="Z356" s="37">
        <f t="shared" si="118"/>
        <v>50093.302619039991</v>
      </c>
      <c r="AA356" s="37">
        <f t="shared" si="119"/>
        <v>-845.90832692673428</v>
      </c>
      <c r="AB356" s="37">
        <f t="shared" si="120"/>
        <v>-778.61929062062882</v>
      </c>
      <c r="AC356" s="37">
        <f t="shared" si="121"/>
        <v>117.76978223139061</v>
      </c>
      <c r="AD356" s="37">
        <f t="shared" si="122"/>
        <v>-83.458391756791684</v>
      </c>
      <c r="AE356" s="39">
        <f t="shared" si="123"/>
        <v>44.42900216688934</v>
      </c>
      <c r="AF356" s="39">
        <f t="shared" si="124"/>
        <v>-20.216217595936033</v>
      </c>
      <c r="AG356" s="39">
        <f t="shared" si="125"/>
        <v>31.574838224224781</v>
      </c>
      <c r="AH356" s="39">
        <f t="shared" si="126"/>
        <v>-23.615224694075959</v>
      </c>
      <c r="AI356" s="39">
        <f t="shared" si="127"/>
        <v>41.765941840276483</v>
      </c>
      <c r="AJ356" s="39">
        <f t="shared" si="128"/>
        <v>-39.626949466779692</v>
      </c>
      <c r="AK356" s="37">
        <f t="shared" si="129"/>
        <v>102841.84731315431</v>
      </c>
      <c r="AL356" s="37">
        <f t="shared" si="130"/>
        <v>66941.58023326876</v>
      </c>
      <c r="AM356" s="37">
        <f t="shared" si="131"/>
        <v>94572.97711642622</v>
      </c>
    </row>
    <row r="357" spans="12:39">
      <c r="L357">
        <v>353</v>
      </c>
      <c r="M357" s="37">
        <f t="shared" si="116"/>
        <v>2.2179644134344083</v>
      </c>
      <c r="N357" s="37">
        <f t="shared" si="110"/>
        <v>16985.35229155482</v>
      </c>
      <c r="O357" s="37">
        <f t="shared" si="111"/>
        <v>11488.972197692812</v>
      </c>
      <c r="R357" s="37">
        <f t="shared" si="112"/>
        <v>-22110.253395911626</v>
      </c>
      <c r="S357" s="37">
        <f t="shared" si="113"/>
        <v>12792.280538384968</v>
      </c>
      <c r="V357" s="37">
        <f t="shared" si="114"/>
        <v>-8014.6477084451808</v>
      </c>
      <c r="W357" s="37">
        <f t="shared" si="115"/>
        <v>-11011.027802307188</v>
      </c>
      <c r="Y357" s="37">
        <f t="shared" si="117"/>
        <v>-74015.156460181795</v>
      </c>
      <c r="Z357" s="37">
        <f t="shared" si="118"/>
        <v>49693.560674760076</v>
      </c>
      <c r="AA357" s="37">
        <f t="shared" si="119"/>
        <v>-787.02343581103901</v>
      </c>
      <c r="AB357" s="37">
        <f t="shared" si="120"/>
        <v>-820.3484864990246</v>
      </c>
      <c r="AC357" s="37">
        <f t="shared" si="121"/>
        <v>118.02977109784575</v>
      </c>
      <c r="AD357" s="37">
        <f t="shared" si="122"/>
        <v>-82.549334474691904</v>
      </c>
      <c r="AE357" s="39">
        <f t="shared" si="123"/>
        <v>44.356391038860757</v>
      </c>
      <c r="AF357" s="39">
        <f t="shared" si="124"/>
        <v>-19.906939977323912</v>
      </c>
      <c r="AG357" s="39">
        <f t="shared" si="125"/>
        <v>31.688867813110658</v>
      </c>
      <c r="AH357" s="39">
        <f t="shared" si="126"/>
        <v>-23.286871309562919</v>
      </c>
      <c r="AI357" s="39">
        <f t="shared" si="127"/>
        <v>41.984512245874349</v>
      </c>
      <c r="AJ357" s="39">
        <f t="shared" si="128"/>
        <v>-39.355523187805076</v>
      </c>
      <c r="AK357" s="37">
        <f t="shared" si="129"/>
        <v>103049.2416597382</v>
      </c>
      <c r="AL357" s="37">
        <f t="shared" si="130"/>
        <v>67031.454455790968</v>
      </c>
      <c r="AM357" s="37">
        <f t="shared" si="131"/>
        <v>94595.711393288002</v>
      </c>
    </row>
    <row r="358" spans="12:39">
      <c r="L358">
        <v>354</v>
      </c>
      <c r="M358" s="37">
        <f t="shared" si="116"/>
        <v>2.224247598741588</v>
      </c>
      <c r="N358" s="37">
        <f t="shared" si="110"/>
        <v>16960.348511526914</v>
      </c>
      <c r="O358" s="37">
        <f t="shared" si="111"/>
        <v>11469.951993239134</v>
      </c>
      <c r="R358" s="37">
        <f t="shared" si="112"/>
        <v>-22127.756041931159</v>
      </c>
      <c r="S358" s="37">
        <f t="shared" si="113"/>
        <v>12778.966395267393</v>
      </c>
      <c r="V358" s="37">
        <f t="shared" si="114"/>
        <v>-8039.6514884730841</v>
      </c>
      <c r="W358" s="37">
        <f t="shared" si="115"/>
        <v>-11030.048006760866</v>
      </c>
      <c r="Y358" s="37">
        <f t="shared" si="117"/>
        <v>-74393.914456700091</v>
      </c>
      <c r="Z358" s="37">
        <f t="shared" si="118"/>
        <v>49273.067764701227</v>
      </c>
      <c r="AA358" s="37">
        <f t="shared" si="119"/>
        <v>-728.00855026211616</v>
      </c>
      <c r="AB358" s="37">
        <f t="shared" si="120"/>
        <v>-861.62315373637057</v>
      </c>
      <c r="AC358" s="37">
        <f t="shared" si="121"/>
        <v>118.36736942525968</v>
      </c>
      <c r="AD358" s="37">
        <f t="shared" si="122"/>
        <v>-81.701501450142018</v>
      </c>
      <c r="AE358" s="39">
        <f t="shared" si="123"/>
        <v>44.311338183416126</v>
      </c>
      <c r="AF358" s="39">
        <f t="shared" si="124"/>
        <v>-19.609532493003304</v>
      </c>
      <c r="AG358" s="39">
        <f t="shared" si="125"/>
        <v>31.828464255118845</v>
      </c>
      <c r="AH358" s="39">
        <f t="shared" si="126"/>
        <v>-22.980538283059378</v>
      </c>
      <c r="AI358" s="39">
        <f t="shared" si="127"/>
        <v>42.227566986724717</v>
      </c>
      <c r="AJ358" s="39">
        <f t="shared" si="128"/>
        <v>-39.111430674079344</v>
      </c>
      <c r="AK358" s="37">
        <f t="shared" si="129"/>
        <v>103224.02955190781</v>
      </c>
      <c r="AL358" s="37">
        <f t="shared" si="130"/>
        <v>67090.027437567958</v>
      </c>
      <c r="AM358" s="37">
        <f t="shared" si="131"/>
        <v>94586.164968824509</v>
      </c>
    </row>
    <row r="359" spans="12:39">
      <c r="L359">
        <v>355</v>
      </c>
      <c r="M359" s="37">
        <f t="shared" si="116"/>
        <v>2.2305307840487676</v>
      </c>
      <c r="N359" s="37">
        <f t="shared" si="110"/>
        <v>16935.464731735061</v>
      </c>
      <c r="O359" s="37">
        <f t="shared" si="111"/>
        <v>11450.775061878408</v>
      </c>
      <c r="R359" s="37">
        <f t="shared" si="112"/>
        <v>-22145.174687785457</v>
      </c>
      <c r="S359" s="37">
        <f t="shared" si="113"/>
        <v>12765.542543314885</v>
      </c>
      <c r="V359" s="37">
        <f t="shared" si="114"/>
        <v>-8064.5352682649391</v>
      </c>
      <c r="W359" s="37">
        <f t="shared" si="115"/>
        <v>-11049.224938121592</v>
      </c>
      <c r="Y359" s="37">
        <f t="shared" si="117"/>
        <v>-74743.122810652989</v>
      </c>
      <c r="Z359" s="37">
        <f t="shared" si="118"/>
        <v>48832.043500151776</v>
      </c>
      <c r="AA359" s="37">
        <f t="shared" si="119"/>
        <v>-668.82486554948628</v>
      </c>
      <c r="AB359" s="37">
        <f t="shared" si="120"/>
        <v>-902.47390446144163</v>
      </c>
      <c r="AC359" s="37">
        <f t="shared" si="121"/>
        <v>118.7834671138809</v>
      </c>
      <c r="AD359" s="37">
        <f t="shared" si="122"/>
        <v>-80.912327247247646</v>
      </c>
      <c r="AE359" s="39">
        <f t="shared" si="123"/>
        <v>44.293543737768374</v>
      </c>
      <c r="AF359" s="39">
        <f t="shared" si="124"/>
        <v>-19.323224971210973</v>
      </c>
      <c r="AG359" s="39">
        <f t="shared" si="125"/>
        <v>31.994135501157267</v>
      </c>
      <c r="AH359" s="39">
        <f t="shared" si="126"/>
        <v>-22.695045473162505</v>
      </c>
      <c r="AI359" s="39">
        <f t="shared" si="127"/>
        <v>42.495787874955248</v>
      </c>
      <c r="AJ359" s="39">
        <f t="shared" si="128"/>
        <v>-38.894056802874161</v>
      </c>
      <c r="AK359" s="37">
        <f t="shared" si="129"/>
        <v>103366.32497971917</v>
      </c>
      <c r="AL359" s="37">
        <f t="shared" si="130"/>
        <v>67117.338277526433</v>
      </c>
      <c r="AM359" s="37">
        <f t="shared" si="131"/>
        <v>94544.343864596653</v>
      </c>
    </row>
    <row r="360" spans="12:39">
      <c r="L360">
        <v>356</v>
      </c>
      <c r="M360" s="37">
        <f t="shared" si="116"/>
        <v>2.2368139693559472</v>
      </c>
      <c r="N360" s="37">
        <f t="shared" si="110"/>
        <v>16910.701934548273</v>
      </c>
      <c r="O360" s="37">
        <f t="shared" si="111"/>
        <v>11431.442160683049</v>
      </c>
      <c r="R360" s="37">
        <f t="shared" si="112"/>
        <v>-22162.508645816211</v>
      </c>
      <c r="S360" s="37">
        <f t="shared" si="113"/>
        <v>12752.009512478135</v>
      </c>
      <c r="V360" s="37">
        <f t="shared" si="114"/>
        <v>-8089.2980654517287</v>
      </c>
      <c r="W360" s="37">
        <f t="shared" si="115"/>
        <v>-11068.557839316951</v>
      </c>
      <c r="Y360" s="37">
        <f t="shared" si="117"/>
        <v>-75062.687310038498</v>
      </c>
      <c r="Z360" s="37">
        <f t="shared" si="118"/>
        <v>48370.692507015148</v>
      </c>
      <c r="AA360" s="37">
        <f t="shared" si="119"/>
        <v>-609.43313199254578</v>
      </c>
      <c r="AB360" s="37">
        <f t="shared" si="120"/>
        <v>-942.9300680850655</v>
      </c>
      <c r="AC360" s="37">
        <f t="shared" si="121"/>
        <v>119.27923852635256</v>
      </c>
      <c r="AD360" s="37">
        <f t="shared" si="122"/>
        <v>-80.179482104472513</v>
      </c>
      <c r="AE360" s="39">
        <f t="shared" si="123"/>
        <v>44.302803490739031</v>
      </c>
      <c r="AF360" s="39">
        <f t="shared" si="124"/>
        <v>-19.047286689501213</v>
      </c>
      <c r="AG360" s="39">
        <f t="shared" si="125"/>
        <v>32.186494880895516</v>
      </c>
      <c r="AH360" s="39">
        <f t="shared" si="126"/>
        <v>-22.429310269575279</v>
      </c>
      <c r="AI360" s="39">
        <f t="shared" si="127"/>
        <v>42.78994015471801</v>
      </c>
      <c r="AJ360" s="39">
        <f t="shared" si="128"/>
        <v>-38.702885145396024</v>
      </c>
      <c r="AK360" s="37">
        <f t="shared" si="129"/>
        <v>103476.21960918915</v>
      </c>
      <c r="AL360" s="37">
        <f t="shared" si="130"/>
        <v>67113.408327032404</v>
      </c>
      <c r="AM360" s="37">
        <f t="shared" si="131"/>
        <v>94470.232464638801</v>
      </c>
    </row>
    <row r="361" spans="12:39">
      <c r="L361">
        <v>357</v>
      </c>
      <c r="M361" s="37">
        <f t="shared" si="116"/>
        <v>2.2430971546631269</v>
      </c>
      <c r="N361" s="37">
        <f t="shared" si="110"/>
        <v>16886.061097559381</v>
      </c>
      <c r="O361" s="37">
        <f t="shared" si="111"/>
        <v>11411.954052882895</v>
      </c>
      <c r="R361" s="37">
        <f t="shared" si="112"/>
        <v>-22179.757231708434</v>
      </c>
      <c r="S361" s="37">
        <f t="shared" si="113"/>
        <v>12738.367837018028</v>
      </c>
      <c r="V361" s="37">
        <f t="shared" si="114"/>
        <v>-8113.9389024406191</v>
      </c>
      <c r="W361" s="37">
        <f t="shared" si="115"/>
        <v>-11088.045947117105</v>
      </c>
      <c r="Y361" s="37">
        <f t="shared" si="117"/>
        <v>-75352.493971218981</v>
      </c>
      <c r="Z361" s="37">
        <f t="shared" si="118"/>
        <v>47889.205037709551</v>
      </c>
      <c r="AA361" s="37">
        <f t="shared" si="119"/>
        <v>-549.79351272936947</v>
      </c>
      <c r="AB361" s="37">
        <f t="shared" si="120"/>
        <v>-983.01980913730176</v>
      </c>
      <c r="AC361" s="37">
        <f t="shared" si="121"/>
        <v>119.85615179244418</v>
      </c>
      <c r="AD361" s="37">
        <f t="shared" si="122"/>
        <v>-79.500853374375012</v>
      </c>
      <c r="AE361" s="39">
        <f t="shared" si="123"/>
        <v>44.339006607409765</v>
      </c>
      <c r="AF361" s="39">
        <f t="shared" si="124"/>
        <v>-18.781021391800913</v>
      </c>
      <c r="AG361" s="39">
        <f t="shared" si="125"/>
        <v>32.406266951459322</v>
      </c>
      <c r="AH361" s="39">
        <f t="shared" si="126"/>
        <v>-22.182337324656473</v>
      </c>
      <c r="AI361" s="39">
        <f t="shared" si="127"/>
        <v>43.110878233575093</v>
      </c>
      <c r="AJ361" s="39">
        <f t="shared" si="128"/>
        <v>-38.537494657917627</v>
      </c>
      <c r="AK361" s="37">
        <f t="shared" si="129"/>
        <v>103553.78307966105</v>
      </c>
      <c r="AL361" s="37">
        <f t="shared" si="130"/>
        <v>67078.241235317342</v>
      </c>
      <c r="AM361" s="37">
        <f t="shared" si="131"/>
        <v>94363.793471042038</v>
      </c>
    </row>
    <row r="362" spans="12:39">
      <c r="L362">
        <v>358</v>
      </c>
      <c r="M362" s="37">
        <f t="shared" si="116"/>
        <v>2.2493803399703065</v>
      </c>
      <c r="N362" s="37">
        <f t="shared" si="110"/>
        <v>16861.54319354644</v>
      </c>
      <c r="O362" s="37">
        <f t="shared" si="111"/>
        <v>11392.311507835071</v>
      </c>
      <c r="R362" s="37">
        <f t="shared" si="112"/>
        <v>-22196.91976451749</v>
      </c>
      <c r="S362" s="37">
        <f t="shared" si="113"/>
        <v>12724.61805548455</v>
      </c>
      <c r="V362" s="37">
        <f t="shared" si="114"/>
        <v>-8138.4568064535588</v>
      </c>
      <c r="W362" s="37">
        <f t="shared" si="115"/>
        <v>-11107.688492164929</v>
      </c>
      <c r="Y362" s="37">
        <f t="shared" si="117"/>
        <v>-75612.408708609611</v>
      </c>
      <c r="Z362" s="37">
        <f t="shared" si="118"/>
        <v>47387.757526469104</v>
      </c>
      <c r="AA362" s="37">
        <f t="shared" si="119"/>
        <v>-489.86543683314738</v>
      </c>
      <c r="AB362" s="37">
        <f t="shared" si="120"/>
        <v>-1022.7702358244893</v>
      </c>
      <c r="AC362" s="37">
        <f t="shared" si="121"/>
        <v>120.51598069959468</v>
      </c>
      <c r="AD362" s="37">
        <f t="shared" si="122"/>
        <v>-78.874528971526459</v>
      </c>
      <c r="AE362" s="39">
        <f t="shared" si="123"/>
        <v>44.402134151778164</v>
      </c>
      <c r="AF362" s="39">
        <f t="shared" si="124"/>
        <v>-18.5237626017929</v>
      </c>
      <c r="AG362" s="39">
        <f t="shared" si="125"/>
        <v>32.654294380680057</v>
      </c>
      <c r="AH362" s="39">
        <f t="shared" si="126"/>
        <v>-21.953209164159073</v>
      </c>
      <c r="AI362" s="39">
        <f t="shared" si="127"/>
        <v>43.459552167136451</v>
      </c>
      <c r="AJ362" s="39">
        <f t="shared" si="128"/>
        <v>-38.397557205574486</v>
      </c>
      <c r="AK362" s="37">
        <f t="shared" si="129"/>
        <v>103599.06321754362</v>
      </c>
      <c r="AL362" s="37">
        <f t="shared" si="130"/>
        <v>67011.822951114271</v>
      </c>
      <c r="AM362" s="37">
        <f t="shared" si="131"/>
        <v>94224.967778255188</v>
      </c>
    </row>
    <row r="363" spans="12:39">
      <c r="L363">
        <v>359</v>
      </c>
      <c r="M363" s="37">
        <f t="shared" si="116"/>
        <v>2.2556635252774861</v>
      </c>
      <c r="N363" s="37">
        <f t="shared" si="110"/>
        <v>16837.14919043432</v>
      </c>
      <c r="O363" s="37">
        <f t="shared" si="111"/>
        <v>11372.515300993622</v>
      </c>
      <c r="R363" s="37">
        <f t="shared" si="112"/>
        <v>-22213.995566695976</v>
      </c>
      <c r="S363" s="37">
        <f t="shared" si="113"/>
        <v>12710.760710695537</v>
      </c>
      <c r="V363" s="37">
        <f t="shared" si="114"/>
        <v>-8162.8508095656789</v>
      </c>
      <c r="W363" s="37">
        <f t="shared" si="115"/>
        <v>-11127.484699006378</v>
      </c>
      <c r="Y363" s="37">
        <f t="shared" si="117"/>
        <v>-75842.27692943874</v>
      </c>
      <c r="Z363" s="37">
        <f t="shared" si="118"/>
        <v>46866.513092435423</v>
      </c>
      <c r="AA363" s="37">
        <f t="shared" si="119"/>
        <v>-429.60744648335003</v>
      </c>
      <c r="AB363" s="37">
        <f t="shared" si="120"/>
        <v>-1062.2075003102525</v>
      </c>
      <c r="AC363" s="37">
        <f t="shared" si="121"/>
        <v>121.26081935638791</v>
      </c>
      <c r="AD363" s="37">
        <f t="shared" si="122"/>
        <v>-78.298782576444566</v>
      </c>
      <c r="AE363" s="39">
        <f t="shared" si="123"/>
        <v>44.492258379848181</v>
      </c>
      <c r="AF363" s="39">
        <f t="shared" si="124"/>
        <v>-18.274869171898022</v>
      </c>
      <c r="AG363" s="39">
        <f t="shared" si="125"/>
        <v>32.931545985987121</v>
      </c>
      <c r="AH363" s="39">
        <f t="shared" si="126"/>
        <v>-21.741077513379533</v>
      </c>
      <c r="AI363" s="39">
        <f t="shared" si="127"/>
        <v>43.837014990552596</v>
      </c>
      <c r="AJ363" s="39">
        <f t="shared" si="128"/>
        <v>-38.282835891167011</v>
      </c>
      <c r="AK363" s="37">
        <f t="shared" si="129"/>
        <v>103612.08616795685</v>
      </c>
      <c r="AL363" s="37">
        <f t="shared" si="130"/>
        <v>66914.121680395969</v>
      </c>
      <c r="AM363" s="37">
        <f t="shared" si="131"/>
        <v>94053.674265090624</v>
      </c>
    </row>
    <row r="364" spans="12:39">
      <c r="L364">
        <v>360</v>
      </c>
      <c r="M364" s="37">
        <f t="shared" si="116"/>
        <v>2.2619467105846658</v>
      </c>
      <c r="N364" s="37">
        <f t="shared" si="110"/>
        <v>16812.880051256496</v>
      </c>
      <c r="O364" s="37">
        <f t="shared" si="111"/>
        <v>11352.566213878899</v>
      </c>
      <c r="R364" s="37">
        <f t="shared" si="112"/>
        <v>-22230.983964120453</v>
      </c>
      <c r="S364" s="37">
        <f t="shared" si="113"/>
        <v>12696.79634971523</v>
      </c>
      <c r="V364" s="37">
        <f t="shared" si="114"/>
        <v>-8187.1199487435042</v>
      </c>
      <c r="W364" s="37">
        <f t="shared" si="115"/>
        <v>-11147.433786121101</v>
      </c>
      <c r="Y364" s="37">
        <f t="shared" si="117"/>
        <v>-76041.923050260855</v>
      </c>
      <c r="Z364" s="37">
        <f t="shared" si="118"/>
        <v>46325.621994458241</v>
      </c>
      <c r="AA364" s="37">
        <f t="shared" si="119"/>
        <v>-368.9770368051561</v>
      </c>
      <c r="AB364" s="37">
        <f t="shared" si="120"/>
        <v>-1101.3568915984747</v>
      </c>
      <c r="AC364" s="37">
        <f t="shared" si="121"/>
        <v>122.09309986164982</v>
      </c>
      <c r="AD364" s="37">
        <f t="shared" si="122"/>
        <v>-77.77206037058329</v>
      </c>
      <c r="AE364" s="39">
        <f t="shared" si="123"/>
        <v>44.609542787626616</v>
      </c>
      <c r="AF364" s="39">
        <f t="shared" si="124"/>
        <v>-18.033721010684175</v>
      </c>
      <c r="AG364" s="39">
        <f t="shared" si="125"/>
        <v>33.239126069519102</v>
      </c>
      <c r="AH364" s="39">
        <f t="shared" si="126"/>
        <v>-21.545155185781461</v>
      </c>
      <c r="AI364" s="39">
        <f t="shared" si="127"/>
        <v>44.244431004504094</v>
      </c>
      <c r="AJ364" s="39">
        <f t="shared" si="128"/>
        <v>-38.193184174117647</v>
      </c>
      <c r="AK364" s="37">
        <f t="shared" si="129"/>
        <v>103592.85644506956</v>
      </c>
      <c r="AL364" s="37">
        <f t="shared" si="130"/>
        <v>66785.087800014371</v>
      </c>
      <c r="AM364" s="37">
        <f t="shared" si="131"/>
        <v>93849.809502664226</v>
      </c>
    </row>
    <row r="365" spans="12:39">
      <c r="L365">
        <v>361</v>
      </c>
      <c r="M365" s="37">
        <f t="shared" si="116"/>
        <v>2.2682298958918454</v>
      </c>
      <c r="N365" s="37">
        <f t="shared" si="110"/>
        <v>16788.736734117021</v>
      </c>
      <c r="O365" s="37">
        <f t="shared" si="111"/>
        <v>11332.465034046701</v>
      </c>
      <c r="R365" s="37">
        <f t="shared" si="112"/>
        <v>-22247.884286118086</v>
      </c>
      <c r="S365" s="37">
        <f t="shared" si="113"/>
        <v>12682.725523832691</v>
      </c>
      <c r="V365" s="37">
        <f t="shared" si="114"/>
        <v>-8211.2632658829789</v>
      </c>
      <c r="W365" s="37">
        <f t="shared" si="115"/>
        <v>-11167.534965953299</v>
      </c>
      <c r="Y365" s="37">
        <f t="shared" si="117"/>
        <v>-76211.149931180727</v>
      </c>
      <c r="Z365" s="37">
        <f t="shared" si="118"/>
        <v>45765.222041112676</v>
      </c>
      <c r="AA365" s="37">
        <f t="shared" si="119"/>
        <v>-307.93048687433122</v>
      </c>
      <c r="AB365" s="37">
        <f t="shared" si="120"/>
        <v>-1140.2429217837664</v>
      </c>
      <c r="AC365" s="37">
        <f t="shared" si="121"/>
        <v>123.01561326337713</v>
      </c>
      <c r="AD365" s="37">
        <f t="shared" si="122"/>
        <v>-77.292969098928239</v>
      </c>
      <c r="AE365" s="39">
        <f t="shared" si="123"/>
        <v>44.754242910067866</v>
      </c>
      <c r="AF365" s="39">
        <f t="shared" si="124"/>
        <v>-17.799714933878278</v>
      </c>
      <c r="AG365" s="39">
        <f t="shared" si="125"/>
        <v>33.57828521339372</v>
      </c>
      <c r="AH365" s="39">
        <f t="shared" si="126"/>
        <v>-21.364708387697824</v>
      </c>
      <c r="AI365" s="39">
        <f t="shared" si="127"/>
        <v>44.683085139915548</v>
      </c>
      <c r="AJ365" s="39">
        <f t="shared" si="128"/>
        <v>-38.12854577735213</v>
      </c>
      <c r="AK365" s="37">
        <f t="shared" si="129"/>
        <v>103541.35690117159</v>
      </c>
      <c r="AL365" s="37">
        <f t="shared" si="130"/>
        <v>66624.653726948338</v>
      </c>
      <c r="AM365" s="37">
        <f t="shared" si="131"/>
        <v>93613.247375715073</v>
      </c>
    </row>
    <row r="366" spans="12:39">
      <c r="L366">
        <v>362</v>
      </c>
      <c r="M366" s="37">
        <f t="shared" si="116"/>
        <v>2.2745130811990251</v>
      </c>
      <c r="N366" s="37">
        <f t="shared" si="110"/>
        <v>16764.720192152723</v>
      </c>
      <c r="O366" s="37">
        <f t="shared" si="111"/>
        <v>11312.212555057191</v>
      </c>
      <c r="R366" s="37">
        <f t="shared" si="112"/>
        <v>-22264.695865493093</v>
      </c>
      <c r="S366" s="37">
        <f t="shared" si="113"/>
        <v>12668.548788540034</v>
      </c>
      <c r="V366" s="37">
        <f t="shared" si="114"/>
        <v>-8235.279807847277</v>
      </c>
      <c r="W366" s="37">
        <f t="shared" si="115"/>
        <v>-11187.787444942809</v>
      </c>
      <c r="Y366" s="37">
        <f t="shared" si="117"/>
        <v>-76349.738222959975</v>
      </c>
      <c r="Z366" s="37">
        <f t="shared" si="118"/>
        <v>45185.438959083425</v>
      </c>
      <c r="AA366" s="37">
        <f t="shared" si="119"/>
        <v>-246.42268024264266</v>
      </c>
      <c r="AB366" s="37">
        <f t="shared" si="120"/>
        <v>-1178.8894063332305</v>
      </c>
      <c r="AC366" s="37">
        <f t="shared" si="121"/>
        <v>124.03153415064679</v>
      </c>
      <c r="AD366" s="37">
        <f t="shared" si="122"/>
        <v>-76.860265273024112</v>
      </c>
      <c r="AE366" s="39">
        <f t="shared" si="123"/>
        <v>44.926707878435685</v>
      </c>
      <c r="AF366" s="39">
        <f t="shared" si="124"/>
        <v>-17.572260585362979</v>
      </c>
      <c r="AG366" s="39">
        <f t="shared" si="125"/>
        <v>33.950432726948847</v>
      </c>
      <c r="AH366" s="39">
        <f t="shared" si="126"/>
        <v>-21.199049294993838</v>
      </c>
      <c r="AI366" s="39">
        <f t="shared" si="127"/>
        <v>45.154393545262245</v>
      </c>
      <c r="AJ366" s="39">
        <f t="shared" si="128"/>
        <v>-38.088955392667302</v>
      </c>
      <c r="AK366" s="37">
        <f t="shared" si="129"/>
        <v>103457.54861377548</v>
      </c>
      <c r="AL366" s="37">
        <f t="shared" si="130"/>
        <v>66432.733742783021</v>
      </c>
      <c r="AM366" s="37">
        <f t="shared" si="131"/>
        <v>93343.838613924978</v>
      </c>
    </row>
    <row r="367" spans="12:39">
      <c r="L367">
        <v>363</v>
      </c>
      <c r="M367" s="37">
        <f t="shared" si="116"/>
        <v>2.2807962665062047</v>
      </c>
      <c r="N367" s="37">
        <f t="shared" si="110"/>
        <v>16740.831373495552</v>
      </c>
      <c r="O367" s="37">
        <f t="shared" si="111"/>
        <v>11291.80957644356</v>
      </c>
      <c r="R367" s="37">
        <f t="shared" si="112"/>
        <v>-22281.418038553114</v>
      </c>
      <c r="S367" s="37">
        <f t="shared" si="113"/>
        <v>12654.266703510493</v>
      </c>
      <c r="V367" s="37">
        <f t="shared" si="114"/>
        <v>-8259.16862650445</v>
      </c>
      <c r="W367" s="37">
        <f t="shared" si="115"/>
        <v>-11208.19042355644</v>
      </c>
      <c r="Y367" s="37">
        <f t="shared" si="117"/>
        <v>-76457.445621312479</v>
      </c>
      <c r="Z367" s="37">
        <f t="shared" si="118"/>
        <v>44586.386722757685</v>
      </c>
      <c r="AA367" s="37">
        <f t="shared" si="119"/>
        <v>-184.40691316731926</v>
      </c>
      <c r="AB367" s="37">
        <f t="shared" si="120"/>
        <v>-1217.3195389697426</v>
      </c>
      <c r="AC367" s="37">
        <f t="shared" si="121"/>
        <v>125.14444928959378</v>
      </c>
      <c r="AD367" s="37">
        <f t="shared" si="122"/>
        <v>-76.472845338461909</v>
      </c>
      <c r="AE367" s="39">
        <f t="shared" si="123"/>
        <v>45.127382755072809</v>
      </c>
      <c r="AF367" s="39">
        <f t="shared" si="124"/>
        <v>-17.350776374600038</v>
      </c>
      <c r="AG367" s="39">
        <f t="shared" si="125"/>
        <v>34.357150970940573</v>
      </c>
      <c r="AH367" s="39">
        <f t="shared" si="126"/>
        <v>-21.047528755437444</v>
      </c>
      <c r="AI367" s="39">
        <f t="shared" si="127"/>
        <v>45.659915563580398</v>
      </c>
      <c r="AJ367" s="39">
        <f t="shared" si="128"/>
        <v>-38.074540208424423</v>
      </c>
      <c r="AK367" s="37">
        <f t="shared" si="129"/>
        <v>103341.37068927618</v>
      </c>
      <c r="AL367" s="37">
        <f t="shared" si="130"/>
        <v>66209.223772972939</v>
      </c>
      <c r="AM367" s="37">
        <f t="shared" si="131"/>
        <v>93041.410228977402</v>
      </c>
    </row>
    <row r="368" spans="12:39">
      <c r="L368">
        <v>364</v>
      </c>
      <c r="M368" s="37">
        <f t="shared" si="116"/>
        <v>2.2870794518133843</v>
      </c>
      <c r="N368" s="37">
        <f t="shared" si="110"/>
        <v>16717.071221235161</v>
      </c>
      <c r="O368" s="37">
        <f t="shared" si="111"/>
        <v>11271.256903680471</v>
      </c>
      <c r="R368" s="37">
        <f t="shared" si="112"/>
        <v>-22298.050145135385</v>
      </c>
      <c r="S368" s="37">
        <f t="shared" si="113"/>
        <v>12639.879832576329</v>
      </c>
      <c r="V368" s="37">
        <f t="shared" si="114"/>
        <v>-8282.9287787648391</v>
      </c>
      <c r="W368" s="37">
        <f t="shared" si="115"/>
        <v>-11228.743096319529</v>
      </c>
      <c r="Y368" s="37">
        <f t="shared" si="117"/>
        <v>-76534.006021734953</v>
      </c>
      <c r="Z368" s="37">
        <f t="shared" si="118"/>
        <v>43968.167847605509</v>
      </c>
      <c r="AA368" s="37">
        <f t="shared" si="119"/>
        <v>-121.83468852252237</v>
      </c>
      <c r="AB368" s="37">
        <f t="shared" si="120"/>
        <v>-1255.5559616389735</v>
      </c>
      <c r="AC368" s="37">
        <f t="shared" si="121"/>
        <v>126.35839079356619</v>
      </c>
      <c r="AD368" s="37">
        <f t="shared" si="122"/>
        <v>-76.129736637026951</v>
      </c>
      <c r="AE368" s="39">
        <f t="shared" si="123"/>
        <v>45.356811676491589</v>
      </c>
      <c r="AF368" s="39">
        <f t="shared" si="124"/>
        <v>-17.134685375826081</v>
      </c>
      <c r="AG368" s="39">
        <f t="shared" si="125"/>
        <v>34.800211823213139</v>
      </c>
      <c r="AH368" s="39">
        <f t="shared" si="126"/>
        <v>-20.909528963658833</v>
      </c>
      <c r="AI368" s="39">
        <f t="shared" si="127"/>
        <v>46.201367293861452</v>
      </c>
      <c r="AJ368" s="39">
        <f t="shared" si="128"/>
        <v>-38.085522297542042</v>
      </c>
      <c r="AK368" s="37">
        <f t="shared" si="129"/>
        <v>103192.73998089928</v>
      </c>
      <c r="AL368" s="37">
        <f t="shared" si="130"/>
        <v>65954.001120391971</v>
      </c>
      <c r="AM368" s="37">
        <f t="shared" si="131"/>
        <v>92705.764852143839</v>
      </c>
    </row>
    <row r="369" spans="12:39">
      <c r="L369">
        <v>365</v>
      </c>
      <c r="M369" s="37">
        <f t="shared" si="116"/>
        <v>2.293362637120564</v>
      </c>
      <c r="N369" s="37">
        <f t="shared" si="110"/>
        <v>16693.440673381687</v>
      </c>
      <c r="O369" s="37">
        <f t="shared" si="111"/>
        <v>11250.555348152247</v>
      </c>
      <c r="R369" s="37">
        <f t="shared" si="112"/>
        <v>-22314.59152863282</v>
      </c>
      <c r="S369" s="37">
        <f t="shared" si="113"/>
        <v>12625.388743706575</v>
      </c>
      <c r="V369" s="37">
        <f t="shared" si="114"/>
        <v>-8306.559326618315</v>
      </c>
      <c r="W369" s="37">
        <f t="shared" si="115"/>
        <v>-11249.444651847753</v>
      </c>
      <c r="Y369" s="37">
        <f t="shared" si="117"/>
        <v>-76579.128567147025</v>
      </c>
      <c r="Z369" s="37">
        <f t="shared" si="118"/>
        <v>43330.873649706395</v>
      </c>
      <c r="AA369" s="37">
        <f t="shared" si="119"/>
        <v>-58.655493125739277</v>
      </c>
      <c r="AB369" s="37">
        <f t="shared" si="120"/>
        <v>-1293.6208299574869</v>
      </c>
      <c r="AC369" s="37">
        <f t="shared" si="121"/>
        <v>127.67787441009054</v>
      </c>
      <c r="AD369" s="37">
        <f t="shared" si="122"/>
        <v>-75.830088994611828</v>
      </c>
      <c r="AE369" s="39">
        <f t="shared" si="123"/>
        <v>45.615641848313615</v>
      </c>
      <c r="AF369" s="39">
        <f t="shared" si="124"/>
        <v>-16.92341113205249</v>
      </c>
      <c r="AG369" s="39">
        <f t="shared" si="125"/>
        <v>35.281595597488185</v>
      </c>
      <c r="AH369" s="39">
        <f t="shared" si="126"/>
        <v>-20.78445594340149</v>
      </c>
      <c r="AI369" s="39">
        <f t="shared" si="127"/>
        <v>46.780636964288739</v>
      </c>
      <c r="AJ369" s="39">
        <f t="shared" si="128"/>
        <v>-38.122221919157859</v>
      </c>
      <c r="AK369" s="37">
        <f t="shared" si="129"/>
        <v>103011.55071782357</v>
      </c>
      <c r="AL369" s="37">
        <f t="shared" si="130"/>
        <v>65666.924152654232</v>
      </c>
      <c r="AM369" s="37">
        <f t="shared" si="131"/>
        <v>92336.679966144409</v>
      </c>
    </row>
    <row r="370" spans="12:39">
      <c r="L370">
        <v>366</v>
      </c>
      <c r="M370" s="37">
        <f t="shared" si="116"/>
        <v>2.2996458224277436</v>
      </c>
      <c r="N370" s="37">
        <f t="shared" si="110"/>
        <v>16669.940662828685</v>
      </c>
      <c r="O370" s="37">
        <f t="shared" si="111"/>
        <v>11229.705727120861</v>
      </c>
      <c r="R370" s="37">
        <f t="shared" si="112"/>
        <v>-22331.041536019919</v>
      </c>
      <c r="S370" s="37">
        <f t="shared" si="113"/>
        <v>12610.794008984602</v>
      </c>
      <c r="V370" s="37">
        <f t="shared" si="114"/>
        <v>-8330.0593371713148</v>
      </c>
      <c r="W370" s="37">
        <f t="shared" si="115"/>
        <v>-11270.294272879139</v>
      </c>
      <c r="Y370" s="37">
        <f t="shared" si="117"/>
        <v>-76592.496579408631</v>
      </c>
      <c r="Z370" s="37">
        <f t="shared" si="118"/>
        <v>42674.584473603318</v>
      </c>
      <c r="AA370" s="37">
        <f t="shared" si="119"/>
        <v>5.1834440793059926</v>
      </c>
      <c r="AB370" s="37">
        <f t="shared" si="120"/>
        <v>-1331.5358744547927</v>
      </c>
      <c r="AC370" s="37">
        <f t="shared" si="121"/>
        <v>129.10794361626682</v>
      </c>
      <c r="AD370" s="37">
        <f t="shared" si="122"/>
        <v>-75.573166761134303</v>
      </c>
      <c r="AE370" s="39">
        <f t="shared" si="123"/>
        <v>45.904628449191463</v>
      </c>
      <c r="AF370" s="39">
        <f t="shared" si="124"/>
        <v>-16.716373303262067</v>
      </c>
      <c r="AG370" s="39">
        <f t="shared" si="125"/>
        <v>35.80351278325449</v>
      </c>
      <c r="AH370" s="39">
        <f t="shared" si="126"/>
        <v>-20.67173165344758</v>
      </c>
      <c r="AI370" s="39">
        <f t="shared" si="127"/>
        <v>47.399802383820855</v>
      </c>
      <c r="AJ370" s="39">
        <f t="shared" si="128"/>
        <v>-38.185061804424663</v>
      </c>
      <c r="AK370" s="37">
        <f t="shared" si="129"/>
        <v>102797.67404145739</v>
      </c>
      <c r="AL370" s="37">
        <f t="shared" si="130"/>
        <v>65347.831942712663</v>
      </c>
      <c r="AM370" s="37">
        <f t="shared" si="131"/>
        <v>91933.907023880165</v>
      </c>
    </row>
    <row r="371" spans="12:39">
      <c r="L371">
        <v>367</v>
      </c>
      <c r="M371" s="37">
        <f t="shared" si="116"/>
        <v>2.3059290077349233</v>
      </c>
      <c r="N371" s="37">
        <f t="shared" si="110"/>
        <v>16646.572117316344</v>
      </c>
      <c r="O371" s="37">
        <f t="shared" si="111"/>
        <v>11208.708863693646</v>
      </c>
      <c r="R371" s="37">
        <f t="shared" si="112"/>
        <v>-22347.399517878559</v>
      </c>
      <c r="S371" s="37">
        <f t="shared" si="113"/>
        <v>12596.096204585552</v>
      </c>
      <c r="V371" s="37">
        <f t="shared" si="114"/>
        <v>-8353.4278826836562</v>
      </c>
      <c r="W371" s="37">
        <f t="shared" si="115"/>
        <v>-11291.291136306354</v>
      </c>
      <c r="Y371" s="37">
        <f t="shared" si="117"/>
        <v>-76573.766364416952</v>
      </c>
      <c r="Z371" s="37">
        <f t="shared" si="118"/>
        <v>41999.369890530776</v>
      </c>
      <c r="AA371" s="37">
        <f t="shared" si="119"/>
        <v>69.737415887439397</v>
      </c>
      <c r="AB371" s="37">
        <f t="shared" si="120"/>
        <v>-1369.32245783536</v>
      </c>
      <c r="AC371" s="37">
        <f t="shared" si="121"/>
        <v>130.65422034339218</v>
      </c>
      <c r="AD371" s="37">
        <f t="shared" si="122"/>
        <v>-75.358341117337147</v>
      </c>
      <c r="AE371" s="39">
        <f t="shared" si="123"/>
        <v>46.22464051581062</v>
      </c>
      <c r="AF371" s="39">
        <f t="shared" si="124"/>
        <v>-16.512983093091297</v>
      </c>
      <c r="AG371" s="39">
        <f t="shared" si="125"/>
        <v>36.368429042243314</v>
      </c>
      <c r="AH371" s="39">
        <f t="shared" si="126"/>
        <v>-20.570785507967113</v>
      </c>
      <c r="AI371" s="39">
        <f t="shared" si="127"/>
        <v>48.061150785338249</v>
      </c>
      <c r="AJ371" s="39">
        <f t="shared" si="128"/>
        <v>-38.274572516278745</v>
      </c>
      <c r="AK371" s="37">
        <f t="shared" si="129"/>
        <v>102550.95744386131</v>
      </c>
      <c r="AL371" s="37">
        <f t="shared" si="130"/>
        <v>64996.543862321188</v>
      </c>
      <c r="AM371" s="37">
        <f t="shared" si="131"/>
        <v>91497.170445351425</v>
      </c>
    </row>
    <row r="372" spans="12:39">
      <c r="L372">
        <v>368</v>
      </c>
      <c r="M372" s="37">
        <f t="shared" si="116"/>
        <v>2.3122121930421029</v>
      </c>
      <c r="N372" s="37">
        <f t="shared" si="110"/>
        <v>16623.335959394823</v>
      </c>
      <c r="O372" s="37">
        <f t="shared" si="111"/>
        <v>11187.565586790819</v>
      </c>
      <c r="R372" s="37">
        <f t="shared" si="112"/>
        <v>-22363.664828423625</v>
      </c>
      <c r="S372" s="37">
        <f t="shared" si="113"/>
        <v>12581.295910753573</v>
      </c>
      <c r="V372" s="37">
        <f t="shared" si="114"/>
        <v>-8376.6640406051774</v>
      </c>
      <c r="W372" s="37">
        <f t="shared" si="115"/>
        <v>-11312.434413209181</v>
      </c>
      <c r="Y372" s="37">
        <f t="shared" si="117"/>
        <v>-76522.565878930312</v>
      </c>
      <c r="Z372" s="37">
        <f t="shared" si="118"/>
        <v>41305.288868973432</v>
      </c>
      <c r="AA372" s="37">
        <f t="shared" si="119"/>
        <v>135.06452605913549</v>
      </c>
      <c r="AB372" s="37">
        <f t="shared" si="120"/>
        <v>-1407.0016283940286</v>
      </c>
      <c r="AC372" s="37">
        <f t="shared" si="121"/>
        <v>132.32296330541345</v>
      </c>
      <c r="AD372" s="37">
        <f t="shared" si="122"/>
        <v>-75.185082444255187</v>
      </c>
      <c r="AE372" s="39">
        <f t="shared" si="123"/>
        <v>46.576667897793904</v>
      </c>
      <c r="AF372" s="39">
        <f t="shared" si="124"/>
        <v>-16.312638381517235</v>
      </c>
      <c r="AG372" s="39">
        <f t="shared" si="125"/>
        <v>36.979093978075667</v>
      </c>
      <c r="AH372" s="39">
        <f t="shared" si="126"/>
        <v>-20.481045067490541</v>
      </c>
      <c r="AI372" s="39">
        <f t="shared" si="127"/>
        <v>48.767201429543888</v>
      </c>
      <c r="AJ372" s="39">
        <f t="shared" si="128"/>
        <v>-38.391398995247421</v>
      </c>
      <c r="AK372" s="37">
        <f t="shared" si="129"/>
        <v>102271.22410222329</v>
      </c>
      <c r="AL372" s="37">
        <f t="shared" si="130"/>
        <v>64612.859128101496</v>
      </c>
      <c r="AM372" s="37">
        <f t="shared" si="131"/>
        <v>91026.166482635483</v>
      </c>
    </row>
    <row r="373" spans="12:39">
      <c r="L373">
        <v>369</v>
      </c>
      <c r="M373" s="37">
        <f t="shared" si="116"/>
        <v>2.3184953783492825</v>
      </c>
      <c r="N373" s="37">
        <f t="shared" si="110"/>
        <v>16600.233106387848</v>
      </c>
      <c r="O373" s="37">
        <f t="shared" si="111"/>
        <v>11166.276731112748</v>
      </c>
      <c r="R373" s="37">
        <f t="shared" si="112"/>
        <v>-22379.836825528506</v>
      </c>
      <c r="S373" s="37">
        <f t="shared" si="113"/>
        <v>12566.393711778925</v>
      </c>
      <c r="V373" s="37">
        <f t="shared" si="114"/>
        <v>-8399.7668936121518</v>
      </c>
      <c r="W373" s="37">
        <f t="shared" si="115"/>
        <v>-11333.723268887252</v>
      </c>
      <c r="Y373" s="37">
        <f t="shared" si="117"/>
        <v>-76438.493245487567</v>
      </c>
      <c r="Z373" s="37">
        <f t="shared" si="118"/>
        <v>40592.389919470879</v>
      </c>
      <c r="AA373" s="37">
        <f t="shared" si="119"/>
        <v>201.22600771184221</v>
      </c>
      <c r="AB373" s="37">
        <f t="shared" si="120"/>
        <v>-1444.5941696161563</v>
      </c>
      <c r="AC373" s="37">
        <f t="shared" si="121"/>
        <v>134.12113508991811</v>
      </c>
      <c r="AD373" s="37">
        <f t="shared" si="122"/>
        <v>-75.052952522770852</v>
      </c>
      <c r="AE373" s="39">
        <f t="shared" si="123"/>
        <v>46.96182939025303</v>
      </c>
      <c r="AF373" s="39">
        <f t="shared" si="124"/>
        <v>-16.114718482359088</v>
      </c>
      <c r="AG373" s="39">
        <f t="shared" si="125"/>
        <v>37.638574293437358</v>
      </c>
      <c r="AH373" s="39">
        <f t="shared" si="126"/>
        <v>-20.401925611114205</v>
      </c>
      <c r="AI373" s="39">
        <f t="shared" si="127"/>
        <v>49.520731406227718</v>
      </c>
      <c r="AJ373" s="39">
        <f t="shared" si="128"/>
        <v>-38.536308429297556</v>
      </c>
      <c r="AK373" s="37">
        <f t="shared" si="129"/>
        <v>101958.27210208228</v>
      </c>
      <c r="AL373" s="37">
        <f t="shared" si="130"/>
        <v>64196.556300208882</v>
      </c>
      <c r="AM373" s="37">
        <f t="shared" si="131"/>
        <v>90520.561941163731</v>
      </c>
    </row>
    <row r="374" spans="12:39">
      <c r="L374">
        <v>370</v>
      </c>
      <c r="M374" s="37">
        <f t="shared" si="116"/>
        <v>2.3247785636564622</v>
      </c>
      <c r="N374" s="37">
        <f t="shared" si="110"/>
        <v>16577.264470356502</v>
      </c>
      <c r="O374" s="37">
        <f t="shared" si="111"/>
        <v>11144.843137107006</v>
      </c>
      <c r="R374" s="37">
        <f t="shared" si="112"/>
        <v>-22395.91487075045</v>
      </c>
      <c r="S374" s="37">
        <f t="shared" si="113"/>
        <v>12551.390195974904</v>
      </c>
      <c r="V374" s="37">
        <f t="shared" si="114"/>
        <v>-8422.735529643498</v>
      </c>
      <c r="W374" s="37">
        <f t="shared" si="115"/>
        <v>-11355.156862892994</v>
      </c>
      <c r="Y374" s="37">
        <f t="shared" si="117"/>
        <v>-76321.11509974541</v>
      </c>
      <c r="Z374" s="37">
        <f t="shared" si="118"/>
        <v>39860.711215597454</v>
      </c>
      <c r="AA374" s="37">
        <f t="shared" si="119"/>
        <v>268.28657525680126</v>
      </c>
      <c r="AB374" s="37">
        <f t="shared" si="120"/>
        <v>-1482.1206458775416</v>
      </c>
      <c r="AC374" s="37">
        <f t="shared" si="121"/>
        <v>136.0564793916551</v>
      </c>
      <c r="AD374" s="37">
        <f t="shared" si="122"/>
        <v>-74.96159629071802</v>
      </c>
      <c r="AE374" s="39">
        <f t="shared" si="123"/>
        <v>47.381382173432584</v>
      </c>
      <c r="AF374" s="39">
        <f t="shared" si="124"/>
        <v>-15.918578433425568</v>
      </c>
      <c r="AG374" s="39">
        <f t="shared" si="125"/>
        <v>38.350292067338891</v>
      </c>
      <c r="AH374" s="39">
        <f t="shared" si="126"/>
        <v>-20.332818241054341</v>
      </c>
      <c r="AI374" s="39">
        <f t="shared" si="127"/>
        <v>50.324805150883648</v>
      </c>
      <c r="AJ374" s="39">
        <f t="shared" si="128"/>
        <v>-38.710199616238114</v>
      </c>
      <c r="AK374" s="37">
        <f t="shared" si="129"/>
        <v>101611.87354063352</v>
      </c>
      <c r="AL374" s="37">
        <f t="shared" si="130"/>
        <v>63747.39273397837</v>
      </c>
      <c r="AM374" s="37">
        <f t="shared" si="131"/>
        <v>89979.992743677823</v>
      </c>
    </row>
    <row r="375" spans="12:39">
      <c r="L375">
        <v>371</v>
      </c>
      <c r="M375" s="37">
        <f t="shared" si="116"/>
        <v>2.3310617489636418</v>
      </c>
      <c r="N375" s="37">
        <f t="shared" si="110"/>
        <v>16554.430958063203</v>
      </c>
      <c r="O375" s="37">
        <f t="shared" si="111"/>
        <v>11123.26565093518</v>
      </c>
      <c r="R375" s="37">
        <f t="shared" si="112"/>
        <v>-22411.898329355758</v>
      </c>
      <c r="S375" s="37">
        <f t="shared" si="113"/>
        <v>12536.285955654626</v>
      </c>
      <c r="V375" s="37">
        <f t="shared" si="114"/>
        <v>-8445.5690419367966</v>
      </c>
      <c r="W375" s="37">
        <f t="shared" si="115"/>
        <v>-11376.73434906482</v>
      </c>
      <c r="Y375" s="37">
        <f t="shared" si="117"/>
        <v>-76169.96475219306</v>
      </c>
      <c r="Z375" s="37">
        <f t="shared" si="118"/>
        <v>39110.280693122346</v>
      </c>
      <c r="AA375" s="37">
        <f t="shared" si="119"/>
        <v>336.31481495262881</v>
      </c>
      <c r="AB375" s="37">
        <f t="shared" si="120"/>
        <v>-1519.6014440229005</v>
      </c>
      <c r="AC375" s="37">
        <f t="shared" si="121"/>
        <v>138.13761003580726</v>
      </c>
      <c r="AD375" s="37">
        <f t="shared" si="122"/>
        <v>-74.910732830471801</v>
      </c>
      <c r="AE375" s="39">
        <f t="shared" si="123"/>
        <v>47.836732713999154</v>
      </c>
      <c r="AF375" s="39">
        <f t="shared" si="124"/>
        <v>-15.723542713442651</v>
      </c>
      <c r="AG375" s="39">
        <f t="shared" si="125"/>
        <v>39.118069028413075</v>
      </c>
      <c r="AH375" s="39">
        <f t="shared" si="126"/>
        <v>-20.273076093493192</v>
      </c>
      <c r="AI375" s="39">
        <f t="shared" si="127"/>
        <v>51.182808293395027</v>
      </c>
      <c r="AJ375" s="39">
        <f t="shared" si="128"/>
        <v>-38.914114023535952</v>
      </c>
      <c r="AK375" s="37">
        <f t="shared" si="129"/>
        <v>101231.77349990486</v>
      </c>
      <c r="AL375" s="37">
        <f t="shared" si="130"/>
        <v>63265.103985490947</v>
      </c>
      <c r="AM375" s="37">
        <f t="shared" si="131"/>
        <v>89404.062321109843</v>
      </c>
    </row>
    <row r="376" spans="12:39">
      <c r="L376">
        <v>372</v>
      </c>
      <c r="M376" s="37">
        <f t="shared" si="116"/>
        <v>2.3373449342708215</v>
      </c>
      <c r="N376" s="37">
        <f t="shared" si="110"/>
        <v>16531.73347093592</v>
      </c>
      <c r="O376" s="37">
        <f t="shared" si="111"/>
        <v>11101.545124439481</v>
      </c>
      <c r="R376" s="37">
        <f t="shared" si="112"/>
        <v>-22427.786570344855</v>
      </c>
      <c r="S376" s="37">
        <f t="shared" si="113"/>
        <v>12521.081587107637</v>
      </c>
      <c r="V376" s="37">
        <f t="shared" si="114"/>
        <v>-8468.2665290640798</v>
      </c>
      <c r="W376" s="37">
        <f t="shared" si="115"/>
        <v>-11398.454875560519</v>
      </c>
      <c r="Y376" s="37">
        <f t="shared" si="117"/>
        <v>-75984.540143462262</v>
      </c>
      <c r="Z376" s="37">
        <f t="shared" si="118"/>
        <v>38341.116129507085</v>
      </c>
      <c r="AA376" s="37">
        <f t="shared" si="119"/>
        <v>405.38361997053244</v>
      </c>
      <c r="AB376" s="37">
        <f t="shared" si="120"/>
        <v>-1557.0568104381364</v>
      </c>
      <c r="AC376" s="37">
        <f t="shared" si="121"/>
        <v>140.37411376224551</v>
      </c>
      <c r="AD376" s="37">
        <f t="shared" si="122"/>
        <v>-74.900145186710802</v>
      </c>
      <c r="AE376" s="39">
        <f t="shared" si="123"/>
        <v>48.329449311840037</v>
      </c>
      <c r="AF376" s="39">
        <f t="shared" si="124"/>
        <v>-15.528898262926239</v>
      </c>
      <c r="AG376" s="39">
        <f t="shared" si="125"/>
        <v>39.946177874743846</v>
      </c>
      <c r="AH376" s="39">
        <f t="shared" si="126"/>
        <v>-20.221998129786694</v>
      </c>
      <c r="AI376" s="39">
        <f t="shared" si="127"/>
        <v>52.098486575661632</v>
      </c>
      <c r="AJ376" s="39">
        <f t="shared" si="128"/>
        <v>-39.14924879399787</v>
      </c>
      <c r="AK376" s="37">
        <f t="shared" si="129"/>
        <v>100817.68887782372</v>
      </c>
      <c r="AL376" s="37">
        <f t="shared" si="130"/>
        <v>62749.403172788378</v>
      </c>
      <c r="AM376" s="37">
        <f t="shared" si="131"/>
        <v>88792.339812172795</v>
      </c>
    </row>
    <row r="377" spans="12:39">
      <c r="L377">
        <v>373</v>
      </c>
      <c r="M377" s="37">
        <f t="shared" si="116"/>
        <v>2.3436281195780011</v>
      </c>
      <c r="N377" s="37">
        <f t="shared" si="110"/>
        <v>16509.172905032581</v>
      </c>
      <c r="O377" s="37">
        <f t="shared" si="111"/>
        <v>11079.682415109102</v>
      </c>
      <c r="R377" s="37">
        <f t="shared" si="112"/>
        <v>-22443.578966477195</v>
      </c>
      <c r="S377" s="37">
        <f t="shared" si="113"/>
        <v>12505.777690576371</v>
      </c>
      <c r="V377" s="37">
        <f t="shared" si="114"/>
        <v>-8490.8270949674188</v>
      </c>
      <c r="W377" s="37">
        <f t="shared" si="115"/>
        <v>-11420.317584890898</v>
      </c>
      <c r="Y377" s="37">
        <f t="shared" si="117"/>
        <v>-75764.301569256713</v>
      </c>
      <c r="Z377" s="37">
        <f t="shared" si="118"/>
        <v>37553.225206139679</v>
      </c>
      <c r="AA377" s="37">
        <f t="shared" si="119"/>
        <v>475.57067685165521</v>
      </c>
      <c r="AB377" s="37">
        <f t="shared" si="120"/>
        <v>-1594.5068830314917</v>
      </c>
      <c r="AC377" s="37">
        <f t="shared" si="121"/>
        <v>142.77666913651908</v>
      </c>
      <c r="AD377" s="37">
        <f t="shared" si="122"/>
        <v>-74.929668516539834</v>
      </c>
      <c r="AE377" s="39">
        <f t="shared" si="123"/>
        <v>48.861276510705636</v>
      </c>
      <c r="AF377" s="39">
        <f t="shared" si="124"/>
        <v>-15.333886665207123</v>
      </c>
      <c r="AG377" s="39">
        <f t="shared" si="125"/>
        <v>40.839401903848326</v>
      </c>
      <c r="AH377" s="39">
        <f t="shared" si="126"/>
        <v>-20.178809852809948</v>
      </c>
      <c r="AI377" s="39">
        <f t="shared" si="127"/>
        <v>53.075990721965105</v>
      </c>
      <c r="AJ377" s="39">
        <f t="shared" si="128"/>
        <v>-39.416971998522762</v>
      </c>
      <c r="AK377" s="37">
        <f t="shared" si="129"/>
        <v>100369.30706315798</v>
      </c>
      <c r="AL377" s="37">
        <f t="shared" si="130"/>
        <v>62199.980295553614</v>
      </c>
      <c r="AM377" s="37">
        <f t="shared" si="131"/>
        <v>88144.358050597555</v>
      </c>
    </row>
    <row r="378" spans="12:39">
      <c r="L378">
        <v>374</v>
      </c>
      <c r="M378" s="37">
        <f t="shared" si="116"/>
        <v>2.3499113048851807</v>
      </c>
      <c r="N378" s="37">
        <f t="shared" si="110"/>
        <v>16486.750151005697</v>
      </c>
      <c r="O378" s="37">
        <f t="shared" si="111"/>
        <v>11057.678386046373</v>
      </c>
      <c r="R378" s="37">
        <f t="shared" si="112"/>
        <v>-22459.27489429601</v>
      </c>
      <c r="S378" s="37">
        <f t="shared" si="113"/>
        <v>12490.374870232461</v>
      </c>
      <c r="V378" s="37">
        <f t="shared" si="114"/>
        <v>-8513.2498489943009</v>
      </c>
      <c r="W378" s="37">
        <f t="shared" si="115"/>
        <v>-11442.321613953627</v>
      </c>
      <c r="Y378" s="37">
        <f t="shared" si="117"/>
        <v>-75508.669147188819</v>
      </c>
      <c r="Z378" s="37">
        <f t="shared" si="118"/>
        <v>36746.605556059367</v>
      </c>
      <c r="AA378" s="37">
        <f t="shared" si="119"/>
        <v>546.95901141991476</v>
      </c>
      <c r="AB378" s="37">
        <f t="shared" si="120"/>
        <v>-1631.9717172897617</v>
      </c>
      <c r="AC378" s="37">
        <f t="shared" si="121"/>
        <v>145.35718443576607</v>
      </c>
      <c r="AD378" s="37">
        <f t="shared" si="122"/>
        <v>-74.99917594494535</v>
      </c>
      <c r="AE378" s="39">
        <f t="shared" si="123"/>
        <v>49.434151631855293</v>
      </c>
      <c r="AF378" s="39">
        <f t="shared" si="124"/>
        <v>-15.137695317973709</v>
      </c>
      <c r="AG378" s="39">
        <f t="shared" si="125"/>
        <v>41.803104477625595</v>
      </c>
      <c r="AH378" s="39">
        <f t="shared" si="126"/>
        <v>-20.142640125581458</v>
      </c>
      <c r="AI378" s="39">
        <f t="shared" si="127"/>
        <v>54.119928326285191</v>
      </c>
      <c r="AJ378" s="39">
        <f t="shared" si="128"/>
        <v>-39.718840501390183</v>
      </c>
      <c r="AK378" s="37">
        <f t="shared" si="129"/>
        <v>99886.284437949245</v>
      </c>
      <c r="AL378" s="37">
        <f t="shared" si="130"/>
        <v>61616.501517560195</v>
      </c>
      <c r="AM378" s="37">
        <f t="shared" si="131"/>
        <v>87459.611315636037</v>
      </c>
    </row>
    <row r="379" spans="12:39">
      <c r="L379">
        <v>375</v>
      </c>
      <c r="M379" s="37">
        <f t="shared" si="116"/>
        <v>2.3561944901923604</v>
      </c>
      <c r="N379" s="37">
        <f t="shared" si="110"/>
        <v>16464.466094067207</v>
      </c>
      <c r="O379" s="37">
        <f t="shared" si="111"/>
        <v>11035.533905932683</v>
      </c>
      <c r="R379" s="37">
        <f t="shared" si="112"/>
        <v>-22474.873734152956</v>
      </c>
      <c r="S379" s="37">
        <f t="shared" si="113"/>
        <v>12474.873734152878</v>
      </c>
      <c r="V379" s="37">
        <f t="shared" si="114"/>
        <v>-8535.5339059327925</v>
      </c>
      <c r="W379" s="37">
        <f t="shared" si="115"/>
        <v>-11464.466094067317</v>
      </c>
      <c r="Y379" s="37">
        <f t="shared" si="117"/>
        <v>-75217.019993424386</v>
      </c>
      <c r="Z379" s="37">
        <f t="shared" si="118"/>
        <v>35921.244800421366</v>
      </c>
      <c r="AA379" s="37">
        <f t="shared" si="119"/>
        <v>619.63760363779784</v>
      </c>
      <c r="AB379" s="37">
        <f t="shared" si="120"/>
        <v>-1669.4713052622344</v>
      </c>
      <c r="AC379" s="37">
        <f t="shared" si="121"/>
        <v>148.12895795003465</v>
      </c>
      <c r="AD379" s="37">
        <f t="shared" si="122"/>
        <v>-75.108561327460649</v>
      </c>
      <c r="AE379" s="39">
        <f t="shared" si="123"/>
        <v>50.050223738499653</v>
      </c>
      <c r="AF379" s="39">
        <f t="shared" si="124"/>
        <v>-14.939447393816728</v>
      </c>
      <c r="AG379" s="39">
        <f t="shared" si="125"/>
        <v>42.843310168198464</v>
      </c>
      <c r="AH379" s="39">
        <f t="shared" si="126"/>
        <v>-20.112493051282126</v>
      </c>
      <c r="AI379" s="39">
        <f t="shared" si="127"/>
        <v>55.235424043336529</v>
      </c>
      <c r="AJ379" s="39">
        <f t="shared" si="128"/>
        <v>-40.056620882361806</v>
      </c>
      <c r="AK379" s="37">
        <f t="shared" si="129"/>
        <v>99368.244688298975</v>
      </c>
      <c r="AL379" s="37">
        <f t="shared" si="130"/>
        <v>60998.608418205738</v>
      </c>
      <c r="AM379" s="37">
        <f t="shared" si="131"/>
        <v>86737.552817573771</v>
      </c>
    </row>
    <row r="380" spans="12:39">
      <c r="L380">
        <v>376</v>
      </c>
      <c r="M380" s="37">
        <f t="shared" si="116"/>
        <v>2.36247767549954</v>
      </c>
      <c r="N380" s="37">
        <f t="shared" si="110"/>
        <v>16442.321613953518</v>
      </c>
      <c r="O380" s="37">
        <f t="shared" si="111"/>
        <v>11013.24984899419</v>
      </c>
      <c r="R380" s="37">
        <f t="shared" si="112"/>
        <v>-22490.374870232536</v>
      </c>
      <c r="S380" s="37">
        <f t="shared" si="113"/>
        <v>12459.274894295933</v>
      </c>
      <c r="V380" s="37">
        <f t="shared" si="114"/>
        <v>-8557.678386046482</v>
      </c>
      <c r="W380" s="37">
        <f t="shared" si="115"/>
        <v>-11486.75015100581</v>
      </c>
      <c r="Y380" s="37">
        <f t="shared" si="117"/>
        <v>-74888.685071861735</v>
      </c>
      <c r="Z380" s="37">
        <f t="shared" si="118"/>
        <v>35077.120577624315</v>
      </c>
      <c r="AA380" s="37">
        <f t="shared" si="119"/>
        <v>693.70208261281516</v>
      </c>
      <c r="AB380" s="37">
        <f t="shared" si="120"/>
        <v>-1707.0255859259648</v>
      </c>
      <c r="AC380" s="37">
        <f t="shared" si="121"/>
        <v>151.10686486973279</v>
      </c>
      <c r="AD380" s="37">
        <f t="shared" si="122"/>
        <v>-75.257717895175546</v>
      </c>
      <c r="AE380" s="39">
        <f t="shared" si="123"/>
        <v>50.711875397063288</v>
      </c>
      <c r="AF380" s="39">
        <f t="shared" si="124"/>
        <v>-14.738190348861535</v>
      </c>
      <c r="AG380" s="39">
        <f t="shared" si="125"/>
        <v>43.966799826691158</v>
      </c>
      <c r="AH380" s="39">
        <f t="shared" si="126"/>
        <v>-20.08721358915237</v>
      </c>
      <c r="AI380" s="39">
        <f t="shared" si="127"/>
        <v>56.428189645978343</v>
      </c>
      <c r="AJ380" s="39">
        <f t="shared" si="128"/>
        <v>-40.432313957161639</v>
      </c>
      <c r="AK380" s="37">
        <f t="shared" si="129"/>
        <v>98814.77690112844</v>
      </c>
      <c r="AL380" s="37">
        <f t="shared" si="130"/>
        <v>60345.917222151213</v>
      </c>
      <c r="AM380" s="37">
        <f t="shared" si="131"/>
        <v>85977.591885443006</v>
      </c>
    </row>
    <row r="381" spans="12:39">
      <c r="L381">
        <v>377</v>
      </c>
      <c r="M381" s="37">
        <f t="shared" si="116"/>
        <v>2.3687608608067197</v>
      </c>
      <c r="N381" s="37">
        <f t="shared" si="110"/>
        <v>16420.317584890789</v>
      </c>
      <c r="O381" s="37">
        <f t="shared" si="111"/>
        <v>10990.827094967308</v>
      </c>
      <c r="R381" s="37">
        <f t="shared" si="112"/>
        <v>-22505.777690576448</v>
      </c>
      <c r="S381" s="37">
        <f t="shared" si="113"/>
        <v>12443.578966477115</v>
      </c>
      <c r="V381" s="37">
        <f t="shared" si="114"/>
        <v>-8579.6824151092096</v>
      </c>
      <c r="W381" s="37">
        <f t="shared" si="115"/>
        <v>-11509.172905032692</v>
      </c>
      <c r="Y381" s="37">
        <f t="shared" si="117"/>
        <v>-74522.945672446614</v>
      </c>
      <c r="Z381" s="37">
        <f t="shared" si="118"/>
        <v>34214.20056992444</v>
      </c>
      <c r="AA381" s="37">
        <f t="shared" si="119"/>
        <v>769.25551504768157</v>
      </c>
      <c r="AB381" s="37">
        <f t="shared" si="120"/>
        <v>-1744.6544448735526</v>
      </c>
      <c r="AC381" s="37">
        <f t="shared" si="121"/>
        <v>154.30757583408462</v>
      </c>
      <c r="AD381" s="37">
        <f t="shared" si="122"/>
        <v>-75.446511456057124</v>
      </c>
      <c r="AE381" s="39">
        <f t="shared" si="123"/>
        <v>51.421747671478485</v>
      </c>
      <c r="AF381" s="39">
        <f t="shared" si="124"/>
        <v>-14.532882689799113</v>
      </c>
      <c r="AG381" s="39">
        <f t="shared" si="125"/>
        <v>45.181222307273131</v>
      </c>
      <c r="AH381" s="39">
        <f t="shared" si="126"/>
        <v>-20.065445207512457</v>
      </c>
      <c r="AI381" s="39">
        <f t="shared" si="127"/>
        <v>57.704605855332986</v>
      </c>
      <c r="AJ381" s="39">
        <f t="shared" si="128"/>
        <v>-40.848183558745546</v>
      </c>
      <c r="AK381" s="37">
        <f t="shared" si="129"/>
        <v>98225.433420710571</v>
      </c>
      <c r="AL381" s="37">
        <f t="shared" si="130"/>
        <v>59658.018019718809</v>
      </c>
      <c r="AM381" s="37">
        <f t="shared" si="131"/>
        <v>85179.090818760887</v>
      </c>
    </row>
    <row r="382" spans="12:39">
      <c r="L382">
        <v>378</v>
      </c>
      <c r="M382" s="37">
        <f t="shared" si="116"/>
        <v>2.3750440461138993</v>
      </c>
      <c r="N382" s="37">
        <f t="shared" si="110"/>
        <v>16398.454875560412</v>
      </c>
      <c r="O382" s="37">
        <f t="shared" si="111"/>
        <v>10968.266529063969</v>
      </c>
      <c r="R382" s="37">
        <f t="shared" si="112"/>
        <v>-22521.081587107714</v>
      </c>
      <c r="S382" s="37">
        <f t="shared" si="113"/>
        <v>12427.786570344779</v>
      </c>
      <c r="V382" s="37">
        <f t="shared" si="114"/>
        <v>-8601.5451244395881</v>
      </c>
      <c r="W382" s="37">
        <f t="shared" si="115"/>
        <v>-11531.733470936031</v>
      </c>
      <c r="Y382" s="37">
        <f t="shared" si="117"/>
        <v>-74119.029467943517</v>
      </c>
      <c r="Z382" s="37">
        <f t="shared" si="118"/>
        <v>33332.442533555659</v>
      </c>
      <c r="AA382" s="37">
        <f t="shared" si="119"/>
        <v>846.40930296472391</v>
      </c>
      <c r="AB382" s="37">
        <f t="shared" si="120"/>
        <v>-1782.3777006015812</v>
      </c>
      <c r="AC382" s="37">
        <f t="shared" si="121"/>
        <v>157.74981333948458</v>
      </c>
      <c r="AD382" s="37">
        <f t="shared" si="122"/>
        <v>-75.674746425074375</v>
      </c>
      <c r="AE382" s="39">
        <f t="shared" si="123"/>
        <v>52.182768871622343</v>
      </c>
      <c r="AF382" s="39">
        <f t="shared" si="124"/>
        <v>-14.322378649018331</v>
      </c>
      <c r="AG382" s="39">
        <f t="shared" si="125"/>
        <v>46.495226187487354</v>
      </c>
      <c r="AH382" s="39">
        <f t="shared" si="126"/>
        <v>-20.045577383216223</v>
      </c>
      <c r="AI382" s="39">
        <f t="shared" si="127"/>
        <v>59.071818280374892</v>
      </c>
      <c r="AJ382" s="39">
        <f t="shared" si="128"/>
        <v>-41.306790392839829</v>
      </c>
      <c r="AK382" s="37">
        <f t="shared" si="129"/>
        <v>97599.727434235567</v>
      </c>
      <c r="AL382" s="37">
        <f t="shared" si="130"/>
        <v>58934.473995564054</v>
      </c>
      <c r="AM382" s="37">
        <f t="shared" si="131"/>
        <v>84341.36135876576</v>
      </c>
    </row>
    <row r="383" spans="12:39">
      <c r="L383">
        <v>379</v>
      </c>
      <c r="M383" s="37">
        <f t="shared" si="116"/>
        <v>2.3813272314210789</v>
      </c>
      <c r="N383" s="37">
        <f t="shared" si="110"/>
        <v>16376.734349064713</v>
      </c>
      <c r="O383" s="37">
        <f t="shared" si="111"/>
        <v>10945.569041936686</v>
      </c>
      <c r="R383" s="37">
        <f t="shared" si="112"/>
        <v>-22536.285955654701</v>
      </c>
      <c r="S383" s="37">
        <f t="shared" si="113"/>
        <v>12411.898329355679</v>
      </c>
      <c r="V383" s="37">
        <f t="shared" si="114"/>
        <v>-8623.2656509352873</v>
      </c>
      <c r="W383" s="37">
        <f t="shared" si="115"/>
        <v>-11554.430958063314</v>
      </c>
      <c r="Y383" s="37">
        <f t="shared" si="117"/>
        <v>-73676.106089793728</v>
      </c>
      <c r="Z383" s="37">
        <f t="shared" si="118"/>
        <v>32431.794339951735</v>
      </c>
      <c r="AA383" s="37">
        <f t="shared" si="119"/>
        <v>925.28420963446615</v>
      </c>
      <c r="AB383" s="37">
        <f t="shared" si="120"/>
        <v>-1820.2150738141183</v>
      </c>
      <c r="AC383" s="37">
        <f t="shared" si="121"/>
        <v>161.45465361004645</v>
      </c>
      <c r="AD383" s="37">
        <f t="shared" si="122"/>
        <v>-75.942122418214382</v>
      </c>
      <c r="AE383" s="39">
        <f t="shared" si="123"/>
        <v>52.998187680383516</v>
      </c>
      <c r="AF383" s="39">
        <f t="shared" si="124"/>
        <v>-14.105410342002346</v>
      </c>
      <c r="AG383" s="39">
        <f t="shared" si="125"/>
        <v>47.918615583924009</v>
      </c>
      <c r="AH383" s="39">
        <f t="shared" si="126"/>
        <v>-20.025680104954134</v>
      </c>
      <c r="AI383" s="39">
        <f t="shared" si="127"/>
        <v>60.537850345738924</v>
      </c>
      <c r="AJ383" s="39">
        <f t="shared" si="128"/>
        <v>-41.811031971257904</v>
      </c>
      <c r="AK383" s="37">
        <f t="shared" si="129"/>
        <v>96937.13025026035</v>
      </c>
      <c r="AL383" s="37">
        <f t="shared" si="130"/>
        <v>58174.820689647873</v>
      </c>
      <c r="AM383" s="37">
        <f t="shared" si="131"/>
        <v>83463.660727073802</v>
      </c>
    </row>
    <row r="384" spans="12:39">
      <c r="L384">
        <v>380</v>
      </c>
      <c r="M384" s="37">
        <f t="shared" si="116"/>
        <v>2.3876104167282586</v>
      </c>
      <c r="N384" s="37">
        <f t="shared" si="110"/>
        <v>16355.156862892889</v>
      </c>
      <c r="O384" s="37">
        <f t="shared" si="111"/>
        <v>10922.735529643385</v>
      </c>
      <c r="R384" s="37">
        <f t="shared" si="112"/>
        <v>-22551.390195974978</v>
      </c>
      <c r="S384" s="37">
        <f t="shared" si="113"/>
        <v>12395.91487075037</v>
      </c>
      <c r="V384" s="37">
        <f t="shared" si="114"/>
        <v>-8644.843137107111</v>
      </c>
      <c r="W384" s="37">
        <f t="shared" si="115"/>
        <v>-11577.264470356615</v>
      </c>
      <c r="Y384" s="37">
        <f t="shared" si="117"/>
        <v>-73193.282153275242</v>
      </c>
      <c r="Z384" s="37">
        <f t="shared" si="118"/>
        <v>31512.1940377424</v>
      </c>
      <c r="AA384" s="37">
        <f t="shared" si="119"/>
        <v>1006.0115364394894</v>
      </c>
      <c r="AB384" s="37">
        <f t="shared" si="120"/>
        <v>-1858.1861350232255</v>
      </c>
      <c r="AC384" s="37">
        <f t="shared" si="121"/>
        <v>165.44588329205263</v>
      </c>
      <c r="AD384" s="37">
        <f t="shared" si="122"/>
        <v>-76.2481784225441</v>
      </c>
      <c r="AE384" s="39">
        <f t="shared" si="123"/>
        <v>53.87161141021366</v>
      </c>
      <c r="AF384" s="39">
        <f t="shared" si="124"/>
        <v>-13.880566886574085</v>
      </c>
      <c r="AG384" s="39">
        <f t="shared" si="125"/>
        <v>49.462535108883344</v>
      </c>
      <c r="AH384" s="39">
        <f t="shared" si="126"/>
        <v>-20.003421668828693</v>
      </c>
      <c r="AI384" s="39">
        <f t="shared" si="127"/>
        <v>62.111736772955631</v>
      </c>
      <c r="AJ384" s="39">
        <f t="shared" si="128"/>
        <v>-42.364189867141327</v>
      </c>
      <c r="AK384" s="37">
        <f t="shared" si="129"/>
        <v>96237.068227404772</v>
      </c>
      <c r="AL384" s="37">
        <f t="shared" si="130"/>
        <v>57378.565323258386</v>
      </c>
      <c r="AM384" s="37">
        <f t="shared" si="131"/>
        <v>82545.187170669175</v>
      </c>
    </row>
    <row r="385" spans="12:39">
      <c r="L385">
        <v>381</v>
      </c>
      <c r="M385" s="37">
        <f t="shared" si="116"/>
        <v>2.3938936020354382</v>
      </c>
      <c r="N385" s="37">
        <f t="shared" si="110"/>
        <v>16333.723268887146</v>
      </c>
      <c r="O385" s="37">
        <f t="shared" si="111"/>
        <v>10899.766893612039</v>
      </c>
      <c r="R385" s="37">
        <f t="shared" si="112"/>
        <v>-22566.393711778997</v>
      </c>
      <c r="S385" s="37">
        <f t="shared" si="113"/>
        <v>12379.836825528426</v>
      </c>
      <c r="V385" s="37">
        <f t="shared" si="114"/>
        <v>-8666.2767311128537</v>
      </c>
      <c r="W385" s="37">
        <f t="shared" si="115"/>
        <v>-11600.233106387961</v>
      </c>
      <c r="Y385" s="37">
        <f t="shared" si="117"/>
        <v>-72669.59564964399</v>
      </c>
      <c r="Z385" s="37">
        <f t="shared" si="118"/>
        <v>30573.569947927968</v>
      </c>
      <c r="AA385" s="37">
        <f t="shared" si="119"/>
        <v>1088.7344780855158</v>
      </c>
      <c r="AB385" s="37">
        <f t="shared" si="120"/>
        <v>-1896.3102242344976</v>
      </c>
      <c r="AC385" s="37">
        <f t="shared" si="121"/>
        <v>169.75042254903633</v>
      </c>
      <c r="AD385" s="37">
        <f t="shared" si="122"/>
        <v>-76.592220576726817</v>
      </c>
      <c r="AE385" s="39">
        <f t="shared" si="123"/>
        <v>54.807050295418016</v>
      </c>
      <c r="AF385" s="39">
        <f t="shared" si="124"/>
        <v>-13.6462698446639</v>
      </c>
      <c r="AG385" s="39">
        <f t="shared" si="125"/>
        <v>51.139690198611248</v>
      </c>
      <c r="AH385" s="39">
        <f t="shared" si="126"/>
        <v>-19.975964889026191</v>
      </c>
      <c r="AI385" s="39">
        <f t="shared" si="127"/>
        <v>63.803682055007073</v>
      </c>
      <c r="AJ385" s="39">
        <f t="shared" si="128"/>
        <v>-42.969985843036717</v>
      </c>
      <c r="AK385" s="37">
        <f t="shared" si="129"/>
        <v>95498.919302840499</v>
      </c>
      <c r="AL385" s="37">
        <f t="shared" si="130"/>
        <v>56545.186234544155</v>
      </c>
      <c r="AM385" s="37">
        <f t="shared" si="131"/>
        <v>81585.074941345738</v>
      </c>
    </row>
    <row r="386" spans="12:39">
      <c r="L386">
        <v>382</v>
      </c>
      <c r="M386" s="37">
        <f t="shared" si="116"/>
        <v>2.4001767873426179</v>
      </c>
      <c r="N386" s="37">
        <f t="shared" si="110"/>
        <v>16312.434413209077</v>
      </c>
      <c r="O386" s="37">
        <f t="shared" si="111"/>
        <v>10876.664040605065</v>
      </c>
      <c r="R386" s="37">
        <f t="shared" si="112"/>
        <v>-22581.295910753644</v>
      </c>
      <c r="S386" s="37">
        <f t="shared" si="113"/>
        <v>12363.664828423545</v>
      </c>
      <c r="V386" s="37">
        <f t="shared" si="114"/>
        <v>-8687.5655867909227</v>
      </c>
      <c r="W386" s="37">
        <f t="shared" si="115"/>
        <v>-11623.335959394935</v>
      </c>
      <c r="Y386" s="37">
        <f t="shared" si="117"/>
        <v>-72104.009607782602</v>
      </c>
      <c r="Z386" s="37">
        <f t="shared" si="118"/>
        <v>29615.84080823863</v>
      </c>
      <c r="AA386" s="37">
        <f t="shared" si="119"/>
        <v>1173.6096893600338</v>
      </c>
      <c r="AB386" s="37">
        <f t="shared" si="120"/>
        <v>-1934.6063345228611</v>
      </c>
      <c r="AC386" s="37">
        <f t="shared" si="121"/>
        <v>174.39882893395074</v>
      </c>
      <c r="AD386" s="37">
        <f t="shared" si="122"/>
        <v>-76.973228266157605</v>
      </c>
      <c r="AE386" s="39">
        <f t="shared" si="123"/>
        <v>55.808968918475365</v>
      </c>
      <c r="AF386" s="39">
        <f t="shared" si="124"/>
        <v>-13.400744197011008</v>
      </c>
      <c r="AG386" s="39">
        <f t="shared" si="125"/>
        <v>52.964610529781453</v>
      </c>
      <c r="AH386" s="39">
        <f t="shared" si="126"/>
        <v>-19.939835272626862</v>
      </c>
      <c r="AI386" s="39">
        <f t="shared" si="127"/>
        <v>65.625249485693928</v>
      </c>
      <c r="AJ386" s="39">
        <f t="shared" si="128"/>
        <v>-43.632648796519739</v>
      </c>
      <c r="AK386" s="37">
        <f t="shared" si="129"/>
        <v>94722.009060650016</v>
      </c>
      <c r="AL386" s="37">
        <f t="shared" si="130"/>
        <v>55674.132483785157</v>
      </c>
      <c r="AM386" s="37">
        <f t="shared" si="131"/>
        <v>80582.388624732834</v>
      </c>
    </row>
    <row r="387" spans="12:39">
      <c r="L387">
        <v>383</v>
      </c>
      <c r="M387" s="37">
        <f t="shared" si="116"/>
        <v>2.4064599726497975</v>
      </c>
      <c r="N387" s="37">
        <f t="shared" si="110"/>
        <v>16291.29113630625</v>
      </c>
      <c r="O387" s="37">
        <f t="shared" si="111"/>
        <v>10853.427882683542</v>
      </c>
      <c r="R387" s="37">
        <f t="shared" si="112"/>
        <v>-22596.096204585625</v>
      </c>
      <c r="S387" s="37">
        <f t="shared" si="113"/>
        <v>12347.399517878479</v>
      </c>
      <c r="V387" s="37">
        <f t="shared" si="114"/>
        <v>-8708.7088636937497</v>
      </c>
      <c r="W387" s="37">
        <f t="shared" si="115"/>
        <v>-11646.572117316458</v>
      </c>
      <c r="Y387" s="37">
        <f t="shared" si="117"/>
        <v>-71495.404909485835</v>
      </c>
      <c r="Z387" s="37">
        <f t="shared" si="118"/>
        <v>28638.915987443928</v>
      </c>
      <c r="AA387" s="37">
        <f t="shared" si="119"/>
        <v>1260.8091038270093</v>
      </c>
      <c r="AB387" s="37">
        <f t="shared" si="120"/>
        <v>-1973.0929486559398</v>
      </c>
      <c r="AC387" s="37">
        <f t="shared" si="121"/>
        <v>179.42589996752787</v>
      </c>
      <c r="AD387" s="37">
        <f t="shared" si="122"/>
        <v>-77.389731415749793</v>
      </c>
      <c r="AE387" s="39">
        <f t="shared" si="123"/>
        <v>56.882346107331266</v>
      </c>
      <c r="AF387" s="39">
        <f t="shared" si="124"/>
        <v>-13.141983870349767</v>
      </c>
      <c r="AG387" s="39">
        <f t="shared" si="125"/>
        <v>54.953966106980253</v>
      </c>
      <c r="AH387" s="39">
        <f t="shared" si="126"/>
        <v>-19.890752568025064</v>
      </c>
      <c r="AI387" s="39">
        <f t="shared" si="127"/>
        <v>67.58958775321635</v>
      </c>
      <c r="AJ387" s="39">
        <f t="shared" si="128"/>
        <v>-44.35699497737496</v>
      </c>
      <c r="AK387" s="37">
        <f t="shared" si="129"/>
        <v>93905.606268608783</v>
      </c>
      <c r="AL387" s="37">
        <f t="shared" si="130"/>
        <v>54764.823709922508</v>
      </c>
      <c r="AM387" s="37">
        <f t="shared" si="131"/>
        <v>79536.116718354198</v>
      </c>
    </row>
    <row r="388" spans="12:39">
      <c r="L388">
        <v>384</v>
      </c>
      <c r="M388" s="37">
        <f t="shared" si="116"/>
        <v>2.4127431579569771</v>
      </c>
      <c r="N388" s="37">
        <f t="shared" si="110"/>
        <v>16270.294272879037</v>
      </c>
      <c r="O388" s="37">
        <f t="shared" si="111"/>
        <v>10830.059337171198</v>
      </c>
      <c r="R388" s="37">
        <f t="shared" si="112"/>
        <v>-22610.794008984674</v>
      </c>
      <c r="S388" s="37">
        <f t="shared" si="113"/>
        <v>12331.041536019839</v>
      </c>
      <c r="V388" s="37">
        <f t="shared" si="114"/>
        <v>-8729.7057271209633</v>
      </c>
      <c r="W388" s="37">
        <f t="shared" si="115"/>
        <v>-11669.940662828802</v>
      </c>
      <c r="Y388" s="37">
        <f t="shared" si="117"/>
        <v>-70842.57212007638</v>
      </c>
      <c r="Z388" s="37">
        <f t="shared" si="118"/>
        <v>27642.69579668899</v>
      </c>
      <c r="AA388" s="37">
        <f t="shared" si="119"/>
        <v>1350.5220538107733</v>
      </c>
      <c r="AB388" s="37">
        <f t="shared" si="120"/>
        <v>-2011.7878143638147</v>
      </c>
      <c r="AC388" s="37">
        <f t="shared" si="121"/>
        <v>184.87139687609434</v>
      </c>
      <c r="AD388" s="37">
        <f t="shared" si="122"/>
        <v>-77.839649353518752</v>
      </c>
      <c r="AE388" s="39">
        <f t="shared" si="123"/>
        <v>58.032744938864539</v>
      </c>
      <c r="AF388" s="39">
        <f t="shared" si="124"/>
        <v>-12.867710592840577</v>
      </c>
      <c r="AG388" s="39">
        <f t="shared" si="125"/>
        <v>57.126947947582238</v>
      </c>
      <c r="AH388" s="39">
        <f t="shared" si="126"/>
        <v>-19.823414166619187</v>
      </c>
      <c r="AI388" s="39">
        <f t="shared" si="127"/>
        <v>69.71170398964756</v>
      </c>
      <c r="AJ388" s="39">
        <f t="shared" si="128"/>
        <v>-45.148524594058983</v>
      </c>
      <c r="AK388" s="37">
        <f t="shared" si="129"/>
        <v>93048.917797840244</v>
      </c>
      <c r="AL388" s="37">
        <f t="shared" si="130"/>
        <v>53816.650348750576</v>
      </c>
      <c r="AM388" s="37">
        <f t="shared" si="131"/>
        <v>78445.164339151059</v>
      </c>
    </row>
    <row r="389" spans="12:39">
      <c r="L389">
        <v>385</v>
      </c>
      <c r="M389" s="37">
        <f t="shared" si="116"/>
        <v>2.4190263432641568</v>
      </c>
      <c r="N389" s="37">
        <f t="shared" ref="N389:N452" si="132">COS(M389)*$D$37+$D$36</f>
        <v>16249.444651847649</v>
      </c>
      <c r="O389" s="37">
        <f t="shared" ref="O389:O452" si="133">SIN(M389)*$D$37+$E$36</f>
        <v>10806.559326618199</v>
      </c>
      <c r="R389" s="37">
        <f t="shared" ref="R389:R452" si="134">COS(M389)*$D$48+$D$47</f>
        <v>-22625.388743706644</v>
      </c>
      <c r="S389" s="37">
        <f t="shared" ref="S389:S452" si="135">SIN(M389)*$D$48+$E$47</f>
        <v>12314.59152863274</v>
      </c>
      <c r="V389" s="37">
        <f t="shared" ref="V389:V452" si="136">COS(M389)*$D$57+$D$56</f>
        <v>-8750.5553481523511</v>
      </c>
      <c r="W389" s="37">
        <f t="shared" ref="W389:W452" si="137">SIN(M389)*$D$57+$E$56</f>
        <v>-11693.440673381801</v>
      </c>
      <c r="Y389" s="37">
        <f t="shared" si="117"/>
        <v>-70144.202168561489</v>
      </c>
      <c r="Z389" s="37">
        <f t="shared" si="118"/>
        <v>26627.071933337891</v>
      </c>
      <c r="AA389" s="37">
        <f t="shared" si="119"/>
        <v>1442.9577522488205</v>
      </c>
      <c r="AB389" s="37">
        <f t="shared" si="120"/>
        <v>-2050.7076390405741</v>
      </c>
      <c r="AC389" s="37">
        <f t="shared" si="121"/>
        <v>190.78091772200818</v>
      </c>
      <c r="AD389" s="37">
        <f t="shared" si="122"/>
        <v>-78.320078134817862</v>
      </c>
      <c r="AE389" s="39">
        <f t="shared" si="123"/>
        <v>59.266394858695747</v>
      </c>
      <c r="AF389" s="39">
        <f t="shared" si="124"/>
        <v>-12.57532454025346</v>
      </c>
      <c r="AG389" s="39">
        <f t="shared" si="125"/>
        <v>59.505728230118045</v>
      </c>
      <c r="AH389" s="39">
        <f t="shared" si="126"/>
        <v>-19.731214795319804</v>
      </c>
      <c r="AI389" s="39">
        <f t="shared" si="127"/>
        <v>72.008794633194384</v>
      </c>
      <c r="AJ389" s="39">
        <f t="shared" si="128"/>
        <v>-46.013538799244607</v>
      </c>
      <c r="AK389" s="37">
        <f t="shared" si="129"/>
        <v>92151.082822447439</v>
      </c>
      <c r="AL389" s="37">
        <f t="shared" si="130"/>
        <v>52828.974362540481</v>
      </c>
      <c r="AM389" s="37">
        <f t="shared" si="131"/>
        <v>77308.344917749331</v>
      </c>
    </row>
    <row r="390" spans="12:39">
      <c r="L390">
        <v>386</v>
      </c>
      <c r="M390" s="37">
        <f t="shared" ref="M390:M453" si="138">M389+$J$3</f>
        <v>2.4253095285713364</v>
      </c>
      <c r="N390" s="37">
        <f t="shared" si="132"/>
        <v>16228.743096319427</v>
      </c>
      <c r="O390" s="37">
        <f t="shared" si="133"/>
        <v>10782.928778764723</v>
      </c>
      <c r="R390" s="37">
        <f t="shared" si="134"/>
        <v>-22639.8798325764</v>
      </c>
      <c r="S390" s="37">
        <f t="shared" si="135"/>
        <v>12298.050145135305</v>
      </c>
      <c r="V390" s="37">
        <f t="shared" si="136"/>
        <v>-8771.2569036805726</v>
      </c>
      <c r="W390" s="37">
        <f t="shared" si="137"/>
        <v>-11717.071221235277</v>
      </c>
      <c r="Y390" s="37">
        <f t="shared" ref="Y390:Y453" si="139">Y389+(AA389*$D$14)+((1/2)*AC389)*$D$14^2</f>
        <v>-69398.875677721822</v>
      </c>
      <c r="Z390" s="37">
        <f t="shared" ref="Z390:Z453" si="140">Z389+(AB389*$D$14)+((1/2)*AD389)*$D$14^2</f>
        <v>25591.928104050752</v>
      </c>
      <c r="AA390" s="37">
        <f t="shared" ref="AA390:AA453" si="141">AA389+(AC389*$D$14)</f>
        <v>1538.3482111098247</v>
      </c>
      <c r="AB390" s="37">
        <f t="shared" ref="AB390:AB453" si="142">AB389+(AD389*$D$14)</f>
        <v>-2089.867678107983</v>
      </c>
      <c r="AC390" s="37">
        <f t="shared" ref="AC390:AC453" si="143">AE390+AG390+AI390</f>
        <v>197.20695556300268</v>
      </c>
      <c r="AD390" s="37">
        <f t="shared" ref="AD390:AD453" si="144">AF390+AH390+AJ390</f>
        <v>-78.827008347408835</v>
      </c>
      <c r="AE390" s="39">
        <f t="shared" ref="AE390:AE453" si="145">$D$40*($D$36-Y390)/(AK390^2+$D$41^2)^(3/2)</f>
        <v>60.590288401849364</v>
      </c>
      <c r="AF390" s="39">
        <f t="shared" ref="AF390:AF453" si="146">$D$40*($E$36-Z390)/(AK390^2+$D$41^2)^(3/2)</f>
        <v>-12.261844830372183</v>
      </c>
      <c r="AG390" s="39">
        <f t="shared" ref="AG390:AG453" si="147">$D$51*($D$47-Y390)/(AL390^2+$D$52^2)^(3/2)</f>
        <v>62.116018447058003</v>
      </c>
      <c r="AH390" s="39">
        <f t="shared" ref="AH390:AH453" si="148">$D$51*($E$47-Z390)/(AL390^2+$D$52^2)^(3/2)</f>
        <v>-19.605881317116737</v>
      </c>
      <c r="AI390" s="39">
        <f t="shared" ref="AI390:AI453" si="149">$D$60*($D$56-Y390)/(AM390^2+$D$61^2)^(3/2)</f>
        <v>74.500648714095306</v>
      </c>
      <c r="AJ390" s="39">
        <f t="shared" ref="AJ390:AJ453" si="150">$D$60*($E$56-Z390)/(AM390^2+$D$61^2)^(3/2)</f>
        <v>-46.959282199919912</v>
      </c>
      <c r="AK390" s="37">
        <f t="shared" ref="AK390:AK453" si="151">SQRT(($D$36-Y390)^2+($E$36-Z390)^2)</f>
        <v>91211.166174777652</v>
      </c>
      <c r="AL390" s="37">
        <f t="shared" ref="AL390:AL453" si="152">SQRT(($D$47-Y390)^2+($E$47-Z390)^2)</f>
        <v>51801.130684811353</v>
      </c>
      <c r="AM390" s="37">
        <f t="shared" ref="AM390:AM453" si="153">SQRT(($D$56-Y390)^2+($E$56-Z390)^2)</f>
        <v>76124.370708460352</v>
      </c>
    </row>
    <row r="391" spans="12:39">
      <c r="L391">
        <v>387</v>
      </c>
      <c r="M391" s="37">
        <f t="shared" si="138"/>
        <v>2.4315927138785161</v>
      </c>
      <c r="N391" s="37">
        <f t="shared" si="132"/>
        <v>16208.190423556338</v>
      </c>
      <c r="O391" s="37">
        <f t="shared" si="133"/>
        <v>10759.168626504334</v>
      </c>
      <c r="R391" s="37">
        <f t="shared" si="134"/>
        <v>-22654.266703510562</v>
      </c>
      <c r="S391" s="37">
        <f t="shared" si="135"/>
        <v>12281.418038553033</v>
      </c>
      <c r="V391" s="37">
        <f t="shared" si="136"/>
        <v>-8791.8095764436621</v>
      </c>
      <c r="W391" s="37">
        <f t="shared" si="137"/>
        <v>-11740.831373495666</v>
      </c>
      <c r="Y391" s="37">
        <f t="shared" si="139"/>
        <v>-68605.050702721535</v>
      </c>
      <c r="Z391" s="37">
        <f t="shared" si="140"/>
        <v>24537.140888953334</v>
      </c>
      <c r="AA391" s="37">
        <f t="shared" si="141"/>
        <v>1636.9516888913261</v>
      </c>
      <c r="AB391" s="37">
        <f t="shared" si="142"/>
        <v>-2129.2811822816875</v>
      </c>
      <c r="AC391" s="37">
        <f t="shared" si="143"/>
        <v>204.21018677497617</v>
      </c>
      <c r="AD391" s="37">
        <f t="shared" si="144"/>
        <v>-79.354948558080451</v>
      </c>
      <c r="AE391" s="39">
        <f t="shared" si="145"/>
        <v>62.012295602739535</v>
      </c>
      <c r="AF391" s="39">
        <f t="shared" si="146"/>
        <v>-11.923837395861268</v>
      </c>
      <c r="AG391" s="39">
        <f t="shared" si="147"/>
        <v>64.987748666452362</v>
      </c>
      <c r="AH391" s="39">
        <f t="shared" si="148"/>
        <v>-19.436993579089275</v>
      </c>
      <c r="AI391" s="39">
        <f t="shared" si="149"/>
        <v>77.210142505784262</v>
      </c>
      <c r="AJ391" s="39">
        <f t="shared" si="150"/>
        <v>-47.994117583129906</v>
      </c>
      <c r="AK391" s="37">
        <f t="shared" si="151"/>
        <v>90228.150705319786</v>
      </c>
      <c r="AL391" s="37">
        <f t="shared" si="152"/>
        <v>50732.4296583498</v>
      </c>
      <c r="AM391" s="37">
        <f t="shared" si="153"/>
        <v>74891.841909307608</v>
      </c>
    </row>
    <row r="392" spans="12:39">
      <c r="L392">
        <v>388</v>
      </c>
      <c r="M392" s="37">
        <f t="shared" si="138"/>
        <v>2.4378758991856957</v>
      </c>
      <c r="N392" s="37">
        <f t="shared" si="132"/>
        <v>16187.787444942709</v>
      </c>
      <c r="O392" s="37">
        <f t="shared" si="133"/>
        <v>10735.279807847161</v>
      </c>
      <c r="R392" s="37">
        <f t="shared" si="134"/>
        <v>-22668.548788540105</v>
      </c>
      <c r="S392" s="37">
        <f t="shared" si="135"/>
        <v>12264.695865493013</v>
      </c>
      <c r="V392" s="37">
        <f t="shared" si="136"/>
        <v>-8812.212555057291</v>
      </c>
      <c r="W392" s="37">
        <f t="shared" si="137"/>
        <v>-11764.720192152839</v>
      </c>
      <c r="Y392" s="37">
        <f t="shared" si="139"/>
        <v>-67761.048584928998</v>
      </c>
      <c r="Z392" s="37">
        <f t="shared" si="140"/>
        <v>23462.580929242729</v>
      </c>
      <c r="AA392" s="37">
        <f t="shared" si="141"/>
        <v>1739.0567822788141</v>
      </c>
      <c r="AB392" s="37">
        <f t="shared" si="142"/>
        <v>-2168.9586565607278</v>
      </c>
      <c r="AC392" s="37">
        <f t="shared" si="143"/>
        <v>211.86104686318555</v>
      </c>
      <c r="AD392" s="37">
        <f t="shared" si="144"/>
        <v>-79.896419823545813</v>
      </c>
      <c r="AE392" s="39">
        <f t="shared" si="145"/>
        <v>63.541299957210889</v>
      </c>
      <c r="AF392" s="39">
        <f t="shared" si="146"/>
        <v>-11.55732707471828</v>
      </c>
      <c r="AG392" s="39">
        <f t="shared" si="147"/>
        <v>68.155896608566721</v>
      </c>
      <c r="AH392" s="39">
        <f t="shared" si="148"/>
        <v>-19.211351113163456</v>
      </c>
      <c r="AI392" s="39">
        <f t="shared" si="149"/>
        <v>80.163850297407947</v>
      </c>
      <c r="AJ392" s="39">
        <f t="shared" si="150"/>
        <v>-49.127741635664073</v>
      </c>
      <c r="AK392" s="37">
        <f t="shared" si="151"/>
        <v>89200.928462930766</v>
      </c>
      <c r="AL392" s="37">
        <f t="shared" si="152"/>
        <v>49622.160847834493</v>
      </c>
      <c r="AM392" s="37">
        <f t="shared" si="153"/>
        <v>73609.23414367497</v>
      </c>
    </row>
    <row r="393" spans="12:39">
      <c r="L393">
        <v>389</v>
      </c>
      <c r="M393" s="37">
        <f t="shared" si="138"/>
        <v>2.4441590844928753</v>
      </c>
      <c r="N393" s="37">
        <f t="shared" si="132"/>
        <v>16167.534965953198</v>
      </c>
      <c r="O393" s="37">
        <f t="shared" si="133"/>
        <v>10711.263265882859</v>
      </c>
      <c r="R393" s="37">
        <f t="shared" si="134"/>
        <v>-22682.72552383276</v>
      </c>
      <c r="S393" s="37">
        <f t="shared" si="135"/>
        <v>12247.884286118002</v>
      </c>
      <c r="V393" s="37">
        <f t="shared" si="136"/>
        <v>-8832.4650340468015</v>
      </c>
      <c r="W393" s="37">
        <f t="shared" si="137"/>
        <v>-11788.736734117141</v>
      </c>
      <c r="Y393" s="37">
        <f t="shared" si="139"/>
        <v>-66865.037562931699</v>
      </c>
      <c r="Z393" s="37">
        <f t="shared" si="140"/>
        <v>22368.11454848442</v>
      </c>
      <c r="AA393" s="37">
        <f t="shared" si="141"/>
        <v>1844.9873057104069</v>
      </c>
      <c r="AB393" s="37">
        <f t="shared" si="142"/>
        <v>-2208.906866472501</v>
      </c>
      <c r="AC393" s="37">
        <f t="shared" si="143"/>
        <v>220.2416667065894</v>
      </c>
      <c r="AD393" s="37">
        <f t="shared" si="144"/>
        <v>-80.441272753395253</v>
      </c>
      <c r="AE393" s="39">
        <f t="shared" si="145"/>
        <v>65.187360799119745</v>
      </c>
      <c r="AF393" s="39">
        <f t="shared" si="146"/>
        <v>-11.157689844691806</v>
      </c>
      <c r="AG393" s="39">
        <f t="shared" si="147"/>
        <v>71.661501984688428</v>
      </c>
      <c r="AH393" s="39">
        <f t="shared" si="148"/>
        <v>-18.912129624838084</v>
      </c>
      <c r="AI393" s="39">
        <f t="shared" si="149"/>
        <v>83.392803922781241</v>
      </c>
      <c r="AJ393" s="39">
        <f t="shared" si="150"/>
        <v>-50.371453283865357</v>
      </c>
      <c r="AK393" s="37">
        <f t="shared" si="151"/>
        <v>88128.290469272062</v>
      </c>
      <c r="AL393" s="37">
        <f t="shared" si="152"/>
        <v>48469.598752820624</v>
      </c>
      <c r="AM393" s="37">
        <f t="shared" si="153"/>
        <v>72274.884002477673</v>
      </c>
    </row>
    <row r="394" spans="12:39">
      <c r="L394">
        <v>390</v>
      </c>
      <c r="M394" s="37">
        <f t="shared" si="138"/>
        <v>2.450442269800055</v>
      </c>
      <c r="N394" s="37">
        <f t="shared" si="132"/>
        <v>16147.433786121002</v>
      </c>
      <c r="O394" s="37">
        <f t="shared" si="133"/>
        <v>10687.119948743386</v>
      </c>
      <c r="R394" s="37">
        <f t="shared" si="134"/>
        <v>-22696.7963497153</v>
      </c>
      <c r="S394" s="37">
        <f t="shared" si="135"/>
        <v>12230.983964120371</v>
      </c>
      <c r="V394" s="37">
        <f t="shared" si="136"/>
        <v>-8852.5662138789976</v>
      </c>
      <c r="W394" s="37">
        <f t="shared" si="137"/>
        <v>-11812.880051256614</v>
      </c>
      <c r="Y394" s="37">
        <f t="shared" si="139"/>
        <v>-65915.013701738164</v>
      </c>
      <c r="Z394" s="37">
        <f t="shared" si="140"/>
        <v>21253.605956153995</v>
      </c>
      <c r="AA394" s="37">
        <f t="shared" si="141"/>
        <v>1955.1081390637016</v>
      </c>
      <c r="AB394" s="37">
        <f t="shared" si="142"/>
        <v>-2249.1275028491987</v>
      </c>
      <c r="AC394" s="37">
        <f t="shared" si="143"/>
        <v>229.44826210039253</v>
      </c>
      <c r="AD394" s="37">
        <f t="shared" si="144"/>
        <v>-80.975758511318986</v>
      </c>
      <c r="AE394" s="39">
        <f t="shared" si="145"/>
        <v>66.961908254656024</v>
      </c>
      <c r="AF394" s="39">
        <f t="shared" si="146"/>
        <v>-10.719519913060811</v>
      </c>
      <c r="AG394" s="39">
        <f t="shared" si="147"/>
        <v>75.55290938300891</v>
      </c>
      <c r="AH394" s="39">
        <f t="shared" si="148"/>
        <v>-18.517748389677717</v>
      </c>
      <c r="AI394" s="39">
        <f t="shared" si="149"/>
        <v>86.933444462727621</v>
      </c>
      <c r="AJ394" s="39">
        <f t="shared" si="150"/>
        <v>-51.738490208580458</v>
      </c>
      <c r="AK394" s="37">
        <f t="shared" si="151"/>
        <v>87008.914808581598</v>
      </c>
      <c r="AL394" s="37">
        <f t="shared" si="152"/>
        <v>47274.011150389895</v>
      </c>
      <c r="AM394" s="37">
        <f t="shared" si="153"/>
        <v>70886.972280575166</v>
      </c>
    </row>
    <row r="395" spans="12:39">
      <c r="L395">
        <v>391</v>
      </c>
      <c r="M395" s="37">
        <f t="shared" si="138"/>
        <v>2.4567254551072346</v>
      </c>
      <c r="N395" s="37">
        <f t="shared" si="132"/>
        <v>16127.48469900628</v>
      </c>
      <c r="O395" s="37">
        <f t="shared" si="133"/>
        <v>10662.85080956556</v>
      </c>
      <c r="R395" s="37">
        <f t="shared" si="134"/>
        <v>-22710.760710695606</v>
      </c>
      <c r="S395" s="37">
        <f t="shared" si="135"/>
        <v>12213.995566695892</v>
      </c>
      <c r="V395" s="37">
        <f t="shared" si="136"/>
        <v>-8872.5153009937203</v>
      </c>
      <c r="W395" s="37">
        <f t="shared" si="137"/>
        <v>-11837.14919043444</v>
      </c>
      <c r="Y395" s="37">
        <f t="shared" si="139"/>
        <v>-64908.778599443765</v>
      </c>
      <c r="Z395" s="37">
        <f t="shared" si="140"/>
        <v>20118.92023491548</v>
      </c>
      <c r="AA395" s="37">
        <f t="shared" si="141"/>
        <v>2069.8322701138977</v>
      </c>
      <c r="AB395" s="37">
        <f t="shared" si="142"/>
        <v>-2289.6153821048583</v>
      </c>
      <c r="AC395" s="37">
        <f t="shared" si="143"/>
        <v>239.59409462724142</v>
      </c>
      <c r="AD395" s="37">
        <f t="shared" si="144"/>
        <v>-81.48125591174086</v>
      </c>
      <c r="AE395" s="39">
        <f t="shared" si="145"/>
        <v>68.877978643441651</v>
      </c>
      <c r="AF395" s="39">
        <f t="shared" si="146"/>
        <v>-10.236464742286332</v>
      </c>
      <c r="AG395" s="39">
        <f t="shared" si="147"/>
        <v>79.887291537486419</v>
      </c>
      <c r="AH395" s="39">
        <f t="shared" si="148"/>
        <v>-18.000336594798323</v>
      </c>
      <c r="AI395" s="39">
        <f t="shared" si="149"/>
        <v>90.828824446313334</v>
      </c>
      <c r="AJ395" s="39">
        <f t="shared" si="150"/>
        <v>-53.244454574656203</v>
      </c>
      <c r="AK395" s="37">
        <f t="shared" si="151"/>
        <v>85841.352687061721</v>
      </c>
      <c r="AL395" s="37">
        <f t="shared" si="152"/>
        <v>46034.671086198068</v>
      </c>
      <c r="AM395" s="37">
        <f t="shared" si="153"/>
        <v>69443.504460413911</v>
      </c>
    </row>
    <row r="396" spans="12:39">
      <c r="L396">
        <v>392</v>
      </c>
      <c r="M396" s="37">
        <f t="shared" si="138"/>
        <v>2.4630086404144143</v>
      </c>
      <c r="N396" s="37">
        <f t="shared" si="132"/>
        <v>16107.688492164831</v>
      </c>
      <c r="O396" s="37">
        <f t="shared" si="133"/>
        <v>10638.456806453438</v>
      </c>
      <c r="R396" s="37">
        <f t="shared" si="134"/>
        <v>-22724.618055484618</v>
      </c>
      <c r="S396" s="37">
        <f t="shared" si="135"/>
        <v>12196.919764517406</v>
      </c>
      <c r="V396" s="37">
        <f t="shared" si="136"/>
        <v>-8892.3115078351693</v>
      </c>
      <c r="W396" s="37">
        <f t="shared" si="137"/>
        <v>-11861.543193546562</v>
      </c>
      <c r="Y396" s="37">
        <f t="shared" si="139"/>
        <v>-63843.913202558411</v>
      </c>
      <c r="Z396" s="37">
        <f t="shared" si="140"/>
        <v>18963.927386874086</v>
      </c>
      <c r="AA396" s="37">
        <f t="shared" si="141"/>
        <v>2189.6293174275183</v>
      </c>
      <c r="AB396" s="37">
        <f t="shared" si="142"/>
        <v>-2330.3560100607287</v>
      </c>
      <c r="AC396" s="37">
        <f t="shared" si="143"/>
        <v>250.8131531320754</v>
      </c>
      <c r="AD396" s="37">
        <f t="shared" si="144"/>
        <v>-81.932513939610374</v>
      </c>
      <c r="AE396" s="39">
        <f t="shared" si="145"/>
        <v>70.950500451352696</v>
      </c>
      <c r="AF396" s="39">
        <f t="shared" si="146"/>
        <v>-9.7010188834061388</v>
      </c>
      <c r="AG396" s="39">
        <f t="shared" si="147"/>
        <v>84.732512960469876</v>
      </c>
      <c r="AH396" s="39">
        <f t="shared" si="148"/>
        <v>-17.323638288762471</v>
      </c>
      <c r="AI396" s="39">
        <f t="shared" si="149"/>
        <v>95.130139720252814</v>
      </c>
      <c r="AJ396" s="39">
        <f t="shared" si="150"/>
        <v>-54.907856767441764</v>
      </c>
      <c r="AK396" s="37">
        <f t="shared" si="151"/>
        <v>84624.012031158563</v>
      </c>
      <c r="AL396" s="37">
        <f t="shared" si="152"/>
        <v>44750.873948009408</v>
      </c>
      <c r="AM396" s="37">
        <f t="shared" si="153"/>
        <v>67942.287895912697</v>
      </c>
    </row>
    <row r="397" spans="12:39">
      <c r="L397">
        <v>393</v>
      </c>
      <c r="M397" s="37">
        <f t="shared" si="138"/>
        <v>2.4692918257215939</v>
      </c>
      <c r="N397" s="37">
        <f t="shared" si="132"/>
        <v>16088.045947117009</v>
      </c>
      <c r="O397" s="37">
        <f t="shared" si="133"/>
        <v>10613.938902440499</v>
      </c>
      <c r="R397" s="37">
        <f t="shared" si="134"/>
        <v>-22738.367837018093</v>
      </c>
      <c r="S397" s="37">
        <f t="shared" si="135"/>
        <v>12179.757231708349</v>
      </c>
      <c r="V397" s="37">
        <f t="shared" si="136"/>
        <v>-8911.9540528829912</v>
      </c>
      <c r="W397" s="37">
        <f t="shared" si="137"/>
        <v>-11886.061097559501</v>
      </c>
      <c r="Y397" s="37">
        <f t="shared" si="139"/>
        <v>-62717.746899703139</v>
      </c>
      <c r="Z397" s="37">
        <f t="shared" si="140"/>
        <v>17788.507817601268</v>
      </c>
      <c r="AA397" s="37">
        <f t="shared" si="141"/>
        <v>2315.0358939935559</v>
      </c>
      <c r="AB397" s="37">
        <f t="shared" si="142"/>
        <v>-2371.322267030534</v>
      </c>
      <c r="AC397" s="37">
        <f t="shared" si="143"/>
        <v>263.26474267157511</v>
      </c>
      <c r="AD397" s="37">
        <f t="shared" si="144"/>
        <v>-82.295205815961523</v>
      </c>
      <c r="AE397" s="39">
        <f t="shared" si="145"/>
        <v>73.1966440098238</v>
      </c>
      <c r="AF397" s="39">
        <f t="shared" si="146"/>
        <v>-9.104264469756151</v>
      </c>
      <c r="AG397" s="39">
        <f t="shared" si="147"/>
        <v>90.16939901961976</v>
      </c>
      <c r="AH397" s="39">
        <f t="shared" si="148"/>
        <v>-16.440124307623471</v>
      </c>
      <c r="AI397" s="39">
        <f t="shared" si="149"/>
        <v>99.898699642131518</v>
      </c>
      <c r="AJ397" s="39">
        <f t="shared" si="150"/>
        <v>-56.7508170385819</v>
      </c>
      <c r="AK397" s="37">
        <f t="shared" si="151"/>
        <v>83355.138085640472</v>
      </c>
      <c r="AL397" s="37">
        <f t="shared" si="152"/>
        <v>43421.961657805528</v>
      </c>
      <c r="AM397" s="37">
        <f t="shared" si="153"/>
        <v>66380.90502609234</v>
      </c>
    </row>
    <row r="398" spans="12:39">
      <c r="L398">
        <v>394</v>
      </c>
      <c r="M398" s="37">
        <f t="shared" si="138"/>
        <v>2.4755750110287735</v>
      </c>
      <c r="N398" s="37">
        <f t="shared" si="132"/>
        <v>16068.557839316854</v>
      </c>
      <c r="O398" s="37">
        <f t="shared" si="133"/>
        <v>10589.298065451607</v>
      </c>
      <c r="R398" s="37">
        <f t="shared" si="134"/>
        <v>-22752.009512478202</v>
      </c>
      <c r="S398" s="37">
        <f t="shared" si="135"/>
        <v>12162.508645816124</v>
      </c>
      <c r="V398" s="37">
        <f t="shared" si="136"/>
        <v>-8931.4421606831456</v>
      </c>
      <c r="W398" s="37">
        <f t="shared" si="137"/>
        <v>-11910.701934548393</v>
      </c>
      <c r="Y398" s="37">
        <f t="shared" si="139"/>
        <v>-61527.320859872416</v>
      </c>
      <c r="Z398" s="37">
        <f t="shared" si="140"/>
        <v>16592.559783359007</v>
      </c>
      <c r="AA398" s="37">
        <f t="shared" si="141"/>
        <v>2446.6682653293433</v>
      </c>
      <c r="AB398" s="37">
        <f t="shared" si="142"/>
        <v>-2412.4698699385149</v>
      </c>
      <c r="AC398" s="37">
        <f t="shared" si="143"/>
        <v>277.13921045075546</v>
      </c>
      <c r="AD398" s="37">
        <f t="shared" si="144"/>
        <v>-82.522496894267448</v>
      </c>
      <c r="AE398" s="39">
        <f t="shared" si="145"/>
        <v>75.636252069129029</v>
      </c>
      <c r="AF398" s="39">
        <f t="shared" si="146"/>
        <v>-8.4355420547894511</v>
      </c>
      <c r="AG398" s="39">
        <f t="shared" si="147"/>
        <v>96.294471891656826</v>
      </c>
      <c r="AH398" s="39">
        <f t="shared" si="148"/>
        <v>-15.286973722549016</v>
      </c>
      <c r="AI398" s="39">
        <f t="shared" si="149"/>
        <v>105.20848648996962</v>
      </c>
      <c r="AJ398" s="39">
        <f t="shared" si="150"/>
        <v>-58.799981116928983</v>
      </c>
      <c r="AK398" s="37">
        <f t="shared" si="151"/>
        <v>82032.790334125209</v>
      </c>
      <c r="AL398" s="37">
        <f t="shared" si="152"/>
        <v>42047.356900237588</v>
      </c>
      <c r="AM398" s="37">
        <f t="shared" si="153"/>
        <v>64756.681796244629</v>
      </c>
    </row>
    <row r="399" spans="12:39">
      <c r="L399">
        <v>395</v>
      </c>
      <c r="M399" s="37">
        <f t="shared" si="138"/>
        <v>2.4818581963359532</v>
      </c>
      <c r="N399" s="37">
        <f t="shared" si="132"/>
        <v>16049.224938121497</v>
      </c>
      <c r="O399" s="37">
        <f t="shared" si="133"/>
        <v>10564.535268264817</v>
      </c>
      <c r="R399" s="37">
        <f t="shared" si="134"/>
        <v>-22765.54254331495</v>
      </c>
      <c r="S399" s="37">
        <f t="shared" si="135"/>
        <v>12145.174687785373</v>
      </c>
      <c r="V399" s="37">
        <f t="shared" si="136"/>
        <v>-8950.775061878503</v>
      </c>
      <c r="W399" s="37">
        <f t="shared" si="137"/>
        <v>-11935.464731735183</v>
      </c>
      <c r="Y399" s="37">
        <f t="shared" si="139"/>
        <v>-60269.344325901402</v>
      </c>
      <c r="Z399" s="37">
        <f t="shared" si="140"/>
        <v>15376.009536277967</v>
      </c>
      <c r="AA399" s="37">
        <f t="shared" si="141"/>
        <v>2585.2378705547212</v>
      </c>
      <c r="AB399" s="37">
        <f t="shared" si="142"/>
        <v>-2453.7311183856486</v>
      </c>
      <c r="AC399" s="37">
        <f t="shared" si="143"/>
        <v>292.66508087836746</v>
      </c>
      <c r="AD399" s="37">
        <f t="shared" si="144"/>
        <v>-82.550188776707955</v>
      </c>
      <c r="AE399" s="39">
        <f t="shared" si="145"/>
        <v>78.292373962618029</v>
      </c>
      <c r="AF399" s="39">
        <f t="shared" si="146"/>
        <v>-7.6820296605866867</v>
      </c>
      <c r="AG399" s="39">
        <f t="shared" si="147"/>
        <v>103.22319062457041</v>
      </c>
      <c r="AH399" s="39">
        <f t="shared" si="148"/>
        <v>-13.780429417267579</v>
      </c>
      <c r="AI399" s="39">
        <f t="shared" si="149"/>
        <v>111.14951629117903</v>
      </c>
      <c r="AJ399" s="39">
        <f t="shared" si="150"/>
        <v>-61.087729698853686</v>
      </c>
      <c r="AK399" s="37">
        <f t="shared" si="151"/>
        <v>80654.814888670226</v>
      </c>
      <c r="AL399" s="37">
        <f t="shared" si="152"/>
        <v>40626.611610767628</v>
      </c>
      <c r="AM399" s="37">
        <f t="shared" si="153"/>
        <v>63066.650280184534</v>
      </c>
    </row>
    <row r="400" spans="12:39">
      <c r="L400">
        <v>396</v>
      </c>
      <c r="M400" s="37">
        <f t="shared" si="138"/>
        <v>2.4881413816431328</v>
      </c>
      <c r="N400" s="37">
        <f t="shared" si="132"/>
        <v>16030.048006760773</v>
      </c>
      <c r="O400" s="37">
        <f t="shared" si="133"/>
        <v>10539.651488472962</v>
      </c>
      <c r="R400" s="37">
        <f t="shared" si="134"/>
        <v>-22778.96639526746</v>
      </c>
      <c r="S400" s="37">
        <f t="shared" si="135"/>
        <v>12127.756041931072</v>
      </c>
      <c r="V400" s="37">
        <f t="shared" si="136"/>
        <v>-8969.9519932392268</v>
      </c>
      <c r="W400" s="37">
        <f t="shared" si="137"/>
        <v>-11960.348511527038</v>
      </c>
      <c r="Y400" s="37">
        <f t="shared" si="139"/>
        <v>-58940.142255514249</v>
      </c>
      <c r="Z400" s="37">
        <f t="shared" si="140"/>
        <v>14138.825203488055</v>
      </c>
      <c r="AA400" s="37">
        <f t="shared" si="141"/>
        <v>2731.5704109939052</v>
      </c>
      <c r="AB400" s="37">
        <f t="shared" si="142"/>
        <v>-2495.0062127740025</v>
      </c>
      <c r="AC400" s="37">
        <f t="shared" si="143"/>
        <v>310.11790105509834</v>
      </c>
      <c r="AD400" s="37">
        <f t="shared" si="144"/>
        <v>-82.289793269493615</v>
      </c>
      <c r="AE400" s="39">
        <f t="shared" si="145"/>
        <v>81.191933622986582</v>
      </c>
      <c r="AF400" s="39">
        <f t="shared" si="146"/>
        <v>-6.82819969479546</v>
      </c>
      <c r="AG400" s="39">
        <f t="shared" si="147"/>
        <v>111.09366389350333</v>
      </c>
      <c r="AH400" s="39">
        <f t="shared" si="148"/>
        <v>-11.807796002726503</v>
      </c>
      <c r="AI400" s="39">
        <f t="shared" si="149"/>
        <v>117.83230353860841</v>
      </c>
      <c r="AJ400" s="39">
        <f t="shared" si="150"/>
        <v>-63.653797571971651</v>
      </c>
      <c r="AK400" s="37">
        <f t="shared" si="151"/>
        <v>79218.811272344232</v>
      </c>
      <c r="AL400" s="37">
        <f t="shared" si="152"/>
        <v>39159.475902324259</v>
      </c>
      <c r="AM400" s="37">
        <f t="shared" si="153"/>
        <v>61307.504277898515</v>
      </c>
    </row>
    <row r="401" spans="12:39">
      <c r="L401">
        <v>397</v>
      </c>
      <c r="M401" s="37">
        <f t="shared" si="138"/>
        <v>2.4944245669503124</v>
      </c>
      <c r="N401" s="37">
        <f t="shared" si="132"/>
        <v>16011.027802307095</v>
      </c>
      <c r="O401" s="37">
        <f t="shared" si="133"/>
        <v>10514.647708445058</v>
      </c>
      <c r="R401" s="37">
        <f t="shared" si="134"/>
        <v>-22792.280538385035</v>
      </c>
      <c r="S401" s="37">
        <f t="shared" si="135"/>
        <v>12110.253395911541</v>
      </c>
      <c r="V401" s="37">
        <f t="shared" si="136"/>
        <v>-8988.972197692905</v>
      </c>
      <c r="W401" s="37">
        <f t="shared" si="137"/>
        <v>-11985.352291554942</v>
      </c>
      <c r="Y401" s="37">
        <f t="shared" si="139"/>
        <v>-57535.592312385408</v>
      </c>
      <c r="Z401" s="37">
        <f t="shared" si="140"/>
        <v>12881.035872942368</v>
      </c>
      <c r="AA401" s="37">
        <f t="shared" si="141"/>
        <v>2886.6293615214545</v>
      </c>
      <c r="AB401" s="37">
        <f t="shared" si="142"/>
        <v>-2536.1511094087491</v>
      </c>
      <c r="AC401" s="37">
        <f t="shared" si="143"/>
        <v>329.83108251989051</v>
      </c>
      <c r="AD401" s="37">
        <f t="shared" si="144"/>
        <v>-81.618579605129696</v>
      </c>
      <c r="AE401" s="39">
        <f t="shared" si="145"/>
        <v>84.366572200755215</v>
      </c>
      <c r="AF401" s="39">
        <f t="shared" si="146"/>
        <v>-5.8551116713005138</v>
      </c>
      <c r="AG401" s="39">
        <f t="shared" si="147"/>
        <v>120.07064315419358</v>
      </c>
      <c r="AH401" s="39">
        <f t="shared" si="148"/>
        <v>-9.2159949771286751</v>
      </c>
      <c r="AI401" s="39">
        <f t="shared" si="149"/>
        <v>125.39386716494174</v>
      </c>
      <c r="AJ401" s="39">
        <f t="shared" si="150"/>
        <v>-66.547472956700503</v>
      </c>
      <c r="AK401" s="37">
        <f t="shared" si="151"/>
        <v>77722.092240870174</v>
      </c>
      <c r="AL401" s="37">
        <f t="shared" si="152"/>
        <v>37645.996572581091</v>
      </c>
      <c r="AM401" s="37">
        <f t="shared" si="153"/>
        <v>59475.54641162591</v>
      </c>
    </row>
    <row r="402" spans="12:39">
      <c r="L402">
        <v>398</v>
      </c>
      <c r="M402" s="37">
        <f t="shared" si="138"/>
        <v>2.5007077522574921</v>
      </c>
      <c r="N402" s="37">
        <f t="shared" si="132"/>
        <v>15992.165075645567</v>
      </c>
      <c r="O402" s="37">
        <f t="shared" si="133"/>
        <v>10489.524915287528</v>
      </c>
      <c r="R402" s="37">
        <f t="shared" si="134"/>
        <v>-22805.484447048104</v>
      </c>
      <c r="S402" s="37">
        <f t="shared" si="135"/>
        <v>12092.667440701269</v>
      </c>
      <c r="V402" s="37">
        <f t="shared" si="136"/>
        <v>-9007.8349243544326</v>
      </c>
      <c r="W402" s="37">
        <f t="shared" si="137"/>
        <v>-12010.475084712472</v>
      </c>
      <c r="Y402" s="37">
        <f t="shared" si="139"/>
        <v>-56051.048746309694</v>
      </c>
      <c r="Z402" s="37">
        <f t="shared" si="140"/>
        <v>11602.757995787353</v>
      </c>
      <c r="AA402" s="37">
        <f t="shared" si="141"/>
        <v>3051.5449027813997</v>
      </c>
      <c r="AB402" s="37">
        <f t="shared" si="142"/>
        <v>-2576.9603992113139</v>
      </c>
      <c r="AC402" s="37">
        <f t="shared" si="143"/>
        <v>352.20889651896954</v>
      </c>
      <c r="AD402" s="37">
        <f t="shared" si="144"/>
        <v>-80.365183840046953</v>
      </c>
      <c r="AE402" s="39">
        <f t="shared" si="145"/>
        <v>87.853720724788275</v>
      </c>
      <c r="AF402" s="39">
        <f t="shared" si="146"/>
        <v>-4.7394817179399418</v>
      </c>
      <c r="AG402" s="39">
        <f t="shared" si="147"/>
        <v>130.34925579246348</v>
      </c>
      <c r="AH402" s="39">
        <f t="shared" si="148"/>
        <v>-5.7950689156494333</v>
      </c>
      <c r="AI402" s="39">
        <f t="shared" si="149"/>
        <v>134.00592000171778</v>
      </c>
      <c r="AJ402" s="39">
        <f t="shared" si="150"/>
        <v>-69.830633206457577</v>
      </c>
      <c r="AK402" s="37">
        <f t="shared" si="151"/>
        <v>76161.634952156659</v>
      </c>
      <c r="AL402" s="37">
        <f t="shared" si="152"/>
        <v>36086.658876956979</v>
      </c>
      <c r="AM402" s="37">
        <f t="shared" si="153"/>
        <v>57566.62497559256</v>
      </c>
    </row>
    <row r="403" spans="12:39">
      <c r="L403">
        <v>399</v>
      </c>
      <c r="M403" s="37">
        <f t="shared" si="138"/>
        <v>2.5069909375646717</v>
      </c>
      <c r="N403" s="37">
        <f t="shared" si="132"/>
        <v>15973.460571444341</v>
      </c>
      <c r="O403" s="37">
        <f t="shared" si="133"/>
        <v>10464.284100805229</v>
      </c>
      <c r="R403" s="37">
        <f t="shared" si="134"/>
        <v>-22818.577599988963</v>
      </c>
      <c r="S403" s="37">
        <f t="shared" si="135"/>
        <v>12074.998870563661</v>
      </c>
      <c r="V403" s="37">
        <f t="shared" si="136"/>
        <v>-9026.5394285556595</v>
      </c>
      <c r="W403" s="37">
        <f t="shared" si="137"/>
        <v>-12035.715899194771</v>
      </c>
      <c r="Y403" s="37">
        <f t="shared" si="139"/>
        <v>-54481.250182854121</v>
      </c>
      <c r="Z403" s="37">
        <f t="shared" si="140"/>
        <v>10304.232148201691</v>
      </c>
      <c r="AA403" s="37">
        <f t="shared" si="141"/>
        <v>3227.6493510408845</v>
      </c>
      <c r="AB403" s="37">
        <f t="shared" si="142"/>
        <v>-2617.1429911313376</v>
      </c>
      <c r="AC403" s="37">
        <f t="shared" si="143"/>
        <v>377.74139386081072</v>
      </c>
      <c r="AD403" s="37">
        <f t="shared" si="144"/>
        <v>-78.288724316335177</v>
      </c>
      <c r="AE403" s="39">
        <f t="shared" si="145"/>
        <v>91.697979009839756</v>
      </c>
      <c r="AF403" s="39">
        <f t="shared" si="146"/>
        <v>-3.4524450117744085</v>
      </c>
      <c r="AG403" s="39">
        <f t="shared" si="147"/>
        <v>142.15721454268191</v>
      </c>
      <c r="AH403" s="39">
        <f t="shared" si="148"/>
        <v>-1.2542699157756836</v>
      </c>
      <c r="AI403" s="39">
        <f t="shared" si="149"/>
        <v>143.88620030828903</v>
      </c>
      <c r="AJ403" s="39">
        <f t="shared" si="150"/>
        <v>-73.582009388785082</v>
      </c>
      <c r="AK403" s="37">
        <f t="shared" si="151"/>
        <v>74534.021404603656</v>
      </c>
      <c r="AL403" s="37">
        <f t="shared" si="152"/>
        <v>34482.592294846057</v>
      </c>
      <c r="AM403" s="37">
        <f t="shared" si="153"/>
        <v>55576.058552836264</v>
      </c>
    </row>
    <row r="404" spans="12:39">
      <c r="L404">
        <v>400</v>
      </c>
      <c r="M404" s="37">
        <f t="shared" si="138"/>
        <v>2.5132741228718514</v>
      </c>
      <c r="N404" s="37">
        <f t="shared" si="132"/>
        <v>15954.915028125213</v>
      </c>
      <c r="O404" s="37">
        <f t="shared" si="133"/>
        <v>10438.926261462298</v>
      </c>
      <c r="R404" s="37">
        <f t="shared" si="134"/>
        <v>-22831.559480312349</v>
      </c>
      <c r="S404" s="37">
        <f t="shared" si="135"/>
        <v>12057.248383023609</v>
      </c>
      <c r="V404" s="37">
        <f t="shared" si="136"/>
        <v>-9045.0849718747868</v>
      </c>
      <c r="W404" s="37">
        <f t="shared" si="137"/>
        <v>-12061.073738537702</v>
      </c>
      <c r="Y404" s="37">
        <f t="shared" si="139"/>
        <v>-52820.207833101071</v>
      </c>
      <c r="Z404" s="37">
        <f t="shared" si="140"/>
        <v>8985.8745620964783</v>
      </c>
      <c r="AA404" s="37">
        <f t="shared" si="141"/>
        <v>3416.5200479712898</v>
      </c>
      <c r="AB404" s="37">
        <f t="shared" si="142"/>
        <v>-2656.2873532895051</v>
      </c>
      <c r="AC404" s="37">
        <f t="shared" si="143"/>
        <v>407.02007884919277</v>
      </c>
      <c r="AD404" s="37">
        <f t="shared" si="144"/>
        <v>-75.048514574489218</v>
      </c>
      <c r="AE404" s="39">
        <f t="shared" si="145"/>
        <v>95.952906607678941</v>
      </c>
      <c r="AF404" s="39">
        <f t="shared" si="146"/>
        <v>-1.9578903621689605</v>
      </c>
      <c r="AG404" s="39">
        <f t="shared" si="147"/>
        <v>155.75277101200098</v>
      </c>
      <c r="AH404" s="39">
        <f t="shared" si="148"/>
        <v>4.8126705324494594</v>
      </c>
      <c r="AI404" s="39">
        <f t="shared" si="149"/>
        <v>155.31440122951284</v>
      </c>
      <c r="AJ404" s="39">
        <f t="shared" si="150"/>
        <v>-77.90329474476971</v>
      </c>
      <c r="AK404" s="37">
        <f t="shared" si="151"/>
        <v>72835.365668542639</v>
      </c>
      <c r="AL404" s="37">
        <f t="shared" si="152"/>
        <v>32835.872039763948</v>
      </c>
      <c r="AM404" s="37">
        <f t="shared" si="153"/>
        <v>53498.546295292996</v>
      </c>
    </row>
    <row r="405" spans="12:39">
      <c r="L405">
        <v>401</v>
      </c>
      <c r="M405" s="37">
        <f t="shared" si="138"/>
        <v>2.519557308179031</v>
      </c>
      <c r="N405" s="37">
        <f t="shared" si="132"/>
        <v>15936.529177834482</v>
      </c>
      <c r="O405" s="37">
        <f t="shared" si="133"/>
        <v>10413.452398342812</v>
      </c>
      <c r="R405" s="37">
        <f t="shared" si="134"/>
        <v>-22844.429575515864</v>
      </c>
      <c r="S405" s="37">
        <f t="shared" si="135"/>
        <v>12039.416678839969</v>
      </c>
      <c r="V405" s="37">
        <f t="shared" si="136"/>
        <v>-9063.4708221655183</v>
      </c>
      <c r="W405" s="37">
        <f t="shared" si="137"/>
        <v>-12086.547601657188</v>
      </c>
      <c r="Y405" s="37">
        <f t="shared" si="139"/>
        <v>-51061.070299259278</v>
      </c>
      <c r="Z405" s="37">
        <f t="shared" si="140"/>
        <v>7648.3498211299147</v>
      </c>
      <c r="AA405" s="37">
        <f t="shared" si="141"/>
        <v>3620.0300873958863</v>
      </c>
      <c r="AB405" s="37">
        <f t="shared" si="142"/>
        <v>-2693.8116105767494</v>
      </c>
      <c r="AC405" s="37">
        <f t="shared" si="143"/>
        <v>440.75107285504566</v>
      </c>
      <c r="AD405" s="37">
        <f t="shared" si="144"/>
        <v>-70.160524066988017</v>
      </c>
      <c r="AE405" s="39">
        <f t="shared" si="145"/>
        <v>100.68337400410236</v>
      </c>
      <c r="AF405" s="39">
        <f t="shared" si="146"/>
        <v>-0.21019048068602741</v>
      </c>
      <c r="AG405" s="39">
        <f t="shared" si="147"/>
        <v>171.41274863914614</v>
      </c>
      <c r="AH405" s="39">
        <f t="shared" si="148"/>
        <v>12.977750512591768</v>
      </c>
      <c r="AI405" s="39">
        <f t="shared" si="149"/>
        <v>168.65495021179717</v>
      </c>
      <c r="AJ405" s="39">
        <f t="shared" si="150"/>
        <v>-82.928084098893763</v>
      </c>
      <c r="AK405" s="37">
        <f t="shared" si="151"/>
        <v>71061.225149484279</v>
      </c>
      <c r="AL405" s="37">
        <f t="shared" si="152"/>
        <v>31149.965436566807</v>
      </c>
      <c r="AM405" s="37">
        <f t="shared" si="153"/>
        <v>51328.061981079903</v>
      </c>
    </row>
    <row r="406" spans="12:39">
      <c r="L406">
        <v>402</v>
      </c>
      <c r="M406" s="37">
        <f t="shared" si="138"/>
        <v>2.5258404934862106</v>
      </c>
      <c r="N406" s="37">
        <f t="shared" si="132"/>
        <v>15918.303746414033</v>
      </c>
      <c r="O406" s="37">
        <f t="shared" si="133"/>
        <v>10387.863517111269</v>
      </c>
      <c r="R406" s="37">
        <f t="shared" si="134"/>
        <v>-22857.187377510178</v>
      </c>
      <c r="S406" s="37">
        <f t="shared" si="135"/>
        <v>12021.504461977889</v>
      </c>
      <c r="V406" s="37">
        <f t="shared" si="136"/>
        <v>-9081.6962535859675</v>
      </c>
      <c r="W406" s="37">
        <f t="shared" si="137"/>
        <v>-12112.136482888731</v>
      </c>
      <c r="Y406" s="37">
        <f t="shared" si="139"/>
        <v>-49195.961371454454</v>
      </c>
      <c r="Z406" s="37">
        <f t="shared" si="140"/>
        <v>6292.6739503331664</v>
      </c>
      <c r="AA406" s="37">
        <f t="shared" si="141"/>
        <v>3840.4056238234093</v>
      </c>
      <c r="AB406" s="37">
        <f t="shared" si="142"/>
        <v>-2728.8918726102434</v>
      </c>
      <c r="AC406" s="37">
        <f t="shared" si="143"/>
        <v>479.75810575739786</v>
      </c>
      <c r="AD406" s="37">
        <f t="shared" si="144"/>
        <v>-62.936273663425254</v>
      </c>
      <c r="AE406" s="39">
        <f t="shared" si="145"/>
        <v>105.96868309126361</v>
      </c>
      <c r="AF406" s="39">
        <f t="shared" si="146"/>
        <v>1.8489337962685017</v>
      </c>
      <c r="AG406" s="39">
        <f t="shared" si="147"/>
        <v>189.39923324546493</v>
      </c>
      <c r="AH406" s="39">
        <f t="shared" si="148"/>
        <v>24.050063029757222</v>
      </c>
      <c r="AI406" s="39">
        <f t="shared" si="149"/>
        <v>184.39018942066932</v>
      </c>
      <c r="AJ406" s="39">
        <f t="shared" si="150"/>
        <v>-88.835270489450977</v>
      </c>
      <c r="AK406" s="37">
        <f t="shared" si="151"/>
        <v>69206.493238062714</v>
      </c>
      <c r="AL406" s="37">
        <f t="shared" si="152"/>
        <v>29430.399705780397</v>
      </c>
      <c r="AM406" s="37">
        <f t="shared" si="153"/>
        <v>49057.73094530862</v>
      </c>
    </row>
    <row r="407" spans="12:39">
      <c r="L407">
        <v>403</v>
      </c>
      <c r="M407" s="37">
        <f t="shared" si="138"/>
        <v>2.5321236787933903</v>
      </c>
      <c r="N407" s="37">
        <f t="shared" si="132"/>
        <v>15900.239453372691</v>
      </c>
      <c r="O407" s="37">
        <f t="shared" si="133"/>
        <v>10362.160627972884</v>
      </c>
      <c r="R407" s="37">
        <f t="shared" si="134"/>
        <v>-22869.832382639117</v>
      </c>
      <c r="S407" s="37">
        <f t="shared" si="135"/>
        <v>12003.51243958102</v>
      </c>
      <c r="V407" s="37">
        <f t="shared" si="136"/>
        <v>-9099.7605466273089</v>
      </c>
      <c r="W407" s="37">
        <f t="shared" si="137"/>
        <v>-12137.839372027116</v>
      </c>
      <c r="Y407" s="37">
        <f t="shared" si="139"/>
        <v>-47215.788796323075</v>
      </c>
      <c r="Z407" s="37">
        <f t="shared" si="140"/>
        <v>4920.360979820116</v>
      </c>
      <c r="AA407" s="37">
        <f t="shared" si="141"/>
        <v>4080.2846767021083</v>
      </c>
      <c r="AB407" s="37">
        <f t="shared" si="142"/>
        <v>-2760.3600094419562</v>
      </c>
      <c r="AC407" s="37">
        <f t="shared" si="143"/>
        <v>524.95891084051198</v>
      </c>
      <c r="AD407" s="37">
        <f t="shared" si="144"/>
        <v>-52.401728366996807</v>
      </c>
      <c r="AE407" s="39">
        <f t="shared" si="145"/>
        <v>111.90675253131064</v>
      </c>
      <c r="AF407" s="39">
        <f t="shared" si="146"/>
        <v>4.2948097555789539</v>
      </c>
      <c r="AG407" s="39">
        <f t="shared" si="147"/>
        <v>209.88249033236477</v>
      </c>
      <c r="AH407" s="39">
        <f t="shared" si="148"/>
        <v>39.173117322575777</v>
      </c>
      <c r="AI407" s="39">
        <f t="shared" si="149"/>
        <v>203.16966797683651</v>
      </c>
      <c r="AJ407" s="39">
        <f t="shared" si="150"/>
        <v>-95.869655445151537</v>
      </c>
      <c r="AK407" s="37">
        <f t="shared" si="151"/>
        <v>67265.271879227133</v>
      </c>
      <c r="AL407" s="37">
        <f t="shared" si="152"/>
        <v>27685.770575900515</v>
      </c>
      <c r="AM407" s="37">
        <f t="shared" si="153"/>
        <v>46679.691572054078</v>
      </c>
    </row>
    <row r="408" spans="12:39">
      <c r="L408">
        <v>404</v>
      </c>
      <c r="M408" s="37">
        <f t="shared" si="138"/>
        <v>2.5384068641005699</v>
      </c>
      <c r="N408" s="37">
        <f t="shared" si="132"/>
        <v>15882.337011857813</v>
      </c>
      <c r="O408" s="37">
        <f t="shared" si="133"/>
        <v>10336.344745633713</v>
      </c>
      <c r="R408" s="37">
        <f t="shared" si="134"/>
        <v>-22882.364091699528</v>
      </c>
      <c r="S408" s="37">
        <f t="shared" si="135"/>
        <v>11985.441321943599</v>
      </c>
      <c r="V408" s="37">
        <f t="shared" si="136"/>
        <v>-9117.6629881421868</v>
      </c>
      <c r="W408" s="37">
        <f t="shared" si="137"/>
        <v>-12163.655254366287</v>
      </c>
      <c r="Y408" s="37">
        <f t="shared" si="139"/>
        <v>-45110.026594116956</v>
      </c>
      <c r="Z408" s="37">
        <f t="shared" si="140"/>
        <v>3533.6307590532633</v>
      </c>
      <c r="AA408" s="37">
        <f t="shared" si="141"/>
        <v>4342.7641321223646</v>
      </c>
      <c r="AB408" s="37">
        <f t="shared" si="142"/>
        <v>-2786.5608736254544</v>
      </c>
      <c r="AC408" s="37">
        <f t="shared" si="143"/>
        <v>577.2823583033794</v>
      </c>
      <c r="AD408" s="37">
        <f t="shared" si="144"/>
        <v>-37.203286178787252</v>
      </c>
      <c r="AE408" s="39">
        <f t="shared" si="145"/>
        <v>118.61978393826398</v>
      </c>
      <c r="AF408" s="39">
        <f t="shared" si="146"/>
        <v>7.2260738781972691</v>
      </c>
      <c r="AG408" s="39">
        <f t="shared" si="147"/>
        <v>232.7776615285095</v>
      </c>
      <c r="AH408" s="39">
        <f t="shared" si="148"/>
        <v>59.945229641458241</v>
      </c>
      <c r="AI408" s="39">
        <f t="shared" si="149"/>
        <v>225.88491283660596</v>
      </c>
      <c r="AJ408" s="39">
        <f t="shared" si="150"/>
        <v>-104.37458969844276</v>
      </c>
      <c r="AK408" s="37">
        <f t="shared" si="151"/>
        <v>65230.726257202943</v>
      </c>
      <c r="AL408" s="37">
        <f t="shared" si="152"/>
        <v>25929.276247468282</v>
      </c>
      <c r="AM408" s="37">
        <f t="shared" si="153"/>
        <v>44184.948823029037</v>
      </c>
    </row>
    <row r="409" spans="12:39">
      <c r="L409">
        <v>405</v>
      </c>
      <c r="M409" s="37">
        <f t="shared" si="138"/>
        <v>2.5446900494077496</v>
      </c>
      <c r="N409" s="37">
        <f t="shared" si="132"/>
        <v>15864.597128627143</v>
      </c>
      <c r="O409" s="37">
        <f t="shared" si="133"/>
        <v>10310.416889260583</v>
      </c>
      <c r="R409" s="37">
        <f t="shared" si="134"/>
        <v>-22894.782009961</v>
      </c>
      <c r="S409" s="37">
        <f t="shared" si="135"/>
        <v>11967.291822482408</v>
      </c>
      <c r="V409" s="37">
        <f t="shared" si="136"/>
        <v>-9135.4028713728567</v>
      </c>
      <c r="W409" s="37">
        <f t="shared" si="137"/>
        <v>-12189.583110739417</v>
      </c>
      <c r="Y409" s="37">
        <f t="shared" si="139"/>
        <v>-42866.484233267853</v>
      </c>
      <c r="Z409" s="37">
        <f t="shared" si="140"/>
        <v>2135.6999114681876</v>
      </c>
      <c r="AA409" s="37">
        <f t="shared" si="141"/>
        <v>4631.4053112740539</v>
      </c>
      <c r="AB409" s="37">
        <f t="shared" si="142"/>
        <v>-2805.1625167148482</v>
      </c>
      <c r="AC409" s="37">
        <f t="shared" si="143"/>
        <v>637.46750449541321</v>
      </c>
      <c r="AD409" s="37">
        <f t="shared" si="144"/>
        <v>-15.538985947070302</v>
      </c>
      <c r="AE409" s="39">
        <f t="shared" si="145"/>
        <v>126.26198239876419</v>
      </c>
      <c r="AF409" s="39">
        <f t="shared" si="146"/>
        <v>10.773740119563959</v>
      </c>
      <c r="AG409" s="39">
        <f t="shared" si="147"/>
        <v>257.4201910757115</v>
      </c>
      <c r="AH409" s="39">
        <f t="shared" si="148"/>
        <v>88.532614406953911</v>
      </c>
      <c r="AI409" s="39">
        <f t="shared" si="149"/>
        <v>253.78533102093755</v>
      </c>
      <c r="AJ409" s="39">
        <f t="shared" si="150"/>
        <v>-114.84534047358817</v>
      </c>
      <c r="AK409" s="37">
        <f t="shared" si="151"/>
        <v>63094.932881266606</v>
      </c>
      <c r="AL409" s="37">
        <f t="shared" si="152"/>
        <v>24181.052852859175</v>
      </c>
      <c r="AM409" s="37">
        <f t="shared" si="153"/>
        <v>41563.23904178082</v>
      </c>
    </row>
    <row r="410" spans="12:39">
      <c r="L410">
        <v>406</v>
      </c>
      <c r="M410" s="37">
        <f t="shared" si="138"/>
        <v>2.5509732347149292</v>
      </c>
      <c r="N410" s="37">
        <f t="shared" si="132"/>
        <v>15847.020504020889</v>
      </c>
      <c r="O410" s="37">
        <f t="shared" si="133"/>
        <v>10284.37808244087</v>
      </c>
      <c r="R410" s="37">
        <f t="shared" si="134"/>
        <v>-22907.085647185377</v>
      </c>
      <c r="S410" s="37">
        <f t="shared" si="135"/>
        <v>11949.064657708608</v>
      </c>
      <c r="V410" s="37">
        <f t="shared" si="136"/>
        <v>-9152.9794959791107</v>
      </c>
      <c r="W410" s="37">
        <f t="shared" si="137"/>
        <v>-12215.62191755913</v>
      </c>
      <c r="Y410" s="37">
        <f t="shared" si="139"/>
        <v>-40471.098139568901</v>
      </c>
      <c r="Z410" s="37">
        <f t="shared" si="140"/>
        <v>731.17627986737966</v>
      </c>
      <c r="AA410" s="37">
        <f t="shared" si="141"/>
        <v>4950.1390635217604</v>
      </c>
      <c r="AB410" s="37">
        <f t="shared" si="142"/>
        <v>-2812.9320096883835</v>
      </c>
      <c r="AC410" s="37">
        <f t="shared" si="143"/>
        <v>705.65763555778835</v>
      </c>
      <c r="AD410" s="37">
        <f t="shared" si="144"/>
        <v>14.762481815269552</v>
      </c>
      <c r="AE410" s="39">
        <f t="shared" si="145"/>
        <v>135.03008281794476</v>
      </c>
      <c r="AF410" s="39">
        <f t="shared" si="146"/>
        <v>15.114573004777458</v>
      </c>
      <c r="AG410" s="39">
        <f t="shared" si="147"/>
        <v>281.96573663906719</v>
      </c>
      <c r="AH410" s="39">
        <f t="shared" si="148"/>
        <v>127.66734301240037</v>
      </c>
      <c r="AI410" s="39">
        <f t="shared" si="149"/>
        <v>288.66181610077632</v>
      </c>
      <c r="AJ410" s="39">
        <f t="shared" si="150"/>
        <v>-128.01943420190827</v>
      </c>
      <c r="AK410" s="37">
        <f t="shared" si="151"/>
        <v>60848.752532485028</v>
      </c>
      <c r="AL410" s="37">
        <f t="shared" si="152"/>
        <v>22471.692241456905</v>
      </c>
      <c r="AM410" s="37">
        <f t="shared" si="153"/>
        <v>38802.947186717538</v>
      </c>
    </row>
    <row r="411" spans="12:39">
      <c r="L411">
        <v>407</v>
      </c>
      <c r="M411" s="37">
        <f t="shared" si="138"/>
        <v>2.5572564200221088</v>
      </c>
      <c r="N411" s="37">
        <f t="shared" si="132"/>
        <v>15829.607831934096</v>
      </c>
      <c r="O411" s="37">
        <f t="shared" si="133"/>
        <v>10258.22935314208</v>
      </c>
      <c r="R411" s="37">
        <f t="shared" si="134"/>
        <v>-22919.274517646132</v>
      </c>
      <c r="S411" s="37">
        <f t="shared" si="135"/>
        <v>11930.760547199456</v>
      </c>
      <c r="V411" s="37">
        <f t="shared" si="136"/>
        <v>-9170.3921680659041</v>
      </c>
      <c r="W411" s="37">
        <f t="shared" si="137"/>
        <v>-12241.77064685792</v>
      </c>
      <c r="Y411" s="37">
        <f t="shared" si="139"/>
        <v>-37907.821403363298</v>
      </c>
      <c r="Z411" s="37">
        <f t="shared" si="140"/>
        <v>-673.44441474990333</v>
      </c>
      <c r="AA411" s="37">
        <f t="shared" si="141"/>
        <v>5302.9678813006549</v>
      </c>
      <c r="AB411" s="37">
        <f t="shared" si="142"/>
        <v>-2805.5507687807485</v>
      </c>
      <c r="AC411" s="37">
        <f t="shared" si="143"/>
        <v>780.72633972296853</v>
      </c>
      <c r="AD411" s="37">
        <f t="shared" si="144"/>
        <v>55.695720685748171</v>
      </c>
      <c r="AE411" s="39">
        <f t="shared" si="145"/>
        <v>145.1775507982621</v>
      </c>
      <c r="AF411" s="39">
        <f t="shared" si="146"/>
        <v>20.491198131142401</v>
      </c>
      <c r="AG411" s="39">
        <f t="shared" si="147"/>
        <v>302.40519192385813</v>
      </c>
      <c r="AH411" s="39">
        <f t="shared" si="148"/>
        <v>180.23995962595848</v>
      </c>
      <c r="AI411" s="39">
        <f t="shared" si="149"/>
        <v>333.14359700084833</v>
      </c>
      <c r="AJ411" s="39">
        <f t="shared" si="150"/>
        <v>-145.0354370713527</v>
      </c>
      <c r="AK411" s="37">
        <f t="shared" si="151"/>
        <v>58481.800359469329</v>
      </c>
      <c r="AL411" s="37">
        <f t="shared" si="152"/>
        <v>20847.361537842444</v>
      </c>
      <c r="AM411" s="37">
        <f t="shared" si="153"/>
        <v>35891.153568155431</v>
      </c>
    </row>
    <row r="412" spans="12:39">
      <c r="L412">
        <v>408</v>
      </c>
      <c r="M412" s="37">
        <f t="shared" si="138"/>
        <v>2.5635396053292885</v>
      </c>
      <c r="N412" s="37">
        <f t="shared" si="132"/>
        <v>15812.359799789245</v>
      </c>
      <c r="O412" s="37">
        <f t="shared" si="133"/>
        <v>10231.971733671273</v>
      </c>
      <c r="R412" s="37">
        <f t="shared" si="134"/>
        <v>-22931.348140147529</v>
      </c>
      <c r="S412" s="37">
        <f t="shared" si="135"/>
        <v>11912.380213569892</v>
      </c>
      <c r="V412" s="37">
        <f t="shared" si="136"/>
        <v>-9187.6402002107552</v>
      </c>
      <c r="W412" s="37">
        <f t="shared" si="137"/>
        <v>-12268.028266328727</v>
      </c>
      <c r="Y412" s="37">
        <f t="shared" si="139"/>
        <v>-35158.746670247594</v>
      </c>
      <c r="Z412" s="37">
        <f t="shared" si="140"/>
        <v>-2069.2578340545592</v>
      </c>
      <c r="AA412" s="37">
        <f t="shared" si="141"/>
        <v>5693.3310511621394</v>
      </c>
      <c r="AB412" s="37">
        <f t="shared" si="142"/>
        <v>-2777.7029084378746</v>
      </c>
      <c r="AC412" s="37">
        <f t="shared" si="143"/>
        <v>859.54071916609928</v>
      </c>
      <c r="AD412" s="37">
        <f t="shared" si="144"/>
        <v>107.39110137797033</v>
      </c>
      <c r="AE412" s="39">
        <f t="shared" si="145"/>
        <v>157.03313438456485</v>
      </c>
      <c r="AF412" s="39">
        <f t="shared" si="146"/>
        <v>27.243014791454364</v>
      </c>
      <c r="AG412" s="39">
        <f t="shared" si="147"/>
        <v>311.32155660911542</v>
      </c>
      <c r="AH412" s="39">
        <f t="shared" si="148"/>
        <v>247.87142484473321</v>
      </c>
      <c r="AI412" s="39">
        <f t="shared" si="149"/>
        <v>391.18602817241901</v>
      </c>
      <c r="AJ412" s="39">
        <f t="shared" si="150"/>
        <v>-167.72333825821724</v>
      </c>
      <c r="AK412" s="37">
        <f t="shared" si="151"/>
        <v>55982.658294575158</v>
      </c>
      <c r="AL412" s="37">
        <f t="shared" si="152"/>
        <v>19376.65051750766</v>
      </c>
      <c r="AM412" s="37">
        <f t="shared" si="153"/>
        <v>32813.931396319</v>
      </c>
    </row>
    <row r="413" spans="12:39">
      <c r="L413">
        <v>409</v>
      </c>
      <c r="M413" s="37">
        <f t="shared" si="138"/>
        <v>2.5698227906364681</v>
      </c>
      <c r="N413" s="37">
        <f t="shared" si="132"/>
        <v>15795.277088509109</v>
      </c>
      <c r="O413" s="37">
        <f t="shared" si="133"/>
        <v>10205.606260634308</v>
      </c>
      <c r="R413" s="37">
        <f t="shared" si="134"/>
        <v>-22943.306038043625</v>
      </c>
      <c r="S413" s="37">
        <f t="shared" si="135"/>
        <v>11893.924382444015</v>
      </c>
      <c r="V413" s="37">
        <f t="shared" si="136"/>
        <v>-9204.7229114908914</v>
      </c>
      <c r="W413" s="37">
        <f t="shared" si="137"/>
        <v>-12294.393739365692</v>
      </c>
      <c r="Y413" s="37">
        <f t="shared" si="139"/>
        <v>-32204.638554770761</v>
      </c>
      <c r="Z413" s="37">
        <f t="shared" si="140"/>
        <v>-3444.6854006012504</v>
      </c>
      <c r="AA413" s="37">
        <f t="shared" si="141"/>
        <v>6123.1014107451892</v>
      </c>
      <c r="AB413" s="37">
        <f t="shared" si="142"/>
        <v>-2724.0073577488893</v>
      </c>
      <c r="AC413" s="37">
        <f t="shared" si="143"/>
        <v>937.30838179455918</v>
      </c>
      <c r="AD413" s="37">
        <f t="shared" si="144"/>
        <v>164.323073678946</v>
      </c>
      <c r="AE413" s="39">
        <f t="shared" si="145"/>
        <v>171.02332315884303</v>
      </c>
      <c r="AF413" s="39">
        <f t="shared" si="146"/>
        <v>35.85498377074471</v>
      </c>
      <c r="AG413" s="39">
        <f t="shared" si="147"/>
        <v>297.40806678785657</v>
      </c>
      <c r="AH413" s="39">
        <f t="shared" si="148"/>
        <v>327.62608049549419</v>
      </c>
      <c r="AI413" s="39">
        <f t="shared" si="149"/>
        <v>468.87699184785959</v>
      </c>
      <c r="AJ413" s="39">
        <f t="shared" si="150"/>
        <v>-199.15799058729289</v>
      </c>
      <c r="AK413" s="37">
        <f t="shared" si="151"/>
        <v>53339.576537055407</v>
      </c>
      <c r="AL413" s="37">
        <f t="shared" si="152"/>
        <v>18157.994596698649</v>
      </c>
      <c r="AM413" s="37">
        <f t="shared" si="153"/>
        <v>29557.023774169105</v>
      </c>
    </row>
    <row r="414" spans="12:39">
      <c r="L414">
        <v>410</v>
      </c>
      <c r="M414" s="37">
        <f t="shared" si="138"/>
        <v>2.5761059759436478</v>
      </c>
      <c r="N414" s="37">
        <f t="shared" si="132"/>
        <v>15778.360372489879</v>
      </c>
      <c r="O414" s="37">
        <f t="shared" si="133"/>
        <v>10179.13397489491</v>
      </c>
      <c r="R414" s="37">
        <f t="shared" si="134"/>
        <v>-22955.147739257085</v>
      </c>
      <c r="S414" s="37">
        <f t="shared" si="135"/>
        <v>11875.393782426438</v>
      </c>
      <c r="V414" s="37">
        <f t="shared" si="136"/>
        <v>-9221.6396275101215</v>
      </c>
      <c r="W414" s="37">
        <f t="shared" si="137"/>
        <v>-12320.86602510509</v>
      </c>
      <c r="Y414" s="37">
        <f t="shared" si="139"/>
        <v>-29025.924301673844</v>
      </c>
      <c r="Z414" s="37">
        <f t="shared" si="140"/>
        <v>-4786.1486952658261</v>
      </c>
      <c r="AA414" s="37">
        <f t="shared" si="141"/>
        <v>6591.7556016424687</v>
      </c>
      <c r="AB414" s="37">
        <f t="shared" si="142"/>
        <v>-2641.845820909416</v>
      </c>
      <c r="AC414" s="37">
        <f t="shared" si="143"/>
        <v>1011.9597547421554</v>
      </c>
      <c r="AD414" s="37">
        <f t="shared" si="144"/>
        <v>209.40353521511517</v>
      </c>
      <c r="AE414" s="39">
        <f t="shared" si="145"/>
        <v>187.69495504089574</v>
      </c>
      <c r="AF414" s="39">
        <f t="shared" si="146"/>
        <v>47.037320761027367</v>
      </c>
      <c r="AG414" s="39">
        <f t="shared" si="147"/>
        <v>248.52170019613541</v>
      </c>
      <c r="AH414" s="39">
        <f t="shared" si="148"/>
        <v>407.12493150633543</v>
      </c>
      <c r="AI414" s="39">
        <f t="shared" si="149"/>
        <v>575.74309950512418</v>
      </c>
      <c r="AJ414" s="39">
        <f t="shared" si="150"/>
        <v>-244.75871705224765</v>
      </c>
      <c r="AK414" s="37">
        <f t="shared" si="151"/>
        <v>50541.969722158996</v>
      </c>
      <c r="AL414" s="37">
        <f t="shared" si="152"/>
        <v>17323.322508631471</v>
      </c>
      <c r="AM414" s="37">
        <f t="shared" si="153"/>
        <v>26106.853449333601</v>
      </c>
    </row>
    <row r="415" spans="12:39">
      <c r="L415">
        <v>411</v>
      </c>
      <c r="M415" s="37">
        <f t="shared" si="138"/>
        <v>2.5823891612508274</v>
      </c>
      <c r="N415" s="37">
        <f t="shared" si="132"/>
        <v>15761.610319574538</v>
      </c>
      <c r="O415" s="37">
        <f t="shared" si="133"/>
        <v>10152.555921533596</v>
      </c>
      <c r="R415" s="37">
        <f t="shared" si="134"/>
        <v>-22966.872776297823</v>
      </c>
      <c r="S415" s="37">
        <f t="shared" si="135"/>
        <v>11856.789145073517</v>
      </c>
      <c r="V415" s="37">
        <f t="shared" si="136"/>
        <v>-9238.3896804254618</v>
      </c>
      <c r="W415" s="37">
        <f t="shared" si="137"/>
        <v>-12347.444078466404</v>
      </c>
      <c r="Y415" s="37">
        <f t="shared" si="139"/>
        <v>-25603.551531509838</v>
      </c>
      <c r="Z415" s="37">
        <f t="shared" si="140"/>
        <v>-6080.8961638186438</v>
      </c>
      <c r="AA415" s="37">
        <f t="shared" si="141"/>
        <v>7097.7354790135469</v>
      </c>
      <c r="AB415" s="37">
        <f t="shared" si="142"/>
        <v>-2537.1440533018585</v>
      </c>
      <c r="AC415" s="37">
        <f t="shared" si="143"/>
        <v>1095.6119807318005</v>
      </c>
      <c r="AD415" s="37">
        <f t="shared" si="144"/>
        <v>210.01625644608339</v>
      </c>
      <c r="AE415" s="39">
        <f t="shared" si="145"/>
        <v>207.72641727135769</v>
      </c>
      <c r="AF415" s="39">
        <f t="shared" si="146"/>
        <v>61.861649119479701</v>
      </c>
      <c r="AG415" s="39">
        <f t="shared" si="147"/>
        <v>161.23753574494134</v>
      </c>
      <c r="AH415" s="39">
        <f t="shared" si="148"/>
        <v>462.71441521405535</v>
      </c>
      <c r="AI415" s="39">
        <f t="shared" si="149"/>
        <v>726.64802771550148</v>
      </c>
      <c r="AJ415" s="39">
        <f t="shared" si="150"/>
        <v>-314.55980788745171</v>
      </c>
      <c r="AK415" s="37">
        <f t="shared" si="151"/>
        <v>47582.8188834951</v>
      </c>
      <c r="AL415" s="37">
        <f t="shared" si="152"/>
        <v>17029.239889020399</v>
      </c>
      <c r="AM415" s="37">
        <f t="shared" si="153"/>
        <v>22451.208184687221</v>
      </c>
    </row>
    <row r="416" spans="12:39">
      <c r="L416">
        <v>412</v>
      </c>
      <c r="M416" s="37">
        <f t="shared" si="138"/>
        <v>2.588672346558007</v>
      </c>
      <c r="N416" s="37">
        <f t="shared" si="132"/>
        <v>15745.027591026494</v>
      </c>
      <c r="O416" s="37">
        <f t="shared" si="133"/>
        <v>10125.873149806404</v>
      </c>
      <c r="R416" s="37">
        <f t="shared" si="134"/>
        <v>-22978.480686281455</v>
      </c>
      <c r="S416" s="37">
        <f t="shared" si="135"/>
        <v>11838.111204864483</v>
      </c>
      <c r="V416" s="37">
        <f t="shared" si="136"/>
        <v>-9254.9724089735064</v>
      </c>
      <c r="W416" s="37">
        <f t="shared" si="137"/>
        <v>-12374.126850193596</v>
      </c>
      <c r="Y416" s="37">
        <f t="shared" si="139"/>
        <v>-21917.732294411591</v>
      </c>
      <c r="Z416" s="37">
        <f t="shared" si="140"/>
        <v>-7323.216158413813</v>
      </c>
      <c r="AA416" s="37">
        <f t="shared" si="141"/>
        <v>7645.5414693794473</v>
      </c>
      <c r="AB416" s="37">
        <f t="shared" si="142"/>
        <v>-2432.1359250788169</v>
      </c>
      <c r="AC416" s="37">
        <f t="shared" si="143"/>
        <v>1227.0526431360167</v>
      </c>
      <c r="AD416" s="37">
        <f t="shared" si="144"/>
        <v>123.56878154299903</v>
      </c>
      <c r="AE416" s="39">
        <f t="shared" si="145"/>
        <v>231.89792121796242</v>
      </c>
      <c r="AF416" s="39">
        <f t="shared" si="146"/>
        <v>82.005223678546969</v>
      </c>
      <c r="AG416" s="39">
        <f t="shared" si="147"/>
        <v>51.980500690510411</v>
      </c>
      <c r="AH416" s="39">
        <f t="shared" si="148"/>
        <v>469.54908779933601</v>
      </c>
      <c r="AI416" s="39">
        <f t="shared" si="149"/>
        <v>943.17422122754385</v>
      </c>
      <c r="AJ416" s="39">
        <f t="shared" si="150"/>
        <v>-427.98552993488391</v>
      </c>
      <c r="AK416" s="37">
        <f t="shared" si="151"/>
        <v>44461.489156178934</v>
      </c>
      <c r="AL416" s="37">
        <f t="shared" si="152"/>
        <v>17429.042292224738</v>
      </c>
      <c r="AM416" s="37">
        <f t="shared" si="153"/>
        <v>18578.015936472217</v>
      </c>
    </row>
    <row r="417" spans="12:39">
      <c r="L417">
        <v>413</v>
      </c>
      <c r="M417" s="37">
        <f t="shared" si="138"/>
        <v>2.5949555318651867</v>
      </c>
      <c r="N417" s="37">
        <f t="shared" si="132"/>
        <v>15728.61284150348</v>
      </c>
      <c r="O417" s="37">
        <f t="shared" si="133"/>
        <v>10099.086713103472</v>
      </c>
      <c r="R417" s="37">
        <f t="shared" si="134"/>
        <v>-22989.971010947564</v>
      </c>
      <c r="S417" s="37">
        <f t="shared" si="135"/>
        <v>11819.36069917243</v>
      </c>
      <c r="V417" s="37">
        <f t="shared" si="136"/>
        <v>-9271.38715849652</v>
      </c>
      <c r="W417" s="37">
        <f t="shared" si="137"/>
        <v>-12400.913286896528</v>
      </c>
      <c r="Y417" s="37">
        <f t="shared" si="139"/>
        <v>-17941.579979329868</v>
      </c>
      <c r="Z417" s="37">
        <f t="shared" si="140"/>
        <v>-8523.8380232603467</v>
      </c>
      <c r="AA417" s="37">
        <f t="shared" si="141"/>
        <v>8259.0677909474562</v>
      </c>
      <c r="AB417" s="37">
        <f t="shared" si="142"/>
        <v>-2370.3515343073173</v>
      </c>
      <c r="AC417" s="37">
        <f t="shared" si="143"/>
        <v>1459.0424182123356</v>
      </c>
      <c r="AD417" s="37">
        <f t="shared" si="144"/>
        <v>-91.217880047051267</v>
      </c>
      <c r="AE417" s="39">
        <f t="shared" si="145"/>
        <v>260.93719086074168</v>
      </c>
      <c r="AF417" s="39">
        <f t="shared" si="146"/>
        <v>110.20140128257634</v>
      </c>
      <c r="AG417" s="39">
        <f t="shared" si="147"/>
        <v>-46.846388974221327</v>
      </c>
      <c r="AH417" s="39">
        <f t="shared" si="148"/>
        <v>421.57330021042821</v>
      </c>
      <c r="AI417" s="39">
        <f t="shared" si="149"/>
        <v>1244.9516163258154</v>
      </c>
      <c r="AJ417" s="39">
        <f t="shared" si="150"/>
        <v>-622.99258154005588</v>
      </c>
      <c r="AK417" s="37">
        <f t="shared" si="151"/>
        <v>41186.489002142065</v>
      </c>
      <c r="AL417" s="37">
        <f t="shared" si="152"/>
        <v>18637.855780466845</v>
      </c>
      <c r="AM417" s="37">
        <f t="shared" si="153"/>
        <v>14471.529508326345</v>
      </c>
    </row>
    <row r="418" spans="12:39">
      <c r="L418">
        <v>414</v>
      </c>
      <c r="M418" s="37">
        <f t="shared" si="138"/>
        <v>2.6012387171723663</v>
      </c>
      <c r="N418" s="37">
        <f t="shared" si="132"/>
        <v>15712.366719031694</v>
      </c>
      <c r="O418" s="37">
        <f t="shared" si="133"/>
        <v>10072.197668907458</v>
      </c>
      <c r="R418" s="37">
        <f t="shared" si="134"/>
        <v>-23001.343296677813</v>
      </c>
      <c r="S418" s="37">
        <f t="shared" si="135"/>
        <v>11800.53836823522</v>
      </c>
      <c r="V418" s="37">
        <f t="shared" si="136"/>
        <v>-9287.6332809683063</v>
      </c>
      <c r="W418" s="37">
        <f t="shared" si="137"/>
        <v>-12427.802331092542</v>
      </c>
      <c r="Y418" s="37">
        <f t="shared" si="139"/>
        <v>-13629.665781579599</v>
      </c>
      <c r="Z418" s="37">
        <f t="shared" si="140"/>
        <v>-9720.4160254198869</v>
      </c>
      <c r="AA418" s="37">
        <f t="shared" si="141"/>
        <v>8988.5890000536237</v>
      </c>
      <c r="AB418" s="37">
        <f t="shared" si="142"/>
        <v>-2415.9604743308428</v>
      </c>
      <c r="AC418" s="37">
        <f t="shared" si="143"/>
        <v>1755.4731775920495</v>
      </c>
      <c r="AD418" s="37">
        <f t="shared" si="144"/>
        <v>-470.99171516332677</v>
      </c>
      <c r="AE418" s="39">
        <f t="shared" si="145"/>
        <v>294.95146742923288</v>
      </c>
      <c r="AF418" s="39">
        <f t="shared" si="146"/>
        <v>151.03293055090546</v>
      </c>
      <c r="AG418" s="39">
        <f t="shared" si="147"/>
        <v>-109.31122675369244</v>
      </c>
      <c r="AH418" s="39">
        <f t="shared" si="148"/>
        <v>338.39085892833185</v>
      </c>
      <c r="AI418" s="39">
        <f t="shared" si="149"/>
        <v>1569.8329369165092</v>
      </c>
      <c r="AJ418" s="39">
        <f t="shared" si="150"/>
        <v>-960.41550464256409</v>
      </c>
      <c r="AK418" s="37">
        <f t="shared" si="151"/>
        <v>37782.233240893584</v>
      </c>
      <c r="AL418" s="37">
        <f t="shared" si="152"/>
        <v>20723.801926046661</v>
      </c>
      <c r="AM418" s="37">
        <f t="shared" si="153"/>
        <v>10116.577407720903</v>
      </c>
    </row>
    <row r="419" spans="12:39">
      <c r="L419">
        <v>415</v>
      </c>
      <c r="M419" s="37">
        <f t="shared" si="138"/>
        <v>2.607521902479546</v>
      </c>
      <c r="N419" s="37">
        <f t="shared" si="132"/>
        <v>15696.289864980237</v>
      </c>
      <c r="O419" s="37">
        <f t="shared" si="133"/>
        <v>10045.207078751781</v>
      </c>
      <c r="R419" s="37">
        <f t="shared" si="134"/>
        <v>-23012.597094513832</v>
      </c>
      <c r="S419" s="37">
        <f t="shared" si="135"/>
        <v>11781.644955126247</v>
      </c>
      <c r="V419" s="37">
        <f t="shared" si="136"/>
        <v>-9303.7101350197627</v>
      </c>
      <c r="W419" s="37">
        <f t="shared" si="137"/>
        <v>-12454.792921248219</v>
      </c>
      <c r="Y419" s="37">
        <f t="shared" si="139"/>
        <v>-8915.9371343537805</v>
      </c>
      <c r="Z419" s="37">
        <f t="shared" si="140"/>
        <v>-10987.270226980725</v>
      </c>
      <c r="AA419" s="37">
        <f t="shared" si="141"/>
        <v>9866.3255888496478</v>
      </c>
      <c r="AB419" s="37">
        <f t="shared" si="142"/>
        <v>-2651.4563319125064</v>
      </c>
      <c r="AC419" s="37">
        <f t="shared" si="143"/>
        <v>1560.739799250277</v>
      </c>
      <c r="AD419" s="37">
        <f t="shared" si="144"/>
        <v>-933.67164648183348</v>
      </c>
      <c r="AE419" s="39">
        <f t="shared" si="145"/>
        <v>331.42494675079416</v>
      </c>
      <c r="AF419" s="39">
        <f t="shared" si="146"/>
        <v>211.89500177966687</v>
      </c>
      <c r="AG419" s="39">
        <f t="shared" si="147"/>
        <v>-131.37779509458306</v>
      </c>
      <c r="AH419" s="39">
        <f t="shared" si="148"/>
        <v>248.75908057330966</v>
      </c>
      <c r="AI419" s="39">
        <f t="shared" si="149"/>
        <v>1360.6926475940659</v>
      </c>
      <c r="AJ419" s="39">
        <f t="shared" si="150"/>
        <v>-1394.32572883481</v>
      </c>
      <c r="AK419" s="37">
        <f t="shared" si="151"/>
        <v>34320.701927602058</v>
      </c>
      <c r="AL419" s="37">
        <f t="shared" si="152"/>
        <v>23734.404588906567</v>
      </c>
      <c r="AM419" s="37">
        <f t="shared" si="153"/>
        <v>5606.8318925651965</v>
      </c>
    </row>
    <row r="420" spans="12:39">
      <c r="L420">
        <v>416</v>
      </c>
      <c r="M420" s="37">
        <f t="shared" si="138"/>
        <v>2.6138050877867256</v>
      </c>
      <c r="N420" s="37">
        <f t="shared" si="132"/>
        <v>15680.382914035779</v>
      </c>
      <c r="O420" s="37">
        <f t="shared" si="133"/>
        <v>10018.116008178727</v>
      </c>
      <c r="R420" s="37">
        <f t="shared" si="134"/>
        <v>-23023.731960174955</v>
      </c>
      <c r="S420" s="37">
        <f t="shared" si="135"/>
        <v>11762.68120572511</v>
      </c>
      <c r="V420" s="37">
        <f t="shared" si="136"/>
        <v>-9319.6170859642207</v>
      </c>
      <c r="W420" s="37">
        <f t="shared" si="137"/>
        <v>-12481.883991821273</v>
      </c>
      <c r="Y420" s="37">
        <f t="shared" si="139"/>
        <v>-3787.6818650226719</v>
      </c>
      <c r="Z420" s="37">
        <f t="shared" si="140"/>
        <v>-12429.707348747206</v>
      </c>
      <c r="AA420" s="37">
        <f t="shared" si="141"/>
        <v>10646.695488474787</v>
      </c>
      <c r="AB420" s="37">
        <f t="shared" si="142"/>
        <v>-3118.2921551534232</v>
      </c>
      <c r="AC420" s="37">
        <f t="shared" si="143"/>
        <v>-330.76758231452709</v>
      </c>
      <c r="AD420" s="37">
        <f t="shared" si="144"/>
        <v>-723.57894602137139</v>
      </c>
      <c r="AE420" s="39">
        <f t="shared" si="145"/>
        <v>359.3536148935919</v>
      </c>
      <c r="AF420" s="39">
        <f t="shared" si="146"/>
        <v>301.07231213960353</v>
      </c>
      <c r="AG420" s="39">
        <f t="shared" si="147"/>
        <v>-125.15741274137945</v>
      </c>
      <c r="AH420" s="39">
        <f t="shared" si="148"/>
        <v>173.15501194483755</v>
      </c>
      <c r="AI420" s="39">
        <f t="shared" si="149"/>
        <v>-564.96378446673953</v>
      </c>
      <c r="AJ420" s="39">
        <f t="shared" si="150"/>
        <v>-1197.8062701058125</v>
      </c>
      <c r="AK420" s="37">
        <f t="shared" si="151"/>
        <v>31032.999267203242</v>
      </c>
      <c r="AL420" s="37">
        <f t="shared" si="152"/>
        <v>27675.459003603883</v>
      </c>
      <c r="AM420" s="37">
        <f t="shared" si="153"/>
        <v>2841.8514340969732</v>
      </c>
    </row>
    <row r="421" spans="12:39">
      <c r="L421">
        <v>417</v>
      </c>
      <c r="M421" s="37">
        <f t="shared" si="138"/>
        <v>2.6200882730939052</v>
      </c>
      <c r="N421" s="37">
        <f t="shared" si="132"/>
        <v>15664.646494177505</v>
      </c>
      <c r="O421" s="37">
        <f t="shared" si="133"/>
        <v>9990.9255266973778</v>
      </c>
      <c r="R421" s="37">
        <f t="shared" si="134"/>
        <v>-23034.747454075747</v>
      </c>
      <c r="S421" s="37">
        <f t="shared" si="135"/>
        <v>11743.647868688164</v>
      </c>
      <c r="V421" s="37">
        <f t="shared" si="136"/>
        <v>-9335.3535058224952</v>
      </c>
      <c r="W421" s="37">
        <f t="shared" si="137"/>
        <v>-12509.074473302622</v>
      </c>
      <c r="Y421" s="37">
        <f t="shared" si="139"/>
        <v>1494.3199314254055</v>
      </c>
      <c r="Z421" s="37">
        <f t="shared" si="140"/>
        <v>-14079.300794576589</v>
      </c>
      <c r="AA421" s="37">
        <f t="shared" si="141"/>
        <v>10481.311697317524</v>
      </c>
      <c r="AB421" s="37">
        <f t="shared" si="142"/>
        <v>-3480.0816281641091</v>
      </c>
      <c r="AC421" s="37">
        <f t="shared" si="143"/>
        <v>-1741.097080706789</v>
      </c>
      <c r="AD421" s="37">
        <f t="shared" si="144"/>
        <v>251.06742562078159</v>
      </c>
      <c r="AE421" s="39">
        <f t="shared" si="145"/>
        <v>354.06598614197338</v>
      </c>
      <c r="AF421" s="39">
        <f t="shared" si="146"/>
        <v>412.8730415620193</v>
      </c>
      <c r="AG421" s="39">
        <f t="shared" si="147"/>
        <v>-107.1488956598829</v>
      </c>
      <c r="AH421" s="39">
        <f t="shared" si="148"/>
        <v>120.03499048271233</v>
      </c>
      <c r="AI421" s="39">
        <f t="shared" si="149"/>
        <v>-1988.0141711888796</v>
      </c>
      <c r="AJ421" s="39">
        <f t="shared" si="150"/>
        <v>-281.84060642395002</v>
      </c>
      <c r="AK421" s="37">
        <f t="shared" si="151"/>
        <v>28427.564397662576</v>
      </c>
      <c r="AL421" s="37">
        <f t="shared" si="152"/>
        <v>32277.213573512945</v>
      </c>
      <c r="AM421" s="37">
        <f t="shared" si="153"/>
        <v>6559.2589824290808</v>
      </c>
    </row>
    <row r="422" spans="12:39">
      <c r="L422">
        <v>418</v>
      </c>
      <c r="M422" s="37">
        <f t="shared" si="138"/>
        <v>2.6263714584010849</v>
      </c>
      <c r="N422" s="37">
        <f t="shared" si="132"/>
        <v>15649.081226652328</v>
      </c>
      <c r="O422" s="37">
        <f t="shared" si="133"/>
        <v>9963.6367077413815</v>
      </c>
      <c r="R422" s="37">
        <f t="shared" si="134"/>
        <v>-23045.643141343371</v>
      </c>
      <c r="S422" s="37">
        <f t="shared" si="135"/>
        <v>11724.545695418967</v>
      </c>
      <c r="V422" s="37">
        <f t="shared" si="136"/>
        <v>-9350.918773347672</v>
      </c>
      <c r="W422" s="37">
        <f t="shared" si="137"/>
        <v>-12536.363292258618</v>
      </c>
      <c r="Y422" s="37">
        <f t="shared" si="139"/>
        <v>6517.3386449958189</v>
      </c>
      <c r="Z422" s="37">
        <f t="shared" si="140"/>
        <v>-15787.958180456046</v>
      </c>
      <c r="AA422" s="37">
        <f t="shared" si="141"/>
        <v>9610.7631569641289</v>
      </c>
      <c r="AB422" s="37">
        <f t="shared" si="142"/>
        <v>-3354.5479153537185</v>
      </c>
      <c r="AC422" s="37">
        <f t="shared" si="143"/>
        <v>-1483.4991667523877</v>
      </c>
      <c r="AD422" s="37">
        <f t="shared" si="144"/>
        <v>718.01930328598394</v>
      </c>
      <c r="AE422" s="39">
        <f t="shared" si="145"/>
        <v>298.39776156852594</v>
      </c>
      <c r="AF422" s="39">
        <f t="shared" si="146"/>
        <v>515.40822761748973</v>
      </c>
      <c r="AG422" s="39">
        <f t="shared" si="147"/>
        <v>-89.265051789011125</v>
      </c>
      <c r="AH422" s="39">
        <f t="shared" si="148"/>
        <v>86.809745628288141</v>
      </c>
      <c r="AI422" s="39">
        <f t="shared" si="149"/>
        <v>-1692.6318765319027</v>
      </c>
      <c r="AJ422" s="39">
        <f t="shared" si="150"/>
        <v>115.80133004020604</v>
      </c>
      <c r="AK422" s="37">
        <f t="shared" si="151"/>
        <v>26909.313507192874</v>
      </c>
      <c r="AL422" s="37">
        <f t="shared" si="152"/>
        <v>36989.025885123527</v>
      </c>
      <c r="AM422" s="37">
        <f t="shared" si="153"/>
        <v>11544.261239146565</v>
      </c>
    </row>
    <row r="423" spans="12:39">
      <c r="L423">
        <v>419</v>
      </c>
      <c r="M423" s="37">
        <f t="shared" si="138"/>
        <v>2.6326546437082645</v>
      </c>
      <c r="N423" s="37">
        <f t="shared" si="132"/>
        <v>15633.687725950356</v>
      </c>
      <c r="O423" s="37">
        <f t="shared" si="133"/>
        <v>9936.2506286265834</v>
      </c>
      <c r="R423" s="37">
        <f t="shared" si="134"/>
        <v>-23056.41859183475</v>
      </c>
      <c r="S423" s="37">
        <f t="shared" si="135"/>
        <v>11705.37544003861</v>
      </c>
      <c r="V423" s="37">
        <f t="shared" si="136"/>
        <v>-9366.3122740496437</v>
      </c>
      <c r="W423" s="37">
        <f t="shared" si="137"/>
        <v>-12563.749371373417</v>
      </c>
      <c r="Y423" s="37">
        <f t="shared" si="139"/>
        <v>11137.282827633835</v>
      </c>
      <c r="Z423" s="37">
        <f t="shared" si="140"/>
        <v>-17375.479725222158</v>
      </c>
      <c r="AA423" s="37">
        <f t="shared" si="141"/>
        <v>8869.0135735879358</v>
      </c>
      <c r="AB423" s="37">
        <f t="shared" si="142"/>
        <v>-2995.5382637107264</v>
      </c>
      <c r="AC423" s="37">
        <f t="shared" si="143"/>
        <v>-1075.5661762507521</v>
      </c>
      <c r="AD423" s="37">
        <f t="shared" si="144"/>
        <v>822.23779604432661</v>
      </c>
      <c r="AE423" s="39">
        <f t="shared" si="145"/>
        <v>206.11159967303146</v>
      </c>
      <c r="AF423" s="39">
        <f t="shared" si="146"/>
        <v>578.50485568758836</v>
      </c>
      <c r="AG423" s="39">
        <f t="shared" si="147"/>
        <v>-75.226263587119405</v>
      </c>
      <c r="AH423" s="39">
        <f t="shared" si="148"/>
        <v>66.137917847017818</v>
      </c>
      <c r="AI423" s="39">
        <f t="shared" si="149"/>
        <v>-1206.4515123366641</v>
      </c>
      <c r="AJ423" s="39">
        <f t="shared" si="150"/>
        <v>177.59502250972042</v>
      </c>
      <c r="AK423" s="37">
        <f t="shared" si="151"/>
        <v>26407.143867470651</v>
      </c>
      <c r="AL423" s="37">
        <f t="shared" si="152"/>
        <v>41460.189001910134</v>
      </c>
      <c r="AM423" s="37">
        <f t="shared" si="153"/>
        <v>16311.186375735746</v>
      </c>
    </row>
    <row r="424" spans="12:39">
      <c r="L424">
        <v>420</v>
      </c>
      <c r="M424" s="37">
        <f t="shared" si="138"/>
        <v>2.6389378290154442</v>
      </c>
      <c r="N424" s="37">
        <f t="shared" si="132"/>
        <v>15618.466599780641</v>
      </c>
      <c r="O424" s="37">
        <f t="shared" si="133"/>
        <v>9908.7683705084983</v>
      </c>
      <c r="R424" s="37">
        <f t="shared" si="134"/>
        <v>-23067.073380153553</v>
      </c>
      <c r="S424" s="37">
        <f t="shared" si="135"/>
        <v>11686.137859355949</v>
      </c>
      <c r="V424" s="37">
        <f t="shared" si="136"/>
        <v>-9381.5334002193595</v>
      </c>
      <c r="W424" s="37">
        <f t="shared" si="137"/>
        <v>-12591.231629491502</v>
      </c>
      <c r="Y424" s="37">
        <f t="shared" si="139"/>
        <v>15437.343842396458</v>
      </c>
      <c r="Z424" s="37">
        <f t="shared" si="140"/>
        <v>-18770.46913257198</v>
      </c>
      <c r="AA424" s="37">
        <f t="shared" si="141"/>
        <v>8331.23048546256</v>
      </c>
      <c r="AB424" s="37">
        <f t="shared" si="142"/>
        <v>-2584.4193656885632</v>
      </c>
      <c r="AC424" s="37">
        <f t="shared" si="143"/>
        <v>-833.49911125073766</v>
      </c>
      <c r="AD424" s="37">
        <f t="shared" si="144"/>
        <v>809.02390943399871</v>
      </c>
      <c r="AE424" s="39">
        <f t="shared" si="145"/>
        <v>103.44772045414167</v>
      </c>
      <c r="AF424" s="39">
        <f t="shared" si="146"/>
        <v>595.62238598598401</v>
      </c>
      <c r="AG424" s="39">
        <f t="shared" si="147"/>
        <v>-64.6258885652597</v>
      </c>
      <c r="AH424" s="39">
        <f t="shared" si="148"/>
        <v>52.467734049169756</v>
      </c>
      <c r="AI424" s="39">
        <f t="shared" si="149"/>
        <v>-872.32094313961966</v>
      </c>
      <c r="AJ424" s="39">
        <f t="shared" si="150"/>
        <v>160.93378939884497</v>
      </c>
      <c r="AK424" s="37">
        <f t="shared" si="151"/>
        <v>26663.746542035962</v>
      </c>
      <c r="AL424" s="37">
        <f t="shared" si="152"/>
        <v>45645.86764114043</v>
      </c>
      <c r="AM424" s="37">
        <f t="shared" si="153"/>
        <v>20782.239071188131</v>
      </c>
    </row>
    <row r="425" spans="12:39">
      <c r="L425">
        <v>421</v>
      </c>
      <c r="M425" s="37">
        <f t="shared" si="138"/>
        <v>2.6452210143226238</v>
      </c>
      <c r="N425" s="37">
        <f t="shared" si="132"/>
        <v>15603.418449047176</v>
      </c>
      <c r="O425" s="37">
        <f t="shared" si="133"/>
        <v>9881.1910183396176</v>
      </c>
      <c r="R425" s="37">
        <f t="shared" si="134"/>
        <v>-23077.607085666976</v>
      </c>
      <c r="S425" s="37">
        <f t="shared" si="135"/>
        <v>11666.833712837732</v>
      </c>
      <c r="V425" s="37">
        <f t="shared" si="136"/>
        <v>-9396.5815509528238</v>
      </c>
      <c r="W425" s="37">
        <f t="shared" si="137"/>
        <v>-12618.808981660382</v>
      </c>
      <c r="Y425" s="37">
        <f t="shared" si="139"/>
        <v>19498.771696221396</v>
      </c>
      <c r="Z425" s="37">
        <f t="shared" si="140"/>
        <v>-19961.55082673701</v>
      </c>
      <c r="AA425" s="37">
        <f t="shared" si="141"/>
        <v>7914.4809298371911</v>
      </c>
      <c r="AB425" s="37">
        <f t="shared" si="142"/>
        <v>-2179.9074109715639</v>
      </c>
      <c r="AC425" s="37">
        <f t="shared" si="143"/>
        <v>-703.37842614752913</v>
      </c>
      <c r="AD425" s="37">
        <f t="shared" si="144"/>
        <v>751.76252993271282</v>
      </c>
      <c r="AE425" s="39">
        <f t="shared" si="145"/>
        <v>10.508760555874339</v>
      </c>
      <c r="AF425" s="39">
        <f t="shared" si="146"/>
        <v>575.75930959123014</v>
      </c>
      <c r="AG425" s="39">
        <f t="shared" si="147"/>
        <v>-56.517697650940754</v>
      </c>
      <c r="AH425" s="39">
        <f t="shared" si="148"/>
        <v>42.871152647534345</v>
      </c>
      <c r="AI425" s="39">
        <f t="shared" si="149"/>
        <v>-657.36948905246265</v>
      </c>
      <c r="AJ425" s="39">
        <f t="shared" si="150"/>
        <v>133.1320676939483</v>
      </c>
      <c r="AK425" s="37">
        <f t="shared" si="151"/>
        <v>27466.124656055301</v>
      </c>
      <c r="AL425" s="37">
        <f t="shared" si="152"/>
        <v>49576.682961381812</v>
      </c>
      <c r="AM425" s="37">
        <f t="shared" si="153"/>
        <v>24996.135725945187</v>
      </c>
    </row>
    <row r="426" spans="12:39">
      <c r="L426">
        <v>422</v>
      </c>
      <c r="M426" s="37">
        <f t="shared" si="138"/>
        <v>2.6515041996298034</v>
      </c>
      <c r="N426" s="37">
        <f t="shared" si="132"/>
        <v>15588.543867825192</v>
      </c>
      <c r="O426" s="37">
        <f t="shared" si="133"/>
        <v>9853.5196608265833</v>
      </c>
      <c r="R426" s="37">
        <f t="shared" si="134"/>
        <v>-23088.019292522367</v>
      </c>
      <c r="S426" s="37">
        <f t="shared" si="135"/>
        <v>11647.463762578609</v>
      </c>
      <c r="V426" s="37">
        <f t="shared" si="136"/>
        <v>-9411.4561321748079</v>
      </c>
      <c r="W426" s="37">
        <f t="shared" si="137"/>
        <v>-12646.480339173417</v>
      </c>
      <c r="Y426" s="37">
        <f t="shared" si="139"/>
        <v>23368.08985787155</v>
      </c>
      <c r="Z426" s="37">
        <f t="shared" si="140"/>
        <v>-20957.534215981203</v>
      </c>
      <c r="AA426" s="37">
        <f t="shared" si="141"/>
        <v>7562.7917167634268</v>
      </c>
      <c r="AB426" s="37">
        <f t="shared" si="142"/>
        <v>-1804.0261460052075</v>
      </c>
      <c r="AC426" s="37">
        <f t="shared" si="143"/>
        <v>-628.44994135491584</v>
      </c>
      <c r="AD426" s="37">
        <f t="shared" si="144"/>
        <v>676.96008029786981</v>
      </c>
      <c r="AE426" s="39">
        <f t="shared" si="145"/>
        <v>-63.076687382539951</v>
      </c>
      <c r="AF426" s="39">
        <f t="shared" si="146"/>
        <v>532.94510098187448</v>
      </c>
      <c r="AG426" s="39">
        <f t="shared" si="147"/>
        <v>-50.18005477016191</v>
      </c>
      <c r="AH426" s="39">
        <f t="shared" si="148"/>
        <v>35.820133365295959</v>
      </c>
      <c r="AI426" s="39">
        <f t="shared" si="149"/>
        <v>-515.19319920221392</v>
      </c>
      <c r="AJ426" s="39">
        <f t="shared" si="150"/>
        <v>108.19484595069936</v>
      </c>
      <c r="AK426" s="37">
        <f t="shared" si="151"/>
        <v>28656.156109018495</v>
      </c>
      <c r="AL426" s="37">
        <f t="shared" si="152"/>
        <v>53283.769974111892</v>
      </c>
      <c r="AM426" s="37">
        <f t="shared" si="153"/>
        <v>28986.906287475063</v>
      </c>
    </row>
    <row r="427" spans="12:39">
      <c r="L427">
        <v>423</v>
      </c>
      <c r="M427" s="37">
        <f t="shared" si="138"/>
        <v>2.6577873849369831</v>
      </c>
      <c r="N427" s="37">
        <f t="shared" si="132"/>
        <v>15573.843443337682</v>
      </c>
      <c r="O427" s="37">
        <f t="shared" si="133"/>
        <v>9825.7553903872122</v>
      </c>
      <c r="R427" s="37">
        <f t="shared" si="134"/>
        <v>-23098.309589663622</v>
      </c>
      <c r="S427" s="37">
        <f t="shared" si="135"/>
        <v>11628.028773271049</v>
      </c>
      <c r="V427" s="37">
        <f t="shared" si="136"/>
        <v>-9426.1565566623176</v>
      </c>
      <c r="W427" s="37">
        <f t="shared" si="137"/>
        <v>-12674.244609612788</v>
      </c>
      <c r="Y427" s="37">
        <f t="shared" si="139"/>
        <v>27070.929473583899</v>
      </c>
      <c r="Z427" s="37">
        <f t="shared" si="140"/>
        <v>-21774.927278946572</v>
      </c>
      <c r="AA427" s="37">
        <f t="shared" si="141"/>
        <v>7248.5667460859686</v>
      </c>
      <c r="AB427" s="37">
        <f t="shared" si="142"/>
        <v>-1465.5461058562726</v>
      </c>
      <c r="AC427" s="37">
        <f t="shared" si="143"/>
        <v>-578.19207377455143</v>
      </c>
      <c r="AD427" s="37">
        <f t="shared" si="144"/>
        <v>598.25851398738473</v>
      </c>
      <c r="AE427" s="39">
        <f t="shared" si="145"/>
        <v>-115.85595595850504</v>
      </c>
      <c r="AF427" s="39">
        <f t="shared" si="146"/>
        <v>479.66461809426056</v>
      </c>
      <c r="AG427" s="39">
        <f t="shared" si="147"/>
        <v>-45.119486929081241</v>
      </c>
      <c r="AH427" s="39">
        <f t="shared" si="148"/>
        <v>30.457618578352239</v>
      </c>
      <c r="AI427" s="39">
        <f t="shared" si="149"/>
        <v>-417.21663088696516</v>
      </c>
      <c r="AJ427" s="39">
        <f t="shared" si="150"/>
        <v>88.136277314771931</v>
      </c>
      <c r="AK427" s="37">
        <f t="shared" si="151"/>
        <v>30116.7629536776</v>
      </c>
      <c r="AL427" s="37">
        <f t="shared" si="152"/>
        <v>56791.886789306911</v>
      </c>
      <c r="AM427" s="37">
        <f t="shared" si="153"/>
        <v>32778.714998221127</v>
      </c>
    </row>
    <row r="428" spans="12:39">
      <c r="L428">
        <v>424</v>
      </c>
      <c r="M428" s="37">
        <f t="shared" si="138"/>
        <v>2.6640705702441627</v>
      </c>
      <c r="N428" s="37">
        <f t="shared" si="132"/>
        <v>15559.317755932236</v>
      </c>
      <c r="O428" s="37">
        <f t="shared" si="133"/>
        <v>9797.8993031073587</v>
      </c>
      <c r="R428" s="37">
        <f t="shared" si="134"/>
        <v>-23108.477570847434</v>
      </c>
      <c r="S428" s="37">
        <f t="shared" si="135"/>
        <v>11608.529512175151</v>
      </c>
      <c r="V428" s="37">
        <f t="shared" si="136"/>
        <v>-9440.6822440677643</v>
      </c>
      <c r="W428" s="37">
        <f t="shared" si="137"/>
        <v>-12702.100696892641</v>
      </c>
      <c r="Y428" s="37">
        <f t="shared" si="139"/>
        <v>30622.938837405065</v>
      </c>
      <c r="Z428" s="37">
        <f t="shared" si="140"/>
        <v>-22432.918017626285</v>
      </c>
      <c r="AA428" s="37">
        <f t="shared" si="141"/>
        <v>6959.4707091986929</v>
      </c>
      <c r="AB428" s="37">
        <f t="shared" si="142"/>
        <v>-1166.4168488625801</v>
      </c>
      <c r="AC428" s="37">
        <f t="shared" si="143"/>
        <v>-538.66103471837232</v>
      </c>
      <c r="AD428" s="37">
        <f t="shared" si="144"/>
        <v>523.15013200609098</v>
      </c>
      <c r="AE428" s="39">
        <f t="shared" si="145"/>
        <v>-150.64265484407161</v>
      </c>
      <c r="AF428" s="39">
        <f t="shared" si="146"/>
        <v>424.47521410248982</v>
      </c>
      <c r="AG428" s="39">
        <f t="shared" si="147"/>
        <v>-40.999850120419993</v>
      </c>
      <c r="AH428" s="39">
        <f t="shared" si="148"/>
        <v>26.267632978826679</v>
      </c>
      <c r="AI428" s="39">
        <f t="shared" si="149"/>
        <v>-347.01852975388067</v>
      </c>
      <c r="AJ428" s="39">
        <f t="shared" si="150"/>
        <v>72.407284924774487</v>
      </c>
      <c r="AK428" s="37">
        <f t="shared" si="151"/>
        <v>31762.027809842137</v>
      </c>
      <c r="AL428" s="37">
        <f t="shared" si="152"/>
        <v>60121.344859157311</v>
      </c>
      <c r="AM428" s="37">
        <f t="shared" si="153"/>
        <v>36390.13659867541</v>
      </c>
    </row>
    <row r="429" spans="12:39">
      <c r="L429">
        <v>425</v>
      </c>
      <c r="M429" s="37">
        <f t="shared" si="138"/>
        <v>2.6703537555513424</v>
      </c>
      <c r="N429" s="37">
        <f t="shared" si="132"/>
        <v>15544.967379058118</v>
      </c>
      <c r="O429" s="37">
        <f t="shared" si="133"/>
        <v>9769.9524986976539</v>
      </c>
      <c r="R429" s="37">
        <f t="shared" si="134"/>
        <v>-23118.522834659318</v>
      </c>
      <c r="S429" s="37">
        <f t="shared" si="135"/>
        <v>11588.966749088357</v>
      </c>
      <c r="V429" s="37">
        <f t="shared" si="136"/>
        <v>-9455.0326209418818</v>
      </c>
      <c r="W429" s="37">
        <f t="shared" si="137"/>
        <v>-12730.047501302346</v>
      </c>
      <c r="Y429" s="37">
        <f t="shared" si="139"/>
        <v>34035.341562664617</v>
      </c>
      <c r="Z429" s="37">
        <f t="shared" si="140"/>
        <v>-22950.732675556814</v>
      </c>
      <c r="AA429" s="37">
        <f t="shared" si="141"/>
        <v>6690.1401918395068</v>
      </c>
      <c r="AB429" s="37">
        <f t="shared" si="142"/>
        <v>-904.84178285953453</v>
      </c>
      <c r="AC429" s="37">
        <f t="shared" si="143"/>
        <v>-504.13257493643886</v>
      </c>
      <c r="AD429" s="37">
        <f t="shared" si="144"/>
        <v>455.22153522914363</v>
      </c>
      <c r="AE429" s="39">
        <f t="shared" si="145"/>
        <v>-171.56269519429171</v>
      </c>
      <c r="AF429" s="39">
        <f t="shared" si="146"/>
        <v>372.21821393761604</v>
      </c>
      <c r="AG429" s="39">
        <f t="shared" si="147"/>
        <v>-37.588380338184983</v>
      </c>
      <c r="AH429" s="39">
        <f t="shared" si="148"/>
        <v>22.921381385076092</v>
      </c>
      <c r="AI429" s="39">
        <f t="shared" si="149"/>
        <v>-294.98149940396218</v>
      </c>
      <c r="AJ429" s="39">
        <f t="shared" si="150"/>
        <v>60.08193990645151</v>
      </c>
      <c r="AK429" s="37">
        <f t="shared" si="151"/>
        <v>33529.657517769017</v>
      </c>
      <c r="AL429" s="37">
        <f t="shared" si="152"/>
        <v>63289.564081685996</v>
      </c>
      <c r="AM429" s="37">
        <f t="shared" si="153"/>
        <v>39836.817656435087</v>
      </c>
    </row>
    <row r="430" spans="12:39">
      <c r="L430">
        <v>426</v>
      </c>
      <c r="M430" s="37">
        <f t="shared" si="138"/>
        <v>2.676636940858522</v>
      </c>
      <c r="N430" s="37">
        <f t="shared" si="132"/>
        <v>15530.79287924364</v>
      </c>
      <c r="O430" s="37">
        <f t="shared" si="133"/>
        <v>9741.9160804500807</v>
      </c>
      <c r="R430" s="37">
        <f t="shared" si="134"/>
        <v>-23128.444984529451</v>
      </c>
      <c r="S430" s="37">
        <f t="shared" si="135"/>
        <v>11569.341256315056</v>
      </c>
      <c r="V430" s="37">
        <f t="shared" si="136"/>
        <v>-9469.2071207563604</v>
      </c>
      <c r="W430" s="37">
        <f t="shared" si="137"/>
        <v>-12758.083919549919</v>
      </c>
      <c r="Y430" s="37">
        <f t="shared" si="139"/>
        <v>37317.395086717319</v>
      </c>
      <c r="Z430" s="37">
        <f t="shared" si="140"/>
        <v>-23346.250875082937</v>
      </c>
      <c r="AA430" s="37">
        <f t="shared" si="141"/>
        <v>6438.0739043712874</v>
      </c>
      <c r="AB430" s="37">
        <f t="shared" si="142"/>
        <v>-677.23101524496269</v>
      </c>
      <c r="AC430" s="37">
        <f t="shared" si="143"/>
        <v>-472.50799160410662</v>
      </c>
      <c r="AD430" s="37">
        <f t="shared" si="144"/>
        <v>395.65805270839223</v>
      </c>
      <c r="AE430" s="39">
        <f t="shared" si="145"/>
        <v>-182.52120794198021</v>
      </c>
      <c r="AF430" s="39">
        <f t="shared" si="146"/>
        <v>325.11211657461473</v>
      </c>
      <c r="AG430" s="39">
        <f t="shared" si="147"/>
        <v>-34.720618860592133</v>
      </c>
      <c r="AH430" s="39">
        <f t="shared" si="148"/>
        <v>20.199844485461437</v>
      </c>
      <c r="AI430" s="39">
        <f t="shared" si="149"/>
        <v>-255.26616480153427</v>
      </c>
      <c r="AJ430" s="39">
        <f t="shared" si="150"/>
        <v>50.346091648316076</v>
      </c>
      <c r="AK430" s="37">
        <f t="shared" si="151"/>
        <v>35374.897394028099</v>
      </c>
      <c r="AL430" s="37">
        <f t="shared" si="152"/>
        <v>66311.810614330359</v>
      </c>
      <c r="AM430" s="37">
        <f t="shared" si="153"/>
        <v>43132.607509808047</v>
      </c>
    </row>
    <row r="431" spans="12:39">
      <c r="L431">
        <v>427</v>
      </c>
      <c r="M431" s="37">
        <f t="shared" si="138"/>
        <v>2.6829201261657016</v>
      </c>
      <c r="N431" s="37">
        <f t="shared" si="132"/>
        <v>15516.79481607378</v>
      </c>
      <c r="O431" s="37">
        <f t="shared" si="133"/>
        <v>9713.7911551944253</v>
      </c>
      <c r="R431" s="37">
        <f t="shared" si="134"/>
        <v>-23138.243628748354</v>
      </c>
      <c r="S431" s="37">
        <f t="shared" si="135"/>
        <v>11549.653808636098</v>
      </c>
      <c r="V431" s="37">
        <f t="shared" si="136"/>
        <v>-9483.2051839262203</v>
      </c>
      <c r="W431" s="37">
        <f t="shared" si="137"/>
        <v>-12786.208844805575</v>
      </c>
      <c r="Y431" s="37">
        <f t="shared" si="139"/>
        <v>40477.368539952447</v>
      </c>
      <c r="Z431" s="37">
        <f t="shared" si="140"/>
        <v>-23635.409126116869</v>
      </c>
      <c r="AA431" s="37">
        <f t="shared" si="141"/>
        <v>6201.819908569234</v>
      </c>
      <c r="AB431" s="37">
        <f t="shared" si="142"/>
        <v>-479.40198889076657</v>
      </c>
      <c r="AC431" s="37">
        <f t="shared" si="143"/>
        <v>-443.12739100353286</v>
      </c>
      <c r="AD431" s="37">
        <f t="shared" si="144"/>
        <v>344.33145975808327</v>
      </c>
      <c r="AE431" s="39">
        <f t="shared" si="145"/>
        <v>-186.65777796365515</v>
      </c>
      <c r="AF431" s="39">
        <f t="shared" si="146"/>
        <v>283.80923418609234</v>
      </c>
      <c r="AG431" s="39">
        <f t="shared" si="147"/>
        <v>-32.27800215663428</v>
      </c>
      <c r="AH431" s="39">
        <f t="shared" si="148"/>
        <v>17.951902249100904</v>
      </c>
      <c r="AI431" s="39">
        <f t="shared" si="149"/>
        <v>-224.19161088324344</v>
      </c>
      <c r="AJ431" s="39">
        <f t="shared" si="150"/>
        <v>42.570323322890019</v>
      </c>
      <c r="AK431" s="37">
        <f t="shared" si="151"/>
        <v>37265.752692944712</v>
      </c>
      <c r="AL431" s="37">
        <f t="shared" si="152"/>
        <v>69201.537935211352</v>
      </c>
      <c r="AM431" s="37">
        <f t="shared" si="153"/>
        <v>46289.970188952153</v>
      </c>
    </row>
    <row r="432" spans="12:39">
      <c r="L432">
        <v>428</v>
      </c>
      <c r="M432" s="37">
        <f t="shared" si="138"/>
        <v>2.6892033114728813</v>
      </c>
      <c r="N432" s="37">
        <f t="shared" si="132"/>
        <v>15502.973742168106</v>
      </c>
      <c r="O432" s="37">
        <f t="shared" si="133"/>
        <v>9685.5788332545817</v>
      </c>
      <c r="R432" s="37">
        <f t="shared" si="134"/>
        <v>-23147.918380482326</v>
      </c>
      <c r="S432" s="37">
        <f t="shared" si="135"/>
        <v>11529.905183278208</v>
      </c>
      <c r="V432" s="37">
        <f t="shared" si="136"/>
        <v>-9497.0262578318943</v>
      </c>
      <c r="W432" s="37">
        <f t="shared" si="137"/>
        <v>-12814.421166745418</v>
      </c>
      <c r="Y432" s="37">
        <f t="shared" si="139"/>
        <v>43522.887570361621</v>
      </c>
      <c r="Z432" s="37">
        <f t="shared" si="140"/>
        <v>-23832.068688092491</v>
      </c>
      <c r="AA432" s="37">
        <f t="shared" si="141"/>
        <v>5980.2562130674678</v>
      </c>
      <c r="AB432" s="37">
        <f t="shared" si="142"/>
        <v>-307.23625901172494</v>
      </c>
      <c r="AC432" s="37">
        <f t="shared" si="143"/>
        <v>-415.82410737750104</v>
      </c>
      <c r="AD432" s="37">
        <f t="shared" si="144"/>
        <v>300.49909346230731</v>
      </c>
      <c r="AE432" s="39">
        <f t="shared" si="145"/>
        <v>-186.29566589851214</v>
      </c>
      <c r="AF432" s="39">
        <f t="shared" si="146"/>
        <v>248.14252003570576</v>
      </c>
      <c r="AG432" s="39">
        <f t="shared" si="147"/>
        <v>-30.173393019625109</v>
      </c>
      <c r="AH432" s="39">
        <f t="shared" si="148"/>
        <v>16.070244037033721</v>
      </c>
      <c r="AI432" s="39">
        <f t="shared" si="149"/>
        <v>-199.35504845936379</v>
      </c>
      <c r="AJ432" s="39">
        <f t="shared" si="150"/>
        <v>36.286329389567825</v>
      </c>
      <c r="AK432" s="37">
        <f t="shared" si="151"/>
        <v>39179.392133151057</v>
      </c>
      <c r="AL432" s="37">
        <f t="shared" si="152"/>
        <v>71970.592028915606</v>
      </c>
      <c r="AM432" s="37">
        <f t="shared" si="153"/>
        <v>49320.138437327383</v>
      </c>
    </row>
    <row r="433" spans="12:39">
      <c r="L433">
        <v>429</v>
      </c>
      <c r="M433" s="37">
        <f t="shared" si="138"/>
        <v>2.6954864967800609</v>
      </c>
      <c r="N433" s="37">
        <f t="shared" si="132"/>
        <v>15489.330203158946</v>
      </c>
      <c r="O433" s="37">
        <f t="shared" si="133"/>
        <v>9657.280228404712</v>
      </c>
      <c r="R433" s="37">
        <f t="shared" si="134"/>
        <v>-23157.468857788739</v>
      </c>
      <c r="S433" s="37">
        <f t="shared" si="135"/>
        <v>11510.096159883298</v>
      </c>
      <c r="V433" s="37">
        <f t="shared" si="136"/>
        <v>-9510.6697968410535</v>
      </c>
      <c r="W433" s="37">
        <f t="shared" si="137"/>
        <v>-12842.719771595288</v>
      </c>
      <c r="Y433" s="37">
        <f t="shared" si="139"/>
        <v>46461.037663473166</v>
      </c>
      <c r="Z433" s="37">
        <f t="shared" si="140"/>
        <v>-23948.124430915566</v>
      </c>
      <c r="AA433" s="37">
        <f t="shared" si="141"/>
        <v>5772.3441593787174</v>
      </c>
      <c r="AB433" s="37">
        <f t="shared" si="142"/>
        <v>-156.98671228057128</v>
      </c>
      <c r="AC433" s="37">
        <f t="shared" si="143"/>
        <v>-390.55382863083719</v>
      </c>
      <c r="AD433" s="37">
        <f t="shared" si="144"/>
        <v>263.20386518895111</v>
      </c>
      <c r="AE433" s="39">
        <f t="shared" si="145"/>
        <v>-183.07443466489826</v>
      </c>
      <c r="AF433" s="39">
        <f t="shared" si="146"/>
        <v>217.57830039328687</v>
      </c>
      <c r="AG433" s="39">
        <f t="shared" si="147"/>
        <v>-28.341582870739558</v>
      </c>
      <c r="AH433" s="39">
        <f t="shared" si="148"/>
        <v>14.4768064973166</v>
      </c>
      <c r="AI433" s="39">
        <f t="shared" si="149"/>
        <v>-179.13781109519937</v>
      </c>
      <c r="AJ433" s="39">
        <f t="shared" si="150"/>
        <v>31.148758298347655</v>
      </c>
      <c r="AK433" s="37">
        <f t="shared" si="151"/>
        <v>41099.526085468358</v>
      </c>
      <c r="AL433" s="37">
        <f t="shared" si="152"/>
        <v>74629.38214726506</v>
      </c>
      <c r="AM433" s="37">
        <f t="shared" si="153"/>
        <v>52233.20139750724</v>
      </c>
    </row>
    <row r="434" spans="12:39">
      <c r="L434">
        <v>430</v>
      </c>
      <c r="M434" s="37">
        <f t="shared" si="138"/>
        <v>2.7017696820872406</v>
      </c>
      <c r="N434" s="37">
        <f t="shared" si="132"/>
        <v>15475.864737669865</v>
      </c>
      <c r="O434" s="37">
        <f t="shared" si="133"/>
        <v>9628.8964578252799</v>
      </c>
      <c r="R434" s="37">
        <f t="shared" si="134"/>
        <v>-23166.894683631097</v>
      </c>
      <c r="S434" s="37">
        <f t="shared" si="135"/>
        <v>11490.227520477696</v>
      </c>
      <c r="V434" s="37">
        <f t="shared" si="136"/>
        <v>-9524.1352623301354</v>
      </c>
      <c r="W434" s="37">
        <f t="shared" si="137"/>
        <v>-12871.10354217472</v>
      </c>
      <c r="Y434" s="37">
        <f t="shared" si="139"/>
        <v>49298.390514583669</v>
      </c>
      <c r="Z434" s="37">
        <f t="shared" si="140"/>
        <v>-23993.717303907233</v>
      </c>
      <c r="AA434" s="37">
        <f t="shared" si="141"/>
        <v>5577.0672450632992</v>
      </c>
      <c r="AB434" s="37">
        <f t="shared" si="142"/>
        <v>-25.384779686095726</v>
      </c>
      <c r="AC434" s="37">
        <f t="shared" si="143"/>
        <v>-367.26897663124464</v>
      </c>
      <c r="AD434" s="37">
        <f t="shared" si="144"/>
        <v>231.4797965209635</v>
      </c>
      <c r="AE434" s="39">
        <f t="shared" si="145"/>
        <v>-178.11766112669378</v>
      </c>
      <c r="AF434" s="39">
        <f t="shared" si="146"/>
        <v>191.46400767526777</v>
      </c>
      <c r="AG434" s="39">
        <f t="shared" si="147"/>
        <v>-26.732946054421344</v>
      </c>
      <c r="AH434" s="39">
        <f t="shared" si="148"/>
        <v>13.113612078528099</v>
      </c>
      <c r="AI434" s="39">
        <f t="shared" si="149"/>
        <v>-162.41836945012955</v>
      </c>
      <c r="AJ434" s="39">
        <f t="shared" si="150"/>
        <v>26.902176767167635</v>
      </c>
      <c r="AK434" s="37">
        <f t="shared" si="151"/>
        <v>43014.531455817021</v>
      </c>
      <c r="AL434" s="37">
        <f t="shared" si="152"/>
        <v>77187.043887233449</v>
      </c>
      <c r="AM434" s="37">
        <f t="shared" si="153"/>
        <v>55038.188227964318</v>
      </c>
    </row>
    <row r="435" spans="12:39">
      <c r="L435">
        <v>431</v>
      </c>
      <c r="M435" s="37">
        <f t="shared" si="138"/>
        <v>2.7080528673944202</v>
      </c>
      <c r="N435" s="37">
        <f t="shared" si="132"/>
        <v>15462.577877294378</v>
      </c>
      <c r="O435" s="37">
        <f t="shared" si="133"/>
        <v>9600.4286420589488</v>
      </c>
      <c r="R435" s="37">
        <f t="shared" si="134"/>
        <v>-23176.195485893935</v>
      </c>
      <c r="S435" s="37">
        <f t="shared" si="135"/>
        <v>11470.300049441263</v>
      </c>
      <c r="V435" s="37">
        <f t="shared" si="136"/>
        <v>-9537.4221227056223</v>
      </c>
      <c r="W435" s="37">
        <f t="shared" si="137"/>
        <v>-12899.571357941051</v>
      </c>
      <c r="Y435" s="37">
        <f t="shared" si="139"/>
        <v>52041.015515036415</v>
      </c>
      <c r="Z435" s="37">
        <f t="shared" si="140"/>
        <v>-23977.47471918516</v>
      </c>
      <c r="AA435" s="37">
        <f t="shared" si="141"/>
        <v>5393.4327567476766</v>
      </c>
      <c r="AB435" s="37">
        <f t="shared" si="142"/>
        <v>90.355118574386026</v>
      </c>
      <c r="AC435" s="37">
        <f t="shared" si="143"/>
        <v>-345.88905312857491</v>
      </c>
      <c r="AD435" s="37">
        <f t="shared" si="144"/>
        <v>204.44459524228387</v>
      </c>
      <c r="AE435" s="39">
        <f t="shared" si="145"/>
        <v>-172.17998263462655</v>
      </c>
      <c r="AF435" s="39">
        <f t="shared" si="146"/>
        <v>169.15166274888392</v>
      </c>
      <c r="AG435" s="39">
        <f t="shared" si="147"/>
        <v>-25.309124784561575</v>
      </c>
      <c r="AH435" s="39">
        <f t="shared" si="148"/>
        <v>11.936813235963571</v>
      </c>
      <c r="AI435" s="39">
        <f t="shared" si="149"/>
        <v>-148.39994570938674</v>
      </c>
      <c r="AJ435" s="39">
        <f t="shared" si="150"/>
        <v>23.356119257436387</v>
      </c>
      <c r="AK435" s="37">
        <f t="shared" si="151"/>
        <v>44916.122828353575</v>
      </c>
      <c r="AL435" s="37">
        <f t="shared" si="152"/>
        <v>79651.595745035665</v>
      </c>
      <c r="AM435" s="37">
        <f t="shared" si="153"/>
        <v>57743.159796812593</v>
      </c>
    </row>
    <row r="436" spans="12:39">
      <c r="L436">
        <v>432</v>
      </c>
      <c r="M436" s="37">
        <f t="shared" si="138"/>
        <v>2.7143360527015998</v>
      </c>
      <c r="N436" s="37">
        <f t="shared" si="132"/>
        <v>15449.470146574982</v>
      </c>
      <c r="O436" s="37">
        <f t="shared" si="133"/>
        <v>9571.8779049663372</v>
      </c>
      <c r="R436" s="37">
        <f t="shared" si="134"/>
        <v>-23185.370897397512</v>
      </c>
      <c r="S436" s="37">
        <f t="shared" si="135"/>
        <v>11450.314533476436</v>
      </c>
      <c r="V436" s="37">
        <f t="shared" si="136"/>
        <v>-9550.5298534250178</v>
      </c>
      <c r="W436" s="37">
        <f t="shared" si="137"/>
        <v>-12928.122095033663</v>
      </c>
      <c r="Y436" s="37">
        <f t="shared" si="139"/>
        <v>54694.495761769176</v>
      </c>
      <c r="Z436" s="37">
        <f t="shared" si="140"/>
        <v>-23906.74158549268</v>
      </c>
      <c r="AA436" s="37">
        <f t="shared" si="141"/>
        <v>5220.4882301833895</v>
      </c>
      <c r="AB436" s="37">
        <f t="shared" si="142"/>
        <v>192.57741619552797</v>
      </c>
      <c r="AC436" s="37">
        <f t="shared" si="143"/>
        <v>-326.30383589678246</v>
      </c>
      <c r="AD436" s="37">
        <f t="shared" si="144"/>
        <v>181.33196819206853</v>
      </c>
      <c r="AE436" s="39">
        <f t="shared" si="145"/>
        <v>-165.76008600430885</v>
      </c>
      <c r="AF436" s="39">
        <f t="shared" si="146"/>
        <v>150.05216452988455</v>
      </c>
      <c r="AG436" s="39">
        <f t="shared" si="147"/>
        <v>-24.040044087455101</v>
      </c>
      <c r="AH436" s="39">
        <f t="shared" si="148"/>
        <v>10.912712566892958</v>
      </c>
      <c r="AI436" s="39">
        <f t="shared" si="149"/>
        <v>-136.50370580501851</v>
      </c>
      <c r="AJ436" s="39">
        <f t="shared" si="150"/>
        <v>20.367091095291027</v>
      </c>
      <c r="AK436" s="37">
        <f t="shared" si="151"/>
        <v>46798.412934429034</v>
      </c>
      <c r="AL436" s="37">
        <f t="shared" si="152"/>
        <v>82030.084859460752</v>
      </c>
      <c r="AM436" s="37">
        <f t="shared" si="153"/>
        <v>60355.305234275991</v>
      </c>
    </row>
    <row r="437" spans="12:39">
      <c r="L437">
        <v>433</v>
      </c>
      <c r="M437" s="37">
        <f t="shared" si="138"/>
        <v>2.7206192380087795</v>
      </c>
      <c r="N437" s="37">
        <f t="shared" si="132"/>
        <v>15436.542062982448</v>
      </c>
      <c r="O437" s="37">
        <f t="shared" si="133"/>
        <v>9543.2453736816606</v>
      </c>
      <c r="R437" s="37">
        <f t="shared" si="134"/>
        <v>-23194.420555912286</v>
      </c>
      <c r="S437" s="37">
        <f t="shared" si="135"/>
        <v>11430.271761577162</v>
      </c>
      <c r="V437" s="37">
        <f t="shared" si="136"/>
        <v>-9563.4579370175525</v>
      </c>
      <c r="W437" s="37">
        <f t="shared" si="137"/>
        <v>-12956.754626318339</v>
      </c>
      <c r="Y437" s="37">
        <f t="shared" si="139"/>
        <v>57263.951897373772</v>
      </c>
      <c r="Z437" s="37">
        <f t="shared" si="140"/>
        <v>-23787.786381370908</v>
      </c>
      <c r="AA437" s="37">
        <f t="shared" si="141"/>
        <v>5057.3363122349983</v>
      </c>
      <c r="AB437" s="37">
        <f t="shared" si="142"/>
        <v>283.24340029156224</v>
      </c>
      <c r="AC437" s="37">
        <f t="shared" si="143"/>
        <v>-308.38468394914065</v>
      </c>
      <c r="AD437" s="37">
        <f t="shared" si="144"/>
        <v>161.49433998050452</v>
      </c>
      <c r="AE437" s="39">
        <f t="shared" si="145"/>
        <v>-159.18219211783855</v>
      </c>
      <c r="AF437" s="39">
        <f t="shared" si="146"/>
        <v>133.65352221411283</v>
      </c>
      <c r="AG437" s="39">
        <f t="shared" si="147"/>
        <v>-22.901812281169935</v>
      </c>
      <c r="AH437" s="39">
        <f t="shared" si="148"/>
        <v>10.015039641387128</v>
      </c>
      <c r="AI437" s="39">
        <f t="shared" si="149"/>
        <v>-126.30067955013217</v>
      </c>
      <c r="AJ437" s="39">
        <f t="shared" si="150"/>
        <v>17.825778125004579</v>
      </c>
      <c r="AK437" s="37">
        <f t="shared" si="151"/>
        <v>48657.247020932911</v>
      </c>
      <c r="AL437" s="37">
        <f t="shared" si="152"/>
        <v>84328.718544472387</v>
      </c>
      <c r="AM437" s="37">
        <f t="shared" si="153"/>
        <v>62881.037645406926</v>
      </c>
    </row>
    <row r="438" spans="12:39">
      <c r="L438">
        <v>434</v>
      </c>
      <c r="M438" s="37">
        <f t="shared" si="138"/>
        <v>2.7269024233159591</v>
      </c>
      <c r="N438" s="37">
        <f t="shared" si="132"/>
        <v>15423.794136895374</v>
      </c>
      <c r="O438" s="37">
        <f t="shared" si="133"/>
        <v>9514.5321785682281</v>
      </c>
      <c r="R438" s="37">
        <f t="shared" si="134"/>
        <v>-23203.344104173237</v>
      </c>
      <c r="S438" s="37">
        <f t="shared" si="135"/>
        <v>11410.172524997761</v>
      </c>
      <c r="V438" s="37">
        <f t="shared" si="136"/>
        <v>-9576.2058631046257</v>
      </c>
      <c r="W438" s="37">
        <f t="shared" si="137"/>
        <v>-12985.467821431772</v>
      </c>
      <c r="Y438" s="37">
        <f t="shared" si="139"/>
        <v>59754.071967997632</v>
      </c>
      <c r="Z438" s="37">
        <f t="shared" si="140"/>
        <v>-23625.977888727564</v>
      </c>
      <c r="AA438" s="37">
        <f t="shared" si="141"/>
        <v>4903.1439702604284</v>
      </c>
      <c r="AB438" s="37">
        <f t="shared" si="142"/>
        <v>363.99057028181448</v>
      </c>
      <c r="AC438" s="37">
        <f t="shared" si="143"/>
        <v>-291.99532798922587</v>
      </c>
      <c r="AD438" s="37">
        <f t="shared" si="144"/>
        <v>144.3926117856106</v>
      </c>
      <c r="AE438" s="39">
        <f t="shared" si="145"/>
        <v>-152.65287575245475</v>
      </c>
      <c r="AF438" s="39">
        <f t="shared" si="146"/>
        <v>119.52159364068559</v>
      </c>
      <c r="AG438" s="39">
        <f t="shared" si="147"/>
        <v>-21.875220673324069</v>
      </c>
      <c r="AH438" s="39">
        <f t="shared" si="148"/>
        <v>9.2230486609811049</v>
      </c>
      <c r="AI438" s="39">
        <f t="shared" si="149"/>
        <v>-117.46723156344709</v>
      </c>
      <c r="AJ438" s="39">
        <f t="shared" si="150"/>
        <v>15.647969483943916</v>
      </c>
      <c r="AK438" s="37">
        <f t="shared" si="151"/>
        <v>50489.729030430462</v>
      </c>
      <c r="AL438" s="37">
        <f t="shared" si="152"/>
        <v>86552.980217030883</v>
      </c>
      <c r="AM438" s="37">
        <f t="shared" si="153"/>
        <v>65326.084613831204</v>
      </c>
    </row>
    <row r="439" spans="12:39">
      <c r="L439">
        <v>435</v>
      </c>
      <c r="M439" s="37">
        <f t="shared" si="138"/>
        <v>2.7331856086231388</v>
      </c>
      <c r="N439" s="37">
        <f t="shared" si="132"/>
        <v>15411.226871580056</v>
      </c>
      <c r="O439" s="37">
        <f t="shared" si="133"/>
        <v>9485.7394531738173</v>
      </c>
      <c r="R439" s="37">
        <f t="shared" si="134"/>
        <v>-23212.141189893959</v>
      </c>
      <c r="S439" s="37">
        <f t="shared" si="135"/>
        <v>11390.017617221672</v>
      </c>
      <c r="V439" s="37">
        <f t="shared" si="136"/>
        <v>-9588.7731284199435</v>
      </c>
      <c r="W439" s="37">
        <f t="shared" si="137"/>
        <v>-13014.260546826183</v>
      </c>
      <c r="Y439" s="37">
        <f t="shared" si="139"/>
        <v>62169.144537129192</v>
      </c>
      <c r="Z439" s="37">
        <f t="shared" si="140"/>
        <v>-23425.933527113455</v>
      </c>
      <c r="AA439" s="37">
        <f t="shared" si="141"/>
        <v>4757.1463062658158</v>
      </c>
      <c r="AB439" s="37">
        <f t="shared" si="142"/>
        <v>436.18687617461978</v>
      </c>
      <c r="AC439" s="37">
        <f t="shared" si="143"/>
        <v>-276.99986437801124</v>
      </c>
      <c r="AD439" s="37">
        <f t="shared" si="144"/>
        <v>129.581460835239</v>
      </c>
      <c r="AE439" s="39">
        <f t="shared" si="145"/>
        <v>-146.29996478645577</v>
      </c>
      <c r="AF439" s="39">
        <f t="shared" si="146"/>
        <v>107.2932125056808</v>
      </c>
      <c r="AG439" s="39">
        <f t="shared" si="147"/>
        <v>-20.944655172656887</v>
      </c>
      <c r="AH439" s="39">
        <f t="shared" si="148"/>
        <v>8.5201647831832457</v>
      </c>
      <c r="AI439" s="39">
        <f t="shared" si="149"/>
        <v>-109.7552444188986</v>
      </c>
      <c r="AJ439" s="39">
        <f t="shared" si="150"/>
        <v>13.768083546374955</v>
      </c>
      <c r="AK439" s="37">
        <f t="shared" si="151"/>
        <v>52293.882199706051</v>
      </c>
      <c r="AL439" s="37">
        <f t="shared" si="152"/>
        <v>88707.729911900213</v>
      </c>
      <c r="AM439" s="37">
        <f t="shared" si="153"/>
        <v>67695.571004705227</v>
      </c>
    </row>
    <row r="440" spans="12:39">
      <c r="L440">
        <v>436</v>
      </c>
      <c r="M440" s="37">
        <f t="shared" si="138"/>
        <v>2.7394687939303184</v>
      </c>
      <c r="N440" s="37">
        <f t="shared" si="132"/>
        <v>15398.840763170612</v>
      </c>
      <c r="O440" s="37">
        <f t="shared" si="133"/>
        <v>9456.8683341859269</v>
      </c>
      <c r="R440" s="37">
        <f t="shared" si="134"/>
        <v>-23220.811465780571</v>
      </c>
      <c r="S440" s="37">
        <f t="shared" si="135"/>
        <v>11369.807833930148</v>
      </c>
      <c r="V440" s="37">
        <f t="shared" si="136"/>
        <v>-9601.1592368293877</v>
      </c>
      <c r="W440" s="37">
        <f t="shared" si="137"/>
        <v>-13043.131665814073</v>
      </c>
      <c r="Y440" s="37">
        <f t="shared" si="139"/>
        <v>64513.092707214848</v>
      </c>
      <c r="Z440" s="37">
        <f t="shared" si="140"/>
        <v>-23191.642406421739</v>
      </c>
      <c r="AA440" s="37">
        <f t="shared" si="141"/>
        <v>4618.6463740768104</v>
      </c>
      <c r="AB440" s="37">
        <f t="shared" si="142"/>
        <v>500.97760659223928</v>
      </c>
      <c r="AC440" s="37">
        <f t="shared" si="143"/>
        <v>-263.26792524513991</v>
      </c>
      <c r="AD440" s="37">
        <f t="shared" si="144"/>
        <v>116.69423935028846</v>
      </c>
      <c r="AE440" s="39">
        <f t="shared" si="145"/>
        <v>-140.19890770821939</v>
      </c>
      <c r="AF440" s="39">
        <f t="shared" si="146"/>
        <v>96.66672161950585</v>
      </c>
      <c r="AG440" s="39">
        <f t="shared" si="147"/>
        <v>-20.097295400365685</v>
      </c>
      <c r="AH440" s="39">
        <f t="shared" si="148"/>
        <v>7.8930047510640371</v>
      </c>
      <c r="AI440" s="39">
        <f t="shared" si="149"/>
        <v>-102.97172213655482</v>
      </c>
      <c r="AJ440" s="39">
        <f t="shared" si="150"/>
        <v>12.134512979718567</v>
      </c>
      <c r="AK440" s="37">
        <f t="shared" si="151"/>
        <v>54068.404229871339</v>
      </c>
      <c r="AL440" s="37">
        <f t="shared" si="152"/>
        <v>90797.29051339619</v>
      </c>
      <c r="AM440" s="37">
        <f t="shared" si="153"/>
        <v>69994.093058175509</v>
      </c>
    </row>
    <row r="441" spans="12:39">
      <c r="L441">
        <v>437</v>
      </c>
      <c r="M441" s="37">
        <f t="shared" si="138"/>
        <v>2.745751979237498</v>
      </c>
      <c r="N441" s="37">
        <f t="shared" si="132"/>
        <v>15386.636300649388</v>
      </c>
      <c r="O441" s="37">
        <f t="shared" si="133"/>
        <v>9427.9199613868968</v>
      </c>
      <c r="R441" s="37">
        <f t="shared" si="134"/>
        <v>-23229.354589545426</v>
      </c>
      <c r="S441" s="37">
        <f t="shared" si="135"/>
        <v>11349.543972970827</v>
      </c>
      <c r="V441" s="37">
        <f t="shared" si="136"/>
        <v>-9613.3636993506116</v>
      </c>
      <c r="W441" s="37">
        <f t="shared" si="137"/>
        <v>-13072.080038613103</v>
      </c>
      <c r="Y441" s="37">
        <f t="shared" si="139"/>
        <v>66789.507403597614</v>
      </c>
      <c r="Z441" s="37">
        <f t="shared" si="140"/>
        <v>-22926.566823206831</v>
      </c>
      <c r="AA441" s="37">
        <f t="shared" si="141"/>
        <v>4487.0124114542405</v>
      </c>
      <c r="AB441" s="37">
        <f t="shared" si="142"/>
        <v>559.32472626738354</v>
      </c>
      <c r="AC441" s="37">
        <f t="shared" si="143"/>
        <v>-250.67763539074471</v>
      </c>
      <c r="AD441" s="37">
        <f t="shared" si="144"/>
        <v>105.42921420606795</v>
      </c>
      <c r="AE441" s="39">
        <f t="shared" si="145"/>
        <v>-134.39055451651996</v>
      </c>
      <c r="AF441" s="39">
        <f t="shared" si="146"/>
        <v>87.392311103713638</v>
      </c>
      <c r="AG441" s="39">
        <f t="shared" si="147"/>
        <v>-19.322517414918096</v>
      </c>
      <c r="AH441" s="39">
        <f t="shared" si="148"/>
        <v>7.3306575862476375</v>
      </c>
      <c r="AI441" s="39">
        <f t="shared" si="149"/>
        <v>-96.964563459306675</v>
      </c>
      <c r="AJ441" s="39">
        <f t="shared" si="150"/>
        <v>10.706245516106671</v>
      </c>
      <c r="AK441" s="37">
        <f t="shared" si="151"/>
        <v>55812.489388293608</v>
      </c>
      <c r="AL441" s="37">
        <f t="shared" si="152"/>
        <v>92825.521265017582</v>
      </c>
      <c r="AM441" s="37">
        <f t="shared" si="153"/>
        <v>72225.783726131762</v>
      </c>
    </row>
    <row r="442" spans="12:39">
      <c r="L442">
        <v>438</v>
      </c>
      <c r="M442" s="37">
        <f t="shared" si="138"/>
        <v>2.7520351645446777</v>
      </c>
      <c r="N442" s="37">
        <f t="shared" si="132"/>
        <v>15374.613965827673</v>
      </c>
      <c r="O442" s="37">
        <f t="shared" si="133"/>
        <v>9398.8954776089195</v>
      </c>
      <c r="R442" s="37">
        <f t="shared" si="134"/>
        <v>-23237.770223920626</v>
      </c>
      <c r="S442" s="37">
        <f t="shared" si="135"/>
        <v>11329.226834326244</v>
      </c>
      <c r="V442" s="37">
        <f t="shared" si="136"/>
        <v>-9625.3860341723266</v>
      </c>
      <c r="W442" s="37">
        <f t="shared" si="137"/>
        <v>-13101.104522391081</v>
      </c>
      <c r="Y442" s="37">
        <f t="shared" si="139"/>
        <v>69001.67890490088</v>
      </c>
      <c r="Z442" s="37">
        <f t="shared" si="140"/>
        <v>-22633.725808297382</v>
      </c>
      <c r="AA442" s="37">
        <f t="shared" si="141"/>
        <v>4361.6735937588683</v>
      </c>
      <c r="AB442" s="37">
        <f t="shared" si="142"/>
        <v>612.03933337041747</v>
      </c>
      <c r="AC442" s="37">
        <f t="shared" si="143"/>
        <v>-239.11701917186747</v>
      </c>
      <c r="AD442" s="37">
        <f t="shared" si="144"/>
        <v>95.537733389302119</v>
      </c>
      <c r="AE442" s="39">
        <f t="shared" si="145"/>
        <v>-128.89311593704306</v>
      </c>
      <c r="AF442" s="39">
        <f t="shared" si="146"/>
        <v>79.263198752063204</v>
      </c>
      <c r="AG442" s="39">
        <f t="shared" si="147"/>
        <v>-18.611442659744757</v>
      </c>
      <c r="AH442" s="39">
        <f t="shared" si="148"/>
        <v>6.8241489837953484</v>
      </c>
      <c r="AI442" s="39">
        <f t="shared" si="149"/>
        <v>-91.612460575079652</v>
      </c>
      <c r="AJ442" s="39">
        <f t="shared" si="150"/>
        <v>9.4503856534435577</v>
      </c>
      <c r="AK442" s="37">
        <f t="shared" si="151"/>
        <v>57525.698314654604</v>
      </c>
      <c r="AL442" s="37">
        <f t="shared" si="152"/>
        <v>94795.880227055299</v>
      </c>
      <c r="AM442" s="37">
        <f t="shared" si="153"/>
        <v>74394.369749735211</v>
      </c>
    </row>
    <row r="443" spans="12:39">
      <c r="L443">
        <v>439</v>
      </c>
      <c r="M443" s="37">
        <f t="shared" si="138"/>
        <v>2.7583183498518573</v>
      </c>
      <c r="N443" s="37">
        <f t="shared" si="132"/>
        <v>15362.774233326658</v>
      </c>
      <c r="O443" s="37">
        <f t="shared" si="133"/>
        <v>9369.7960286889138</v>
      </c>
      <c r="R443" s="37">
        <f t="shared" si="134"/>
        <v>-23246.05803667134</v>
      </c>
      <c r="S443" s="37">
        <f t="shared" si="135"/>
        <v>11308.85722008224</v>
      </c>
      <c r="V443" s="37">
        <f t="shared" si="136"/>
        <v>-9637.2257666733422</v>
      </c>
      <c r="W443" s="37">
        <f t="shared" si="137"/>
        <v>-13130.203971311086</v>
      </c>
      <c r="Y443" s="37">
        <f t="shared" si="139"/>
        <v>71152.626074383836</v>
      </c>
      <c r="Z443" s="37">
        <f t="shared" si="140"/>
        <v>-22315.76392493851</v>
      </c>
      <c r="AA443" s="37">
        <f t="shared" si="141"/>
        <v>4242.1150841729341</v>
      </c>
      <c r="AB443" s="37">
        <f t="shared" si="142"/>
        <v>659.80820006506849</v>
      </c>
      <c r="AC443" s="37">
        <f t="shared" si="143"/>
        <v>-228.48439744756325</v>
      </c>
      <c r="AD443" s="37">
        <f t="shared" si="144"/>
        <v>86.814363540805886</v>
      </c>
      <c r="AE443" s="39">
        <f t="shared" si="145"/>
        <v>-123.71019484066068</v>
      </c>
      <c r="AF443" s="39">
        <f t="shared" si="146"/>
        <v>72.108007888267835</v>
      </c>
      <c r="AG443" s="39">
        <f t="shared" si="147"/>
        <v>-17.956593313657322</v>
      </c>
      <c r="AH443" s="39">
        <f t="shared" si="148"/>
        <v>6.3660374408385012</v>
      </c>
      <c r="AI443" s="39">
        <f t="shared" si="149"/>
        <v>-86.817609293245269</v>
      </c>
      <c r="AJ443" s="39">
        <f t="shared" si="150"/>
        <v>8.3403182116995573</v>
      </c>
      <c r="AK443" s="37">
        <f t="shared" si="151"/>
        <v>59207.862085481502</v>
      </c>
      <c r="AL443" s="37">
        <f t="shared" si="152"/>
        <v>96711.477283251123</v>
      </c>
      <c r="AM443" s="37">
        <f t="shared" si="153"/>
        <v>76503.221238261307</v>
      </c>
    </row>
    <row r="444" spans="12:39">
      <c r="L444">
        <v>440</v>
      </c>
      <c r="M444" s="37">
        <f t="shared" si="138"/>
        <v>2.7646015351590369</v>
      </c>
      <c r="N444" s="37">
        <f t="shared" si="132"/>
        <v>15351.117570558708</v>
      </c>
      <c r="O444" s="37">
        <f t="shared" si="133"/>
        <v>9340.6227634233019</v>
      </c>
      <c r="R444" s="37">
        <f t="shared" si="134"/>
        <v>-23254.217700608904</v>
      </c>
      <c r="S444" s="37">
        <f t="shared" si="135"/>
        <v>11288.435934396311</v>
      </c>
      <c r="V444" s="37">
        <f t="shared" si="136"/>
        <v>-9648.8824294412916</v>
      </c>
      <c r="W444" s="37">
        <f t="shared" si="137"/>
        <v>-13159.377236576698</v>
      </c>
      <c r="Y444" s="37">
        <f t="shared" si="139"/>
        <v>73245.123066789354</v>
      </c>
      <c r="Z444" s="37">
        <f t="shared" si="140"/>
        <v>-21975.008029463374</v>
      </c>
      <c r="AA444" s="37">
        <f t="shared" si="141"/>
        <v>4127.8728854491528</v>
      </c>
      <c r="AB444" s="37">
        <f t="shared" si="142"/>
        <v>703.21538183547148</v>
      </c>
      <c r="AC444" s="37">
        <f t="shared" si="143"/>
        <v>-218.68816691655121</v>
      </c>
      <c r="AD444" s="37">
        <f t="shared" si="144"/>
        <v>79.088814325929917</v>
      </c>
      <c r="AE444" s="39">
        <f t="shared" si="145"/>
        <v>-118.83617187193924</v>
      </c>
      <c r="AF444" s="39">
        <f t="shared" si="146"/>
        <v>65.784374574970983</v>
      </c>
      <c r="AG444" s="39">
        <f t="shared" si="147"/>
        <v>-17.351626039175621</v>
      </c>
      <c r="AH444" s="39">
        <f t="shared" si="148"/>
        <v>5.950106168335286</v>
      </c>
      <c r="AI444" s="39">
        <f t="shared" si="149"/>
        <v>-82.50036900543634</v>
      </c>
      <c r="AJ444" s="39">
        <f t="shared" si="150"/>
        <v>7.3543335826236556</v>
      </c>
      <c r="AK444" s="37">
        <f t="shared" si="151"/>
        <v>60859.011072596921</v>
      </c>
      <c r="AL444" s="37">
        <f t="shared" si="152"/>
        <v>98575.119143853633</v>
      </c>
      <c r="AM444" s="37">
        <f t="shared" si="153"/>
        <v>78555.394599913314</v>
      </c>
    </row>
    <row r="445" spans="12:39">
      <c r="L445">
        <v>441</v>
      </c>
      <c r="M445" s="37">
        <f t="shared" si="138"/>
        <v>2.7708847204662166</v>
      </c>
      <c r="N445" s="37">
        <f t="shared" si="132"/>
        <v>15339.64443770891</v>
      </c>
      <c r="O445" s="37">
        <f t="shared" si="133"/>
        <v>9311.3768335226396</v>
      </c>
      <c r="R445" s="37">
        <f t="shared" si="134"/>
        <v>-23262.248893603763</v>
      </c>
      <c r="S445" s="37">
        <f t="shared" si="135"/>
        <v>11267.963783465848</v>
      </c>
      <c r="V445" s="37">
        <f t="shared" si="136"/>
        <v>-9660.3555622910899</v>
      </c>
      <c r="W445" s="37">
        <f t="shared" si="137"/>
        <v>-13188.62316647736</v>
      </c>
      <c r="Y445" s="37">
        <f t="shared" si="139"/>
        <v>75281.723488649353</v>
      </c>
      <c r="Z445" s="37">
        <f t="shared" si="140"/>
        <v>-21613.514236754898</v>
      </c>
      <c r="AA445" s="37">
        <f t="shared" si="141"/>
        <v>4018.5288019908771</v>
      </c>
      <c r="AB445" s="37">
        <f t="shared" si="142"/>
        <v>742.75978899843642</v>
      </c>
      <c r="AC445" s="37">
        <f t="shared" si="143"/>
        <v>-209.64622942276313</v>
      </c>
      <c r="AD445" s="37">
        <f t="shared" si="144"/>
        <v>72.219390674791967</v>
      </c>
      <c r="AE445" s="39">
        <f t="shared" si="145"/>
        <v>-114.25980842794149</v>
      </c>
      <c r="AF445" s="39">
        <f t="shared" si="146"/>
        <v>60.173676749401125</v>
      </c>
      <c r="AG445" s="39">
        <f t="shared" si="147"/>
        <v>-16.791124177695075</v>
      </c>
      <c r="AH445" s="39">
        <f t="shared" si="148"/>
        <v>5.5711255402083335</v>
      </c>
      <c r="AI445" s="39">
        <f t="shared" si="149"/>
        <v>-78.595296817126552</v>
      </c>
      <c r="AJ445" s="39">
        <f t="shared" si="150"/>
        <v>6.4745883851825141</v>
      </c>
      <c r="AK445" s="37">
        <f t="shared" si="151"/>
        <v>62479.321884037883</v>
      </c>
      <c r="AL445" s="37">
        <f t="shared" si="152"/>
        <v>100389.34760902144</v>
      </c>
      <c r="AM445" s="37">
        <f t="shared" si="153"/>
        <v>80553.669667295195</v>
      </c>
    </row>
    <row r="446" spans="12:39">
      <c r="L446">
        <v>442</v>
      </c>
      <c r="M446" s="37">
        <f t="shared" si="138"/>
        <v>2.7771679057733962</v>
      </c>
      <c r="N446" s="37">
        <f t="shared" si="132"/>
        <v>15328.355287716906</v>
      </c>
      <c r="O446" s="37">
        <f t="shared" si="133"/>
        <v>9282.0593935661655</v>
      </c>
      <c r="R446" s="37">
        <f t="shared" si="134"/>
        <v>-23270.151298598164</v>
      </c>
      <c r="S446" s="37">
        <f t="shared" si="135"/>
        <v>11247.441575496316</v>
      </c>
      <c r="V446" s="37">
        <f t="shared" si="136"/>
        <v>-9671.6447122830941</v>
      </c>
      <c r="W446" s="37">
        <f t="shared" si="137"/>
        <v>-13217.940606433835</v>
      </c>
      <c r="Y446" s="37">
        <f t="shared" si="139"/>
        <v>77264.782110966946</v>
      </c>
      <c r="Z446" s="37">
        <f t="shared" si="140"/>
        <v>-21233.10691842133</v>
      </c>
      <c r="AA446" s="37">
        <f t="shared" si="141"/>
        <v>3913.7056872794956</v>
      </c>
      <c r="AB446" s="37">
        <f t="shared" si="142"/>
        <v>778.86948433583245</v>
      </c>
      <c r="AC446" s="37">
        <f t="shared" si="143"/>
        <v>-201.28524589187279</v>
      </c>
      <c r="AD446" s="37">
        <f t="shared" si="144"/>
        <v>66.087710492795452</v>
      </c>
      <c r="AE446" s="39">
        <f t="shared" si="145"/>
        <v>-109.96664720346962</v>
      </c>
      <c r="AF446" s="39">
        <f t="shared" si="146"/>
        <v>55.176730183567578</v>
      </c>
      <c r="AG446" s="39">
        <f t="shared" si="147"/>
        <v>-16.270434002449676</v>
      </c>
      <c r="AH446" s="39">
        <f t="shared" si="148"/>
        <v>5.2246681047191696</v>
      </c>
      <c r="AI446" s="39">
        <f t="shared" si="149"/>
        <v>-75.048164685953495</v>
      </c>
      <c r="AJ446" s="39">
        <f t="shared" si="150"/>
        <v>5.686312204508698</v>
      </c>
      <c r="AK446" s="37">
        <f t="shared" si="151"/>
        <v>64069.077591315079</v>
      </c>
      <c r="AL446" s="37">
        <f t="shared" si="152"/>
        <v>102156.47217318839</v>
      </c>
      <c r="AM446" s="37">
        <f t="shared" si="153"/>
        <v>82500.581801714216</v>
      </c>
    </row>
    <row r="447" spans="12:39">
      <c r="L447">
        <v>443</v>
      </c>
      <c r="M447" s="37">
        <f t="shared" si="138"/>
        <v>2.7834510910805759</v>
      </c>
      <c r="N447" s="37">
        <f t="shared" si="132"/>
        <v>15317.250566259005</v>
      </c>
      <c r="O447" s="37">
        <f t="shared" si="133"/>
        <v>9252.671600956206</v>
      </c>
      <c r="R447" s="37">
        <f t="shared" si="134"/>
        <v>-23277.924603618696</v>
      </c>
      <c r="S447" s="37">
        <f t="shared" si="135"/>
        <v>11226.870120669344</v>
      </c>
      <c r="V447" s="37">
        <f t="shared" si="136"/>
        <v>-9682.7494337409953</v>
      </c>
      <c r="W447" s="37">
        <f t="shared" si="137"/>
        <v>-13247.328399043794</v>
      </c>
      <c r="Y447" s="37">
        <f t="shared" si="139"/>
        <v>79196.474298870206</v>
      </c>
      <c r="Z447" s="37">
        <f t="shared" si="140"/>
        <v>-20835.411212441813</v>
      </c>
      <c r="AA447" s="37">
        <f t="shared" si="141"/>
        <v>3813.0630643335594</v>
      </c>
      <c r="AB447" s="37">
        <f t="shared" si="142"/>
        <v>811.91333958223015</v>
      </c>
      <c r="AC447" s="37">
        <f t="shared" si="143"/>
        <v>-193.53982464095466</v>
      </c>
      <c r="AD447" s="37">
        <f t="shared" si="144"/>
        <v>60.594451587862686</v>
      </c>
      <c r="AE447" s="39">
        <f t="shared" si="145"/>
        <v>-105.94060061456939</v>
      </c>
      <c r="AF447" s="39">
        <f t="shared" si="146"/>
        <v>50.710291754050999</v>
      </c>
      <c r="AG447" s="39">
        <f t="shared" si="147"/>
        <v>-15.785534530050294</v>
      </c>
      <c r="AH447" s="39">
        <f t="shared" si="148"/>
        <v>4.90696319483851</v>
      </c>
      <c r="AI447" s="39">
        <f t="shared" si="149"/>
        <v>-71.813689496334973</v>
      </c>
      <c r="AJ447" s="39">
        <f t="shared" si="150"/>
        <v>4.9771966389731741</v>
      </c>
      <c r="AK447" s="37">
        <f t="shared" si="151"/>
        <v>65628.637788658802</v>
      </c>
      <c r="AL447" s="37">
        <f t="shared" si="152"/>
        <v>103878.59788217591</v>
      </c>
      <c r="AM447" s="37">
        <f t="shared" si="153"/>
        <v>84398.449679947342</v>
      </c>
    </row>
    <row r="448" spans="12:39">
      <c r="L448">
        <v>444</v>
      </c>
      <c r="M448" s="37">
        <f t="shared" si="138"/>
        <v>2.7897342763877555</v>
      </c>
      <c r="N448" s="37">
        <f t="shared" si="132"/>
        <v>15306.330711730596</v>
      </c>
      <c r="O448" s="37">
        <f t="shared" si="133"/>
        <v>9223.2146158724954</v>
      </c>
      <c r="R448" s="37">
        <f t="shared" si="134"/>
        <v>-23285.568501788581</v>
      </c>
      <c r="S448" s="37">
        <f t="shared" si="135"/>
        <v>11206.250231110747</v>
      </c>
      <c r="V448" s="37">
        <f t="shared" si="136"/>
        <v>-9693.6692882694042</v>
      </c>
      <c r="W448" s="37">
        <f t="shared" si="137"/>
        <v>-13276.785384127505</v>
      </c>
      <c r="Y448" s="37">
        <f t="shared" si="139"/>
        <v>81078.813352956859</v>
      </c>
      <c r="Z448" s="37">
        <f t="shared" si="140"/>
        <v>-20421.880236202218</v>
      </c>
      <c r="AA448" s="37">
        <f t="shared" si="141"/>
        <v>3716.2931520130819</v>
      </c>
      <c r="AB448" s="37">
        <f t="shared" si="142"/>
        <v>842.21056537616153</v>
      </c>
      <c r="AC448" s="37">
        <f t="shared" si="143"/>
        <v>-186.35171018239399</v>
      </c>
      <c r="AD448" s="37">
        <f t="shared" si="144"/>
        <v>55.65592701786106</v>
      </c>
      <c r="AE448" s="39">
        <f t="shared" si="145"/>
        <v>-102.16499019759081</v>
      </c>
      <c r="AF448" s="39">
        <f t="shared" si="146"/>
        <v>46.704224657170855</v>
      </c>
      <c r="AG448" s="39">
        <f t="shared" si="147"/>
        <v>-15.332933144642386</v>
      </c>
      <c r="AH448" s="39">
        <f t="shared" si="148"/>
        <v>4.6147816770185779</v>
      </c>
      <c r="AI448" s="39">
        <f t="shared" si="149"/>
        <v>-68.853786840160794</v>
      </c>
      <c r="AJ448" s="39">
        <f t="shared" si="150"/>
        <v>4.3369206836716288</v>
      </c>
      <c r="AK448" s="37">
        <f t="shared" si="151"/>
        <v>67158.415976928474</v>
      </c>
      <c r="AL448" s="37">
        <f t="shared" si="152"/>
        <v>105557.64920624049</v>
      </c>
      <c r="AM448" s="37">
        <f t="shared" si="153"/>
        <v>86249.39938080094</v>
      </c>
    </row>
    <row r="449" spans="12:39">
      <c r="L449">
        <v>445</v>
      </c>
      <c r="M449" s="37">
        <f t="shared" si="138"/>
        <v>2.7960174616949351</v>
      </c>
      <c r="N449" s="37">
        <f t="shared" si="132"/>
        <v>15295.596155228839</v>
      </c>
      <c r="O449" s="37">
        <f t="shared" si="133"/>
        <v>9193.689601226366</v>
      </c>
      <c r="R449" s="37">
        <f t="shared" si="134"/>
        <v>-23293.082691339812</v>
      </c>
      <c r="S449" s="37">
        <f t="shared" si="135"/>
        <v>11185.582720858456</v>
      </c>
      <c r="V449" s="37">
        <f t="shared" si="136"/>
        <v>-9704.4038447711609</v>
      </c>
      <c r="W449" s="37">
        <f t="shared" si="137"/>
        <v>-13306.310398773634</v>
      </c>
      <c r="Y449" s="37">
        <f t="shared" si="139"/>
        <v>82913.665965190608</v>
      </c>
      <c r="Z449" s="37">
        <f t="shared" si="140"/>
        <v>-19993.817962636906</v>
      </c>
      <c r="AA449" s="37">
        <f t="shared" si="141"/>
        <v>3623.1172969218851</v>
      </c>
      <c r="AB449" s="37">
        <f t="shared" si="142"/>
        <v>870.03852888509209</v>
      </c>
      <c r="AC449" s="37">
        <f t="shared" si="143"/>
        <v>-179.66901015443631</v>
      </c>
      <c r="AD449" s="37">
        <f t="shared" si="144"/>
        <v>51.201323531948489</v>
      </c>
      <c r="AE449" s="39">
        <f t="shared" si="145"/>
        <v>-98.623214806526832</v>
      </c>
      <c r="AF449" s="39">
        <f t="shared" si="146"/>
        <v>43.099200677336817</v>
      </c>
      <c r="AG449" s="39">
        <f t="shared" si="147"/>
        <v>-14.909581260043865</v>
      </c>
      <c r="AH449" s="39">
        <f t="shared" si="148"/>
        <v>4.3453438570943241</v>
      </c>
      <c r="AI449" s="39">
        <f t="shared" si="149"/>
        <v>-66.136214087865625</v>
      </c>
      <c r="AJ449" s="39">
        <f t="shared" si="150"/>
        <v>3.7567789975173431</v>
      </c>
      <c r="AK449" s="37">
        <f t="shared" si="151"/>
        <v>68658.862438451455</v>
      </c>
      <c r="AL449" s="37">
        <f t="shared" si="152"/>
        <v>107195.39056494282</v>
      </c>
      <c r="AM449" s="37">
        <f t="shared" si="153"/>
        <v>88055.385305403484</v>
      </c>
    </row>
    <row r="450" spans="12:39">
      <c r="L450">
        <v>446</v>
      </c>
      <c r="M450" s="37">
        <f t="shared" si="138"/>
        <v>2.8023006470021148</v>
      </c>
      <c r="N450" s="37">
        <f t="shared" si="132"/>
        <v>15285.047320535647</v>
      </c>
      <c r="O450" s="37">
        <f t="shared" si="133"/>
        <v>9164.0977226148425</v>
      </c>
      <c r="R450" s="37">
        <f t="shared" si="134"/>
        <v>-23300.466875625047</v>
      </c>
      <c r="S450" s="37">
        <f t="shared" si="135"/>
        <v>11164.86840583039</v>
      </c>
      <c r="V450" s="37">
        <f t="shared" si="136"/>
        <v>-9714.9526794643534</v>
      </c>
      <c r="W450" s="37">
        <f t="shared" si="137"/>
        <v>-13335.902277385158</v>
      </c>
      <c r="Y450" s="37">
        <f t="shared" si="139"/>
        <v>84702.765987382241</v>
      </c>
      <c r="Z450" s="37">
        <f t="shared" si="140"/>
        <v>-19552.398532752868</v>
      </c>
      <c r="AA450" s="37">
        <f t="shared" si="141"/>
        <v>3533.2827918446669</v>
      </c>
      <c r="AB450" s="37">
        <f t="shared" si="142"/>
        <v>895.63919065106631</v>
      </c>
      <c r="AC450" s="37">
        <f t="shared" si="143"/>
        <v>-173.44547985819196</v>
      </c>
      <c r="AD450" s="37">
        <f t="shared" si="144"/>
        <v>47.170469465640906</v>
      </c>
      <c r="AE450" s="39">
        <f t="shared" si="145"/>
        <v>-95.299168141015912</v>
      </c>
      <c r="AF450" s="39">
        <f t="shared" si="146"/>
        <v>39.844835642626784</v>
      </c>
      <c r="AG450" s="39">
        <f t="shared" si="147"/>
        <v>-14.512805672152604</v>
      </c>
      <c r="AH450" s="39">
        <f t="shared" si="148"/>
        <v>4.0962453380031576</v>
      </c>
      <c r="AI450" s="39">
        <f t="shared" si="149"/>
        <v>-63.633506045023431</v>
      </c>
      <c r="AJ450" s="39">
        <f t="shared" si="150"/>
        <v>3.2293884850109649</v>
      </c>
      <c r="AK450" s="37">
        <f t="shared" si="151"/>
        <v>70130.451251883715</v>
      </c>
      <c r="AL450" s="37">
        <f t="shared" si="152"/>
        <v>108793.4440324746</v>
      </c>
      <c r="AM450" s="37">
        <f t="shared" si="153"/>
        <v>89818.208388878877</v>
      </c>
    </row>
    <row r="451" spans="12:39">
      <c r="L451">
        <v>447</v>
      </c>
      <c r="M451" s="37">
        <f t="shared" si="138"/>
        <v>2.8085838323092944</v>
      </c>
      <c r="N451" s="37">
        <f t="shared" si="132"/>
        <v>15274.684624100944</v>
      </c>
      <c r="O451" s="37">
        <f t="shared" si="133"/>
        <v>9134.4401482746216</v>
      </c>
      <c r="R451" s="37">
        <f t="shared" si="134"/>
        <v>-23307.720763129339</v>
      </c>
      <c r="S451" s="37">
        <f t="shared" si="135"/>
        <v>11144.108103792234</v>
      </c>
      <c r="V451" s="37">
        <f t="shared" si="136"/>
        <v>-9725.3153758990557</v>
      </c>
      <c r="W451" s="37">
        <f t="shared" si="137"/>
        <v>-13365.559851725378</v>
      </c>
      <c r="Y451" s="37">
        <f t="shared" si="139"/>
        <v>86447.726698322294</v>
      </c>
      <c r="Z451" s="37">
        <f t="shared" si="140"/>
        <v>-19098.682628744129</v>
      </c>
      <c r="AA451" s="37">
        <f t="shared" si="141"/>
        <v>3446.560051915571</v>
      </c>
      <c r="AB451" s="37">
        <f t="shared" si="142"/>
        <v>919.2244253838868</v>
      </c>
      <c r="AC451" s="37">
        <f t="shared" si="143"/>
        <v>-167.63987261019506</v>
      </c>
      <c r="AD451" s="37">
        <f t="shared" si="144"/>
        <v>43.512025212891928</v>
      </c>
      <c r="AE451" s="39">
        <f t="shared" si="145"/>
        <v>-92.177487525046132</v>
      </c>
      <c r="AF451" s="39">
        <f t="shared" si="146"/>
        <v>36.898173316373629</v>
      </c>
      <c r="AG451" s="39">
        <f t="shared" si="147"/>
        <v>-14.140252297590754</v>
      </c>
      <c r="AH451" s="39">
        <f t="shared" si="148"/>
        <v>3.8653969103921533</v>
      </c>
      <c r="AI451" s="39">
        <f t="shared" si="149"/>
        <v>-61.322132787558182</v>
      </c>
      <c r="AJ451" s="39">
        <f t="shared" si="150"/>
        <v>2.7484549861261516</v>
      </c>
      <c r="AK451" s="37">
        <f t="shared" si="151"/>
        <v>71573.670444930991</v>
      </c>
      <c r="AL451" s="37">
        <f t="shared" si="152"/>
        <v>110353.30466265653</v>
      </c>
      <c r="AM451" s="37">
        <f t="shared" si="153"/>
        <v>91539.531993462893</v>
      </c>
    </row>
    <row r="452" spans="12:39">
      <c r="L452">
        <v>448</v>
      </c>
      <c r="M452" s="37">
        <f t="shared" si="138"/>
        <v>2.8148670176164741</v>
      </c>
      <c r="N452" s="37">
        <f t="shared" si="132"/>
        <v>15264.508475026247</v>
      </c>
      <c r="O452" s="37">
        <f t="shared" si="133"/>
        <v>9104.7180490359551</v>
      </c>
      <c r="R452" s="37">
        <f t="shared" si="134"/>
        <v>-23314.844067481627</v>
      </c>
      <c r="S452" s="37">
        <f t="shared" si="135"/>
        <v>11123.302634325169</v>
      </c>
      <c r="V452" s="37">
        <f t="shared" si="136"/>
        <v>-9735.4915249737533</v>
      </c>
      <c r="W452" s="37">
        <f t="shared" si="137"/>
        <v>-13395.281950964045</v>
      </c>
      <c r="Y452" s="37">
        <f t="shared" si="139"/>
        <v>88150.051740203809</v>
      </c>
      <c r="Z452" s="37">
        <f t="shared" si="140"/>
        <v>-18633.631412900573</v>
      </c>
      <c r="AA452" s="37">
        <f t="shared" si="141"/>
        <v>3362.7401156104734</v>
      </c>
      <c r="AB452" s="37">
        <f t="shared" si="142"/>
        <v>940.9804379903328</v>
      </c>
      <c r="AC452" s="37">
        <f t="shared" si="143"/>
        <v>-162.21535734440138</v>
      </c>
      <c r="AD452" s="37">
        <f t="shared" si="144"/>
        <v>40.182011309055767</v>
      </c>
      <c r="AE452" s="39">
        <f t="shared" si="145"/>
        <v>-89.243689737242079</v>
      </c>
      <c r="AF452" s="39">
        <f t="shared" si="146"/>
        <v>34.222449344737171</v>
      </c>
      <c r="AG452" s="39">
        <f t="shared" si="147"/>
        <v>-13.789839765468885</v>
      </c>
      <c r="AH452" s="39">
        <f t="shared" si="148"/>
        <v>3.6509754987071554</v>
      </c>
      <c r="AI452" s="39">
        <f t="shared" si="149"/>
        <v>-59.181827841690421</v>
      </c>
      <c r="AJ452" s="39">
        <f t="shared" si="150"/>
        <v>2.3085864656114419</v>
      </c>
      <c r="AK452" s="37">
        <f t="shared" si="151"/>
        <v>72989.014536557486</v>
      </c>
      <c r="AL452" s="37">
        <f t="shared" si="152"/>
        <v>111876.35379873001</v>
      </c>
      <c r="AM452" s="37">
        <f t="shared" si="153"/>
        <v>93220.895814444215</v>
      </c>
    </row>
    <row r="453" spans="12:39">
      <c r="L453">
        <v>449</v>
      </c>
      <c r="M453" s="37">
        <f t="shared" si="138"/>
        <v>2.8211502029236537</v>
      </c>
      <c r="N453" s="37">
        <f t="shared" ref="N453:N516" si="154">COS(M453)*$D$37+$D$36</f>
        <v>15254.519275048497</v>
      </c>
      <c r="O453" s="37">
        <f t="shared" ref="O453:O516" si="155">SIN(M453)*$D$37+$E$36</f>
        <v>9074.9325982764312</v>
      </c>
      <c r="R453" s="37">
        <f t="shared" ref="R453:R516" si="156">COS(M453)*$D$48+$D$47</f>
        <v>-23321.836507466054</v>
      </c>
      <c r="S453" s="37">
        <f t="shared" ref="S453:S516" si="157">SIN(M453)*$D$48+$E$47</f>
        <v>11102.452818793503</v>
      </c>
      <c r="V453" s="37">
        <f t="shared" ref="V453:V516" si="158">COS(M453)*$D$57+$D$56</f>
        <v>-9745.4807249515034</v>
      </c>
      <c r="W453" s="37">
        <f t="shared" ref="W453:W516" si="159">SIN(M453)*$D$57+$E$56</f>
        <v>-13425.067401723569</v>
      </c>
      <c r="Y453" s="37">
        <f t="shared" si="139"/>
        <v>89811.144878341001</v>
      </c>
      <c r="Z453" s="37">
        <f t="shared" si="140"/>
        <v>-18158.118442491774</v>
      </c>
      <c r="AA453" s="37">
        <f t="shared" si="141"/>
        <v>3281.6324369382728</v>
      </c>
      <c r="AB453" s="37">
        <f t="shared" si="142"/>
        <v>961.07144364486066</v>
      </c>
      <c r="AC453" s="37">
        <f t="shared" si="143"/>
        <v>-157.13900101077292</v>
      </c>
      <c r="AD453" s="37">
        <f t="shared" si="144"/>
        <v>37.142606770376396</v>
      </c>
      <c r="AE453" s="39">
        <f t="shared" si="145"/>
        <v>-86.484231958161104</v>
      </c>
      <c r="AF453" s="39">
        <f t="shared" si="146"/>
        <v>31.786080443996333</v>
      </c>
      <c r="AG453" s="39">
        <f t="shared" si="147"/>
        <v>-13.45972090396112</v>
      </c>
      <c r="AH453" s="39">
        <f t="shared" si="148"/>
        <v>3.4513838812673479</v>
      </c>
      <c r="AI453" s="39">
        <f t="shared" si="149"/>
        <v>-57.195048148650685</v>
      </c>
      <c r="AJ453" s="39">
        <f t="shared" si="150"/>
        <v>1.9051424451127177</v>
      </c>
      <c r="AK453" s="37">
        <f t="shared" si="151"/>
        <v>74376.978906336692</v>
      </c>
      <c r="AL453" s="37">
        <f t="shared" si="152"/>
        <v>113363.87067189172</v>
      </c>
      <c r="AM453" s="37">
        <f t="shared" si="153"/>
        <v>94863.728080012617</v>
      </c>
    </row>
    <row r="454" spans="12:39">
      <c r="L454">
        <v>450</v>
      </c>
      <c r="M454" s="37">
        <f t="shared" ref="M454:M517" si="160">M453+$J$3</f>
        <v>2.8274333882308333</v>
      </c>
      <c r="N454" s="37">
        <f t="shared" si="154"/>
        <v>15244.717418524202</v>
      </c>
      <c r="O454" s="37">
        <f t="shared" si="155"/>
        <v>9045.0849718746449</v>
      </c>
      <c r="R454" s="37">
        <f t="shared" si="156"/>
        <v>-23328.697807033059</v>
      </c>
      <c r="S454" s="37">
        <f t="shared" si="157"/>
        <v>11081.559480312251</v>
      </c>
      <c r="V454" s="37">
        <f t="shared" si="158"/>
        <v>-9755.282581475798</v>
      </c>
      <c r="W454" s="37">
        <f t="shared" si="159"/>
        <v>-13454.915028125355</v>
      </c>
      <c r="Y454" s="37">
        <f t="shared" ref="Y454:Y517" si="161">Y453+(AA453*$D$14)+((1/2)*AC453)*$D$14^2</f>
        <v>91432.318721683783</v>
      </c>
      <c r="Z454" s="37">
        <f t="shared" ref="Z454:Z517" si="162">Z453+(AB453*$D$14)+((1/2)*AD453)*$D$14^2</f>
        <v>-17672.939894823045</v>
      </c>
      <c r="AA454" s="37">
        <f t="shared" ref="AA454:AA517" si="163">AA453+(AC453*$D$14)</f>
        <v>3203.0629364328865</v>
      </c>
      <c r="AB454" s="37">
        <f t="shared" ref="AB454:AB517" si="164">AB453+(AD453*$D$14)</f>
        <v>979.64274703004889</v>
      </c>
      <c r="AC454" s="37">
        <f t="shared" ref="AC454:AC517" si="165">AE454+AG454+AI454</f>
        <v>-152.38131125581828</v>
      </c>
      <c r="AD454" s="37">
        <f t="shared" ref="AD454:AD517" si="166">AF454+AH454+AJ454</f>
        <v>34.361164339228957</v>
      </c>
      <c r="AE454" s="39">
        <f t="shared" ref="AE454:AE517" si="167">$D$40*($D$36-Y454)/(AK454^2+$D$41^2)^(3/2)</f>
        <v>-83.88652381285759</v>
      </c>
      <c r="AF454" s="39">
        <f t="shared" ref="AF454:AF517" si="168">$D$40*($E$36-Z454)/(AK454^2+$D$41^2)^(3/2)</f>
        <v>29.561835030922687</v>
      </c>
      <c r="AG454" s="39">
        <f t="shared" ref="AG454:AG517" si="169">$D$51*($D$47-Y454)/(AL454^2+$D$52^2)^(3/2)</f>
        <v>-13.148250595782232</v>
      </c>
      <c r="AH454" s="39">
        <f t="shared" ref="AH454:AH517" si="170">$D$51*($E$47-Z454)/(AL454^2+$D$52^2)^(3/2)</f>
        <v>3.2652174219574124</v>
      </c>
      <c r="AI454" s="39">
        <f t="shared" ref="AI454:AI517" si="171">$D$60*($D$56-Y454)/(AM454^2+$D$61^2)^(3/2)</f>
        <v>-55.346536847178442</v>
      </c>
      <c r="AJ454" s="39">
        <f t="shared" ref="AJ454:AJ517" si="172">$D$60*($E$56-Z454)/(AM454^2+$D$61^2)^(3/2)</f>
        <v>1.5341118863488612</v>
      </c>
      <c r="AK454" s="37">
        <f t="shared" ref="AK454:AK517" si="173">SQRT(($D$36-Y454)^2+($E$36-Z454)^2)</f>
        <v>75738.055565908144</v>
      </c>
      <c r="AL454" s="37">
        <f t="shared" ref="AL454:AL517" si="174">SQRT(($D$47-Y454)^2+($E$47-Z454)^2)</f>
        <v>114817.04254209567</v>
      </c>
      <c r="AM454" s="37">
        <f t="shared" ref="AM454:AM517" si="175">SQRT(($D$56-Y454)^2+($E$56-Z454)^2)</f>
        <v>96469.356283338711</v>
      </c>
    </row>
    <row r="455" spans="12:39">
      <c r="L455">
        <v>451</v>
      </c>
      <c r="M455" s="37">
        <f t="shared" si="160"/>
        <v>2.833716573538013</v>
      </c>
      <c r="N455" s="37">
        <f t="shared" si="154"/>
        <v>15235.103292413876</v>
      </c>
      <c r="O455" s="37">
        <f t="shared" si="155"/>
        <v>9015.1763481637772</v>
      </c>
      <c r="R455" s="37">
        <f t="shared" si="156"/>
        <v>-23335.427695310285</v>
      </c>
      <c r="S455" s="37">
        <f t="shared" si="157"/>
        <v>11060.623443714643</v>
      </c>
      <c r="V455" s="37">
        <f t="shared" si="158"/>
        <v>-9764.8967075861237</v>
      </c>
      <c r="W455" s="37">
        <f t="shared" si="159"/>
        <v>-13484.823651836223</v>
      </c>
      <c r="Y455" s="37">
        <f t="shared" si="161"/>
        <v>93014.802525993247</v>
      </c>
      <c r="Z455" s="37">
        <f t="shared" si="162"/>
        <v>-17178.823375765616</v>
      </c>
      <c r="AA455" s="37">
        <f t="shared" si="163"/>
        <v>3126.8722808049774</v>
      </c>
      <c r="AB455" s="37">
        <f t="shared" si="164"/>
        <v>996.82332919966336</v>
      </c>
      <c r="AC455" s="37">
        <f t="shared" si="165"/>
        <v>-147.91583393850755</v>
      </c>
      <c r="AD455" s="37">
        <f t="shared" si="166"/>
        <v>31.809400350049778</v>
      </c>
      <c r="AE455" s="39">
        <f t="shared" si="167"/>
        <v>-81.438908221213609</v>
      </c>
      <c r="AF455" s="39">
        <f t="shared" si="168"/>
        <v>27.52615034726723</v>
      </c>
      <c r="AG455" s="39">
        <f t="shared" si="169"/>
        <v>-12.85395880469844</v>
      </c>
      <c r="AH455" s="39">
        <f t="shared" si="170"/>
        <v>3.0912364418096026</v>
      </c>
      <c r="AI455" s="39">
        <f t="shared" si="171"/>
        <v>-53.622966912595516</v>
      </c>
      <c r="AJ455" s="39">
        <f t="shared" si="172"/>
        <v>1.1920135609729459</v>
      </c>
      <c r="AK455" s="37">
        <f t="shared" si="173"/>
        <v>77072.730009530773</v>
      </c>
      <c r="AL455" s="37">
        <f t="shared" si="174"/>
        <v>116236.97359308833</v>
      </c>
      <c r="AM455" s="37">
        <f t="shared" si="175"/>
        <v>98039.016649047611</v>
      </c>
    </row>
    <row r="456" spans="12:39">
      <c r="L456">
        <v>452</v>
      </c>
      <c r="M456" s="37">
        <f t="shared" si="160"/>
        <v>2.8399997588451926</v>
      </c>
      <c r="N456" s="37">
        <f t="shared" si="154"/>
        <v>15225.677276266757</v>
      </c>
      <c r="O456" s="37">
        <f t="shared" si="155"/>
        <v>8985.207907885082</v>
      </c>
      <c r="R456" s="37">
        <f t="shared" si="156"/>
        <v>-23342.025906613271</v>
      </c>
      <c r="S456" s="37">
        <f t="shared" si="157"/>
        <v>11039.645535519558</v>
      </c>
      <c r="V456" s="37">
        <f t="shared" si="158"/>
        <v>-9774.322723733243</v>
      </c>
      <c r="W456" s="37">
        <f t="shared" si="159"/>
        <v>-13514.792092114918</v>
      </c>
      <c r="Y456" s="37">
        <f t="shared" si="161"/>
        <v>94559.749187153415</v>
      </c>
      <c r="Z456" s="37">
        <f t="shared" si="162"/>
        <v>-16676.435536122026</v>
      </c>
      <c r="AA456" s="37">
        <f t="shared" si="163"/>
        <v>3052.9143638357236</v>
      </c>
      <c r="AB456" s="37">
        <f t="shared" si="164"/>
        <v>1012.7280293746883</v>
      </c>
      <c r="AC456" s="37">
        <f t="shared" si="165"/>
        <v>-143.71879978400779</v>
      </c>
      <c r="AD456" s="37">
        <f t="shared" si="166"/>
        <v>29.462725647529712</v>
      </c>
      <c r="AE456" s="39">
        <f t="shared" si="167"/>
        <v>-79.130623099780877</v>
      </c>
      <c r="AF456" s="39">
        <f t="shared" si="168"/>
        <v>25.658568184060439</v>
      </c>
      <c r="AG456" s="39">
        <f t="shared" si="169"/>
        <v>-12.575527826059538</v>
      </c>
      <c r="AH456" s="39">
        <f t="shared" si="170"/>
        <v>2.928343155121059</v>
      </c>
      <c r="AI456" s="39">
        <f t="shared" si="171"/>
        <v>-52.012648858167353</v>
      </c>
      <c r="AJ456" s="39">
        <f t="shared" si="172"/>
        <v>0.8758143083482145</v>
      </c>
      <c r="AK456" s="37">
        <f t="shared" si="173"/>
        <v>78381.478897016787</v>
      </c>
      <c r="AL456" s="37">
        <f t="shared" si="174"/>
        <v>117624.69275937078</v>
      </c>
      <c r="AM456" s="37">
        <f t="shared" si="175"/>
        <v>99573.862505758341</v>
      </c>
    </row>
    <row r="457" spans="12:39">
      <c r="L457">
        <v>453</v>
      </c>
      <c r="M457" s="37">
        <f t="shared" si="160"/>
        <v>2.8462829441523723</v>
      </c>
      <c r="N457" s="37">
        <f t="shared" si="154"/>
        <v>15216.439742205819</v>
      </c>
      <c r="O457" s="37">
        <f t="shared" si="155"/>
        <v>8955.1808341412652</v>
      </c>
      <c r="R457" s="37">
        <f t="shared" si="156"/>
        <v>-23348.492180455927</v>
      </c>
      <c r="S457" s="37">
        <f t="shared" si="157"/>
        <v>11018.626583898886</v>
      </c>
      <c r="V457" s="37">
        <f t="shared" si="158"/>
        <v>-9783.5602577941809</v>
      </c>
      <c r="W457" s="37">
        <f t="shared" si="159"/>
        <v>-13544.819165858735</v>
      </c>
      <c r="Y457" s="37">
        <f t="shared" si="161"/>
        <v>96068.241519098287</v>
      </c>
      <c r="Z457" s="37">
        <f t="shared" si="162"/>
        <v>-16166.38868072874</v>
      </c>
      <c r="AA457" s="37">
        <f t="shared" si="163"/>
        <v>2981.0549639437199</v>
      </c>
      <c r="AB457" s="37">
        <f t="shared" si="164"/>
        <v>1027.4593921984531</v>
      </c>
      <c r="AC457" s="37">
        <f t="shared" si="165"/>
        <v>-139.76881462077381</v>
      </c>
      <c r="AD457" s="37">
        <f t="shared" si="166"/>
        <v>27.299690847211725</v>
      </c>
      <c r="AE457" s="39">
        <f t="shared" si="167"/>
        <v>-76.951752062323635</v>
      </c>
      <c r="AF457" s="39">
        <f t="shared" si="168"/>
        <v>23.94126691508681</v>
      </c>
      <c r="AG457" s="39">
        <f t="shared" si="169"/>
        <v>-12.311773007644678</v>
      </c>
      <c r="AH457" s="39">
        <f t="shared" si="170"/>
        <v>2.7755623213601193</v>
      </c>
      <c r="AI457" s="39">
        <f t="shared" si="171"/>
        <v>-50.505289550805514</v>
      </c>
      <c r="AJ457" s="39">
        <f t="shared" si="172"/>
        <v>0.58286161076479592</v>
      </c>
      <c r="AK457" s="37">
        <f t="shared" si="173"/>
        <v>79664.768379724759</v>
      </c>
      <c r="AL457" s="37">
        <f t="shared" si="174"/>
        <v>118981.16063447481</v>
      </c>
      <c r="AM457" s="37">
        <f t="shared" si="175"/>
        <v>101074.97171069264</v>
      </c>
    </row>
    <row r="458" spans="12:39">
      <c r="L458">
        <v>454</v>
      </c>
      <c r="M458" s="37">
        <f t="shared" si="160"/>
        <v>2.8525661294595519</v>
      </c>
      <c r="N458" s="37">
        <f t="shared" si="154"/>
        <v>15207.391054913092</v>
      </c>
      <c r="O458" s="37">
        <f t="shared" si="155"/>
        <v>8925.0963123497859</v>
      </c>
      <c r="R458" s="37">
        <f t="shared" si="156"/>
        <v>-23354.826261560836</v>
      </c>
      <c r="S458" s="37">
        <f t="shared" si="157"/>
        <v>10997.56741864485</v>
      </c>
      <c r="V458" s="37">
        <f t="shared" si="158"/>
        <v>-9792.6089450869076</v>
      </c>
      <c r="W458" s="37">
        <f t="shared" si="159"/>
        <v>-13574.903687650214</v>
      </c>
      <c r="Y458" s="37">
        <f t="shared" si="161"/>
        <v>97541.297899242549</v>
      </c>
      <c r="Z458" s="37">
        <f t="shared" si="162"/>
        <v>-15649.246523273612</v>
      </c>
      <c r="AA458" s="37">
        <f t="shared" si="163"/>
        <v>2911.170556633333</v>
      </c>
      <c r="AB458" s="37">
        <f t="shared" si="164"/>
        <v>1041.109237622059</v>
      </c>
      <c r="AC458" s="37">
        <f t="shared" si="165"/>
        <v>-136.04658800288399</v>
      </c>
      <c r="AD458" s="37">
        <f t="shared" si="166"/>
        <v>25.301524626900267</v>
      </c>
      <c r="AE458" s="39">
        <f t="shared" si="167"/>
        <v>-74.893169584138491</v>
      </c>
      <c r="AF458" s="39">
        <f t="shared" si="168"/>
        <v>22.358671992637547</v>
      </c>
      <c r="AG458" s="39">
        <f t="shared" si="169"/>
        <v>-12.061626337148809</v>
      </c>
      <c r="AH458" s="39">
        <f t="shared" si="170"/>
        <v>2.6320249386588852</v>
      </c>
      <c r="AI458" s="39">
        <f t="shared" si="171"/>
        <v>-49.091792081596708</v>
      </c>
      <c r="AJ458" s="39">
        <f t="shared" si="172"/>
        <v>0.31082769560383283</v>
      </c>
      <c r="AK458" s="37">
        <f t="shared" si="173"/>
        <v>80923.05292371496</v>
      </c>
      <c r="AL458" s="37">
        <f t="shared" si="174"/>
        <v>120307.27558651697</v>
      </c>
      <c r="AM458" s="37">
        <f t="shared" si="175"/>
        <v>102543.3532507553</v>
      </c>
    </row>
    <row r="459" spans="12:39">
      <c r="L459">
        <v>455</v>
      </c>
      <c r="M459" s="37">
        <f t="shared" si="160"/>
        <v>2.8588493147667315</v>
      </c>
      <c r="N459" s="37">
        <f t="shared" si="154"/>
        <v>15198.531571615258</v>
      </c>
      <c r="O459" s="37">
        <f t="shared" si="155"/>
        <v>8894.9555301960518</v>
      </c>
      <c r="R459" s="37">
        <f t="shared" si="156"/>
        <v>-23361.027899869321</v>
      </c>
      <c r="S459" s="37">
        <f t="shared" si="157"/>
        <v>10976.468871137236</v>
      </c>
      <c r="V459" s="37">
        <f t="shared" si="158"/>
        <v>-9801.4684283847419</v>
      </c>
      <c r="W459" s="37">
        <f t="shared" si="159"/>
        <v>-13605.044469803948</v>
      </c>
      <c r="Y459" s="37">
        <f t="shared" si="161"/>
        <v>98979.877354058845</v>
      </c>
      <c r="Z459" s="37">
        <f t="shared" si="162"/>
        <v>-15125.52921388422</v>
      </c>
      <c r="AA459" s="37">
        <f t="shared" si="163"/>
        <v>2843.147262631891</v>
      </c>
      <c r="AB459" s="37">
        <f t="shared" si="164"/>
        <v>1053.7599999355091</v>
      </c>
      <c r="AC459" s="37">
        <f t="shared" si="165"/>
        <v>-132.53469547701042</v>
      </c>
      <c r="AD459" s="37">
        <f t="shared" si="166"/>
        <v>23.451747991719458</v>
      </c>
      <c r="AE459" s="39">
        <f t="shared" si="167"/>
        <v>-72.946484248346422</v>
      </c>
      <c r="AF459" s="39">
        <f t="shared" si="168"/>
        <v>20.897130581911302</v>
      </c>
      <c r="AG459" s="39">
        <f t="shared" si="169"/>
        <v>-11.824122409885355</v>
      </c>
      <c r="AH459" s="39">
        <f t="shared" si="170"/>
        <v>2.4969544400692967</v>
      </c>
      <c r="AI459" s="39">
        <f t="shared" si="171"/>
        <v>-47.76408881877866</v>
      </c>
      <c r="AJ459" s="39">
        <f t="shared" si="172"/>
        <v>5.7662969738858663E-2</v>
      </c>
      <c r="AK459" s="37">
        <f t="shared" si="173"/>
        <v>82156.774517202808</v>
      </c>
      <c r="AL459" s="37">
        <f t="shared" si="174"/>
        <v>121603.879187568</v>
      </c>
      <c r="AM459" s="37">
        <f t="shared" si="175"/>
        <v>103979.95312630535</v>
      </c>
    </row>
    <row r="460" spans="12:39">
      <c r="L460">
        <v>456</v>
      </c>
      <c r="M460" s="37">
        <f t="shared" si="160"/>
        <v>2.8651325000739112</v>
      </c>
      <c r="N460" s="37">
        <f t="shared" si="154"/>
        <v>15189.861642069543</v>
      </c>
      <c r="O460" s="37">
        <f t="shared" si="155"/>
        <v>8864.7596775865313</v>
      </c>
      <c r="R460" s="37">
        <f t="shared" si="156"/>
        <v>-23367.096850551319</v>
      </c>
      <c r="S460" s="37">
        <f t="shared" si="157"/>
        <v>10955.331774310573</v>
      </c>
      <c r="V460" s="37">
        <f t="shared" si="158"/>
        <v>-9810.1383579304566</v>
      </c>
      <c r="W460" s="37">
        <f t="shared" si="159"/>
        <v>-13635.240322413469</v>
      </c>
      <c r="Y460" s="37">
        <f t="shared" si="161"/>
        <v>100384.88414844016</v>
      </c>
      <c r="Z460" s="37">
        <f t="shared" si="162"/>
        <v>-14595.7177454175</v>
      </c>
      <c r="AA460" s="37">
        <f t="shared" si="163"/>
        <v>2776.8799148933858</v>
      </c>
      <c r="AB460" s="37">
        <f t="shared" si="164"/>
        <v>1065.4858739313688</v>
      </c>
      <c r="AC460" s="37">
        <f t="shared" si="165"/>
        <v>-129.21737024422615</v>
      </c>
      <c r="AD460" s="37">
        <f t="shared" si="166"/>
        <v>21.73585081536163</v>
      </c>
      <c r="AE460" s="39">
        <f t="shared" si="167"/>
        <v>-71.103982421781097</v>
      </c>
      <c r="AF460" s="39">
        <f t="shared" si="168"/>
        <v>19.544638806290909</v>
      </c>
      <c r="AG460" s="39">
        <f t="shared" si="169"/>
        <v>-11.598386382511901</v>
      </c>
      <c r="AH460" s="39">
        <f t="shared" si="170"/>
        <v>2.3696549594615606</v>
      </c>
      <c r="AI460" s="39">
        <f t="shared" si="171"/>
        <v>-46.515001439933137</v>
      </c>
      <c r="AJ460" s="39">
        <f t="shared" si="172"/>
        <v>-0.17844295039083888</v>
      </c>
      <c r="AK460" s="37">
        <f t="shared" si="173"/>
        <v>83366.36217470032</v>
      </c>
      <c r="AL460" s="37">
        <f t="shared" si="174"/>
        <v>122871.76104722192</v>
      </c>
      <c r="AM460" s="37">
        <f t="shared" si="175"/>
        <v>105385.65960851374</v>
      </c>
    </row>
    <row r="461" spans="12:39">
      <c r="L461">
        <v>457</v>
      </c>
      <c r="M461" s="37">
        <f t="shared" si="160"/>
        <v>2.8714156853810908</v>
      </c>
      <c r="N461" s="37">
        <f t="shared" si="154"/>
        <v>15181.381608549924</v>
      </c>
      <c r="O461" s="37">
        <f t="shared" si="155"/>
        <v>8834.5099466017818</v>
      </c>
      <c r="R461" s="37">
        <f t="shared" si="156"/>
        <v>-23373.032874015051</v>
      </c>
      <c r="S461" s="37">
        <f t="shared" si="157"/>
        <v>10934.156962621248</v>
      </c>
      <c r="V461" s="37">
        <f t="shared" si="158"/>
        <v>-9818.6183914500762</v>
      </c>
      <c r="W461" s="37">
        <f t="shared" si="159"/>
        <v>-13665.490053398218</v>
      </c>
      <c r="Y461" s="37">
        <f t="shared" si="161"/>
        <v>101757.17193460633</v>
      </c>
      <c r="Z461" s="37">
        <f t="shared" si="162"/>
        <v>-14060.257827099897</v>
      </c>
      <c r="AA461" s="37">
        <f t="shared" si="163"/>
        <v>2712.2712297712728</v>
      </c>
      <c r="AB461" s="37">
        <f t="shared" si="164"/>
        <v>1076.3537993390496</v>
      </c>
      <c r="AC461" s="37">
        <f t="shared" si="165"/>
        <v>-126.08032045132099</v>
      </c>
      <c r="AD461" s="37">
        <f t="shared" si="166"/>
        <v>20.141019619876623</v>
      </c>
      <c r="AE461" s="39">
        <f t="shared" si="167"/>
        <v>-69.358573836251836</v>
      </c>
      <c r="AF461" s="39">
        <f t="shared" si="168"/>
        <v>18.290612297910997</v>
      </c>
      <c r="AG461" s="39">
        <f t="shared" si="169"/>
        <v>-11.383623591591219</v>
      </c>
      <c r="AH461" s="39">
        <f t="shared" si="170"/>
        <v>2.2495013169938343</v>
      </c>
      <c r="AI461" s="39">
        <f t="shared" si="171"/>
        <v>-45.338123023477934</v>
      </c>
      <c r="AJ461" s="39">
        <f t="shared" si="172"/>
        <v>-0.3990939950282083</v>
      </c>
      <c r="AK461" s="37">
        <f t="shared" si="173"/>
        <v>84552.231669636036</v>
      </c>
      <c r="AL461" s="37">
        <f t="shared" si="174"/>
        <v>124111.66312728151</v>
      </c>
      <c r="AM461" s="37">
        <f t="shared" si="175"/>
        <v>106761.30794827602</v>
      </c>
    </row>
    <row r="462" spans="12:39">
      <c r="L462">
        <v>458</v>
      </c>
      <c r="M462" s="37">
        <f t="shared" si="160"/>
        <v>2.8776988706882705</v>
      </c>
      <c r="N462" s="37">
        <f t="shared" si="154"/>
        <v>15173.091805833605</v>
      </c>
      <c r="O462" s="37">
        <f t="shared" si="155"/>
        <v>8804.2075314493886</v>
      </c>
      <c r="R462" s="37">
        <f t="shared" si="156"/>
        <v>-23378.835735916477</v>
      </c>
      <c r="S462" s="37">
        <f t="shared" si="157"/>
        <v>10912.945272014573</v>
      </c>
      <c r="V462" s="37">
        <f t="shared" si="158"/>
        <v>-9826.9081941663953</v>
      </c>
      <c r="W462" s="37">
        <f t="shared" si="159"/>
        <v>-13695.792468550611</v>
      </c>
      <c r="Y462" s="37">
        <f t="shared" si="161"/>
        <v>103097.54750943556</v>
      </c>
      <c r="Z462" s="37">
        <f t="shared" si="162"/>
        <v>-13519.563299977888</v>
      </c>
      <c r="AA462" s="37">
        <f t="shared" si="163"/>
        <v>2649.2310695456122</v>
      </c>
      <c r="AB462" s="37">
        <f t="shared" si="164"/>
        <v>1086.424309148988</v>
      </c>
      <c r="AC462" s="37">
        <f t="shared" si="165"/>
        <v>-123.11056880268862</v>
      </c>
      <c r="AD462" s="37">
        <f t="shared" si="166"/>
        <v>18.655907668106124</v>
      </c>
      <c r="AE462" s="39">
        <f t="shared" si="167"/>
        <v>-67.703739955563506</v>
      </c>
      <c r="AF462" s="39">
        <f t="shared" si="168"/>
        <v>17.12569251793645</v>
      </c>
      <c r="AG462" s="39">
        <f t="shared" si="169"/>
        <v>-11.179110573924996</v>
      </c>
      <c r="AH462" s="39">
        <f t="shared" si="170"/>
        <v>2.1359304397248646</v>
      </c>
      <c r="AI462" s="39">
        <f t="shared" si="171"/>
        <v>-44.227718273200111</v>
      </c>
      <c r="AJ462" s="39">
        <f t="shared" si="172"/>
        <v>-0.60571528955519327</v>
      </c>
      <c r="AK462" s="37">
        <f t="shared" si="173"/>
        <v>85714.785442213397</v>
      </c>
      <c r="AL462" s="37">
        <f t="shared" si="174"/>
        <v>125324.28360321639</v>
      </c>
      <c r="AM462" s="37">
        <f t="shared" si="175"/>
        <v>108107.68460372025</v>
      </c>
    </row>
    <row r="463" spans="12:39">
      <c r="L463">
        <v>459</v>
      </c>
      <c r="M463" s="37">
        <f t="shared" si="160"/>
        <v>2.8839820559954501</v>
      </c>
      <c r="N463" s="37">
        <f t="shared" si="154"/>
        <v>15164.992561187799</v>
      </c>
      <c r="O463" s="37">
        <f t="shared" si="155"/>
        <v>8773.8536284168149</v>
      </c>
      <c r="R463" s="37">
        <f t="shared" si="156"/>
        <v>-23384.505207168542</v>
      </c>
      <c r="S463" s="37">
        <f t="shared" si="157"/>
        <v>10891.697539891769</v>
      </c>
      <c r="V463" s="37">
        <f t="shared" si="158"/>
        <v>-9835.0074388122011</v>
      </c>
      <c r="W463" s="37">
        <f t="shared" si="159"/>
        <v>-13726.146371583185</v>
      </c>
      <c r="Y463" s="37">
        <f t="shared" si="161"/>
        <v>104406.77422310803</v>
      </c>
      <c r="Z463" s="37">
        <f t="shared" si="162"/>
        <v>-12974.019156944882</v>
      </c>
      <c r="AA463" s="37">
        <f t="shared" si="163"/>
        <v>2587.675785144268</v>
      </c>
      <c r="AB463" s="37">
        <f t="shared" si="164"/>
        <v>1095.752262983041</v>
      </c>
      <c r="AC463" s="37">
        <f t="shared" si="165"/>
        <v>-120.29631160134224</v>
      </c>
      <c r="AD463" s="37">
        <f t="shared" si="166"/>
        <v>17.270440124683592</v>
      </c>
      <c r="AE463" s="39">
        <f t="shared" si="167"/>
        <v>-66.133485605086506</v>
      </c>
      <c r="AF463" s="39">
        <f t="shared" si="168"/>
        <v>16.041582724332926</v>
      </c>
      <c r="AG463" s="39">
        <f t="shared" si="169"/>
        <v>-10.984187272141819</v>
      </c>
      <c r="AH463" s="39">
        <f t="shared" si="170"/>
        <v>2.0284339851228386</v>
      </c>
      <c r="AI463" s="39">
        <f t="shared" si="171"/>
        <v>-43.17863872411391</v>
      </c>
      <c r="AJ463" s="39">
        <f t="shared" si="172"/>
        <v>-0.79957658477217064</v>
      </c>
      <c r="AK463" s="37">
        <f t="shared" si="173"/>
        <v>86854.412640865179</v>
      </c>
      <c r="AL463" s="37">
        <f t="shared" si="174"/>
        <v>126510.28032860826</v>
      </c>
      <c r="AM463" s="37">
        <f t="shared" si="175"/>
        <v>109425.53104409666</v>
      </c>
    </row>
    <row r="464" spans="12:39">
      <c r="L464">
        <v>460</v>
      </c>
      <c r="M464" s="37">
        <f t="shared" si="160"/>
        <v>2.8902652413026297</v>
      </c>
      <c r="N464" s="37">
        <f t="shared" si="154"/>
        <v>15157.084194356819</v>
      </c>
      <c r="O464" s="37">
        <f t="shared" si="155"/>
        <v>8743.4494358241773</v>
      </c>
      <c r="R464" s="37">
        <f t="shared" si="156"/>
        <v>-23390.041063950226</v>
      </c>
      <c r="S464" s="37">
        <f t="shared" si="157"/>
        <v>10870.414605076923</v>
      </c>
      <c r="V464" s="37">
        <f t="shared" si="158"/>
        <v>-9842.9158056431806</v>
      </c>
      <c r="W464" s="37">
        <f t="shared" si="159"/>
        <v>-13756.550564175823</v>
      </c>
      <c r="Y464" s="37">
        <f t="shared" si="161"/>
        <v>105685.57507673001</v>
      </c>
      <c r="Z464" s="37">
        <f t="shared" si="162"/>
        <v>-12423.984220437775</v>
      </c>
      <c r="AA464" s="37">
        <f t="shared" si="163"/>
        <v>2527.5276293435968</v>
      </c>
      <c r="AB464" s="37">
        <f t="shared" si="164"/>
        <v>1104.3874830453829</v>
      </c>
      <c r="AC464" s="37">
        <f t="shared" si="165"/>
        <v>-117.6267947023388</v>
      </c>
      <c r="AD464" s="37">
        <f t="shared" si="166"/>
        <v>15.975648385338099</v>
      </c>
      <c r="AE464" s="39">
        <f t="shared" si="167"/>
        <v>-64.64229407033578</v>
      </c>
      <c r="AF464" s="39">
        <f t="shared" si="168"/>
        <v>15.030908596656401</v>
      </c>
      <c r="AG464" s="39">
        <f t="shared" si="169"/>
        <v>-10.798250246492833</v>
      </c>
      <c r="AH464" s="39">
        <f t="shared" si="170"/>
        <v>1.9265519769302821</v>
      </c>
      <c r="AI464" s="39">
        <f t="shared" si="171"/>
        <v>-42.186250385510199</v>
      </c>
      <c r="AJ464" s="39">
        <f t="shared" si="172"/>
        <v>-0.98181218824858474</v>
      </c>
      <c r="AK464" s="37">
        <f t="shared" si="173"/>
        <v>87971.489264682721</v>
      </c>
      <c r="AL464" s="37">
        <f t="shared" si="174"/>
        <v>127670.2739508566</v>
      </c>
      <c r="AM464" s="37">
        <f t="shared" si="175"/>
        <v>110715.54717998275</v>
      </c>
    </row>
    <row r="465" spans="12:39">
      <c r="L465">
        <v>461</v>
      </c>
      <c r="M465" s="37">
        <f t="shared" si="160"/>
        <v>2.8965484266098094</v>
      </c>
      <c r="N465" s="37">
        <f t="shared" si="154"/>
        <v>15149.367017549446</v>
      </c>
      <c r="O465" s="37">
        <f t="shared" si="155"/>
        <v>8712.9961539769392</v>
      </c>
      <c r="R465" s="37">
        <f t="shared" si="156"/>
        <v>-23395.443087715386</v>
      </c>
      <c r="S465" s="37">
        <f t="shared" si="157"/>
        <v>10849.097307783857</v>
      </c>
      <c r="V465" s="37">
        <f t="shared" si="158"/>
        <v>-9850.6329824505538</v>
      </c>
      <c r="W465" s="37">
        <f t="shared" si="159"/>
        <v>-13787.003846023061</v>
      </c>
      <c r="Y465" s="37">
        <f t="shared" si="161"/>
        <v>106934.635542064</v>
      </c>
      <c r="Z465" s="37">
        <f t="shared" si="162"/>
        <v>-11869.793522866916</v>
      </c>
      <c r="AA465" s="37">
        <f t="shared" si="163"/>
        <v>2468.7142319924274</v>
      </c>
      <c r="AB465" s="37">
        <f t="shared" si="164"/>
        <v>1112.3753072380518</v>
      </c>
      <c r="AC465" s="37">
        <f t="shared" si="165"/>
        <v>-115.09220419371647</v>
      </c>
      <c r="AD465" s="37">
        <f t="shared" si="166"/>
        <v>14.763528751579191</v>
      </c>
      <c r="AE465" s="39">
        <f t="shared" si="167"/>
        <v>-63.225085692989843</v>
      </c>
      <c r="AF465" s="39">
        <f t="shared" si="168"/>
        <v>14.08709943629108</v>
      </c>
      <c r="AG465" s="39">
        <f t="shared" si="169"/>
        <v>-10.620746744128951</v>
      </c>
      <c r="AH465" s="39">
        <f t="shared" si="170"/>
        <v>1.8298672963518274</v>
      </c>
      <c r="AI465" s="39">
        <f t="shared" si="171"/>
        <v>-41.246371756597689</v>
      </c>
      <c r="AJ465" s="39">
        <f t="shared" si="172"/>
        <v>-1.1534379810637161</v>
      </c>
      <c r="AK465" s="37">
        <f t="shared" si="173"/>
        <v>89066.378381238756</v>
      </c>
      <c r="AL465" s="37">
        <f t="shared" si="174"/>
        <v>128804.85071972037</v>
      </c>
      <c r="AM465" s="37">
        <f t="shared" si="175"/>
        <v>111978.39446305785</v>
      </c>
    </row>
    <row r="466" spans="12:39">
      <c r="L466">
        <v>462</v>
      </c>
      <c r="M466" s="37">
        <f t="shared" si="160"/>
        <v>2.902831611916989</v>
      </c>
      <c r="N466" s="37">
        <f t="shared" si="154"/>
        <v>15141.841335426607</v>
      </c>
      <c r="O466" s="37">
        <f t="shared" si="155"/>
        <v>8682.4949851185265</v>
      </c>
      <c r="R466" s="37">
        <f t="shared" si="156"/>
        <v>-23400.711065201376</v>
      </c>
      <c r="S466" s="37">
        <f t="shared" si="157"/>
        <v>10827.746489582969</v>
      </c>
      <c r="V466" s="37">
        <f t="shared" si="158"/>
        <v>-9858.1586645733933</v>
      </c>
      <c r="W466" s="37">
        <f t="shared" si="159"/>
        <v>-13817.505014881473</v>
      </c>
      <c r="Y466" s="37">
        <f t="shared" si="161"/>
        <v>108154.60613253601</v>
      </c>
      <c r="Z466" s="37">
        <f t="shared" si="162"/>
        <v>-11311.760428153942</v>
      </c>
      <c r="AA466" s="37">
        <f t="shared" si="163"/>
        <v>2411.1681298955691</v>
      </c>
      <c r="AB466" s="37">
        <f t="shared" si="164"/>
        <v>1119.7570716138414</v>
      </c>
      <c r="AC466" s="37">
        <f t="shared" si="165"/>
        <v>-112.6835699112664</v>
      </c>
      <c r="AD466" s="37">
        <f t="shared" si="166"/>
        <v>13.626921494533478</v>
      </c>
      <c r="AE466" s="39">
        <f t="shared" si="167"/>
        <v>-61.877179878708588</v>
      </c>
      <c r="AF466" s="39">
        <f t="shared" si="168"/>
        <v>13.204286592784616</v>
      </c>
      <c r="AG466" s="39">
        <f t="shared" si="169"/>
        <v>-10.451169501790362</v>
      </c>
      <c r="AH466" s="39">
        <f t="shared" si="170"/>
        <v>1.7380008985852409</v>
      </c>
      <c r="AI466" s="39">
        <f t="shared" si="171"/>
        <v>-40.355220530767461</v>
      </c>
      <c r="AJ466" s="39">
        <f t="shared" si="172"/>
        <v>-1.3153659968363784</v>
      </c>
      <c r="AK466" s="37">
        <f t="shared" si="173"/>
        <v>90139.430399735793</v>
      </c>
      <c r="AL466" s="37">
        <f t="shared" si="174"/>
        <v>129914.56502460554</v>
      </c>
      <c r="AM466" s="37">
        <f t="shared" si="175"/>
        <v>113214.69869300844</v>
      </c>
    </row>
    <row r="467" spans="12:39">
      <c r="L467">
        <v>463</v>
      </c>
      <c r="M467" s="37">
        <f t="shared" si="160"/>
        <v>2.9091147972241687</v>
      </c>
      <c r="N467" s="37">
        <f t="shared" si="154"/>
        <v>15134.507445089344</v>
      </c>
      <c r="O467" s="37">
        <f t="shared" si="155"/>
        <v>8651.9471333828551</v>
      </c>
      <c r="R467" s="37">
        <f t="shared" si="156"/>
        <v>-23405.844788437458</v>
      </c>
      <c r="S467" s="37">
        <f t="shared" si="157"/>
        <v>10806.362993367999</v>
      </c>
      <c r="V467" s="37">
        <f t="shared" si="158"/>
        <v>-9865.4925549106556</v>
      </c>
      <c r="W467" s="37">
        <f t="shared" si="159"/>
        <v>-13848.052866617145</v>
      </c>
      <c r="Y467" s="37">
        <f t="shared" si="161"/>
        <v>109346.10475124489</v>
      </c>
      <c r="Z467" s="37">
        <f t="shared" si="162"/>
        <v>-10750.178527160206</v>
      </c>
      <c r="AA467" s="37">
        <f t="shared" si="163"/>
        <v>2354.826344939936</v>
      </c>
      <c r="AB467" s="37">
        <f t="shared" si="164"/>
        <v>1126.5705323611082</v>
      </c>
      <c r="AC467" s="37">
        <f t="shared" si="165"/>
        <v>-110.39268014736655</v>
      </c>
      <c r="AD467" s="37">
        <f t="shared" si="166"/>
        <v>12.559407051330581</v>
      </c>
      <c r="AE467" s="39">
        <f t="shared" si="167"/>
        <v>-60.594260361033712</v>
      </c>
      <c r="AF467" s="39">
        <f t="shared" si="168"/>
        <v>12.37721635866486</v>
      </c>
      <c r="AG467" s="39">
        <f t="shared" si="169"/>
        <v>-10.289052177985933</v>
      </c>
      <c r="AH467" s="39">
        <f t="shared" si="170"/>
        <v>1.6506076466629727</v>
      </c>
      <c r="AI467" s="39">
        <f t="shared" si="171"/>
        <v>-39.509367608346899</v>
      </c>
      <c r="AJ467" s="39">
        <f t="shared" si="172"/>
        <v>-1.4684169539972518</v>
      </c>
      <c r="AK467" s="37">
        <f t="shared" si="173"/>
        <v>91190.983383740531</v>
      </c>
      <c r="AL467" s="37">
        <f t="shared" si="174"/>
        <v>130999.94169170091</v>
      </c>
      <c r="AM467" s="37">
        <f t="shared" si="175"/>
        <v>114425.05256426007</v>
      </c>
    </row>
    <row r="468" spans="12:39">
      <c r="L468">
        <v>464</v>
      </c>
      <c r="M468" s="37">
        <f t="shared" si="160"/>
        <v>2.9153979825313483</v>
      </c>
      <c r="N468" s="37">
        <f t="shared" si="154"/>
        <v>15127.365636067092</v>
      </c>
      <c r="O468" s="37">
        <f t="shared" si="155"/>
        <v>8621.3538047468082</v>
      </c>
      <c r="R468" s="37">
        <f t="shared" si="156"/>
        <v>-23410.844054753037</v>
      </c>
      <c r="S468" s="37">
        <f t="shared" si="157"/>
        <v>10784.947663322766</v>
      </c>
      <c r="V468" s="37">
        <f t="shared" si="158"/>
        <v>-9872.6343639329079</v>
      </c>
      <c r="W468" s="37">
        <f t="shared" si="159"/>
        <v>-13878.646195253192</v>
      </c>
      <c r="Y468" s="37">
        <f t="shared" si="161"/>
        <v>110509.71883869644</v>
      </c>
      <c r="Z468" s="37">
        <f t="shared" si="162"/>
        <v>-10185.323335098235</v>
      </c>
      <c r="AA468" s="37">
        <f t="shared" si="163"/>
        <v>2299.6300048662529</v>
      </c>
      <c r="AB468" s="37">
        <f t="shared" si="164"/>
        <v>1132.8502358867736</v>
      </c>
      <c r="AC468" s="37">
        <f t="shared" si="165"/>
        <v>-108.21200613439785</v>
      </c>
      <c r="AD468" s="37">
        <f t="shared" si="166"/>
        <v>11.555216664151658</v>
      </c>
      <c r="AE468" s="39">
        <f t="shared" si="167"/>
        <v>-59.372343525664569</v>
      </c>
      <c r="AF468" s="39">
        <f t="shared" si="168"/>
        <v>11.601175054860295</v>
      </c>
      <c r="AG468" s="39">
        <f t="shared" si="169"/>
        <v>-10.133965327269642</v>
      </c>
      <c r="AH468" s="39">
        <f t="shared" si="170"/>
        <v>1.5673726724554138</v>
      </c>
      <c r="AI468" s="39">
        <f t="shared" si="171"/>
        <v>-38.705697281463635</v>
      </c>
      <c r="AJ468" s="39">
        <f t="shared" si="172"/>
        <v>-1.6133310631640503</v>
      </c>
      <c r="AK468" s="37">
        <f t="shared" si="173"/>
        <v>92221.363391173363</v>
      </c>
      <c r="AL468" s="37">
        <f t="shared" si="174"/>
        <v>132061.4780679743</v>
      </c>
      <c r="AM468" s="37">
        <f t="shared" si="175"/>
        <v>115610.01798106535</v>
      </c>
    </row>
    <row r="469" spans="12:39">
      <c r="L469">
        <v>465</v>
      </c>
      <c r="M469" s="37">
        <f t="shared" si="160"/>
        <v>2.9216811678385279</v>
      </c>
      <c r="N469" s="37">
        <f t="shared" si="154"/>
        <v>15120.416190306241</v>
      </c>
      <c r="O469" s="37">
        <f t="shared" si="155"/>
        <v>8590.7162069826136</v>
      </c>
      <c r="R469" s="37">
        <f t="shared" si="156"/>
        <v>-23415.708666785631</v>
      </c>
      <c r="S469" s="37">
        <f t="shared" si="157"/>
        <v>10763.501344887829</v>
      </c>
      <c r="V469" s="37">
        <f t="shared" si="158"/>
        <v>-9879.5838096937587</v>
      </c>
      <c r="W469" s="37">
        <f t="shared" si="159"/>
        <v>-13909.283793017386</v>
      </c>
      <c r="Y469" s="37">
        <f t="shared" si="161"/>
        <v>111646.00734036276</v>
      </c>
      <c r="Z469" s="37">
        <f t="shared" si="162"/>
        <v>-9617.453815071829</v>
      </c>
      <c r="AA469" s="37">
        <f t="shared" si="163"/>
        <v>2245.5240017990541</v>
      </c>
      <c r="AB469" s="37">
        <f t="shared" si="164"/>
        <v>1138.6278442188495</v>
      </c>
      <c r="AC469" s="37">
        <f t="shared" si="165"/>
        <v>-106.13463507394547</v>
      </c>
      <c r="AD469" s="37">
        <f t="shared" si="166"/>
        <v>10.609155232697686</v>
      </c>
      <c r="AE469" s="39">
        <f t="shared" si="167"/>
        <v>-58.207749579845732</v>
      </c>
      <c r="AF469" s="39">
        <f t="shared" si="168"/>
        <v>10.871924419051643</v>
      </c>
      <c r="AG469" s="39">
        <f t="shared" si="169"/>
        <v>-9.9855128428551811</v>
      </c>
      <c r="AH469" s="39">
        <f t="shared" si="170"/>
        <v>1.4880081893259061</v>
      </c>
      <c r="AI469" s="39">
        <f t="shared" si="171"/>
        <v>-37.941372651244556</v>
      </c>
      <c r="AJ469" s="39">
        <f t="shared" si="172"/>
        <v>-1.7507773756798639</v>
      </c>
      <c r="AK469" s="37">
        <f t="shared" si="173"/>
        <v>93230.8848319104</v>
      </c>
      <c r="AL469" s="37">
        <f t="shared" si="174"/>
        <v>133099.64591555201</v>
      </c>
      <c r="AM469" s="37">
        <f t="shared" si="175"/>
        <v>116770.12816590058</v>
      </c>
    </row>
    <row r="470" spans="12:39">
      <c r="L470">
        <v>466</v>
      </c>
      <c r="M470" s="37">
        <f t="shared" si="160"/>
        <v>2.9279643531457076</v>
      </c>
      <c r="N470" s="37">
        <f t="shared" si="154"/>
        <v>15113.65938215901</v>
      </c>
      <c r="O470" s="37">
        <f t="shared" si="155"/>
        <v>8560.0355496101747</v>
      </c>
      <c r="R470" s="37">
        <f t="shared" si="156"/>
        <v>-23420.438432488692</v>
      </c>
      <c r="S470" s="37">
        <f t="shared" si="157"/>
        <v>10742.024884727121</v>
      </c>
      <c r="V470" s="37">
        <f t="shared" si="158"/>
        <v>-9886.3406178409896</v>
      </c>
      <c r="W470" s="37">
        <f t="shared" si="159"/>
        <v>-13939.964450389825</v>
      </c>
      <c r="Y470" s="37">
        <f t="shared" si="161"/>
        <v>112755.50251187805</v>
      </c>
      <c r="Z470" s="37">
        <f t="shared" si="162"/>
        <v>-9046.8137485583175</v>
      </c>
      <c r="AA470" s="37">
        <f t="shared" si="163"/>
        <v>2192.4566842620811</v>
      </c>
      <c r="AB470" s="37">
        <f t="shared" si="164"/>
        <v>1143.9324218351983</v>
      </c>
      <c r="AC470" s="37">
        <f t="shared" si="165"/>
        <v>-104.15421064751052</v>
      </c>
      <c r="AD470" s="37">
        <f t="shared" si="166"/>
        <v>9.7165345265095606</v>
      </c>
      <c r="AE470" s="39">
        <f t="shared" si="167"/>
        <v>-57.097076345574187</v>
      </c>
      <c r="AF470" s="39">
        <f t="shared" si="168"/>
        <v>10.185645727663921</v>
      </c>
      <c r="AG470" s="39">
        <f t="shared" si="169"/>
        <v>-9.8433288050798282</v>
      </c>
      <c r="AH470" s="39">
        <f t="shared" si="170"/>
        <v>1.412250692956398</v>
      </c>
      <c r="AI470" s="39">
        <f t="shared" si="171"/>
        <v>-37.213805496856516</v>
      </c>
      <c r="AJ470" s="39">
        <f t="shared" si="172"/>
        <v>-1.881361894110759</v>
      </c>
      <c r="AK470" s="37">
        <f t="shared" si="173"/>
        <v>94219.850835482081</v>
      </c>
      <c r="AL470" s="37">
        <f t="shared" si="174"/>
        <v>134114.89313701715</v>
      </c>
      <c r="AM470" s="37">
        <f t="shared" si="175"/>
        <v>117905.8895830453</v>
      </c>
    </row>
    <row r="471" spans="12:39">
      <c r="L471">
        <v>467</v>
      </c>
      <c r="M471" s="37">
        <f t="shared" si="160"/>
        <v>2.9342475384528872</v>
      </c>
      <c r="N471" s="37">
        <f t="shared" si="154"/>
        <v>15107.095478372619</v>
      </c>
      <c r="O471" s="37">
        <f t="shared" si="155"/>
        <v>8529.3130438493063</v>
      </c>
      <c r="R471" s="37">
        <f t="shared" si="156"/>
        <v>-23425.033165139168</v>
      </c>
      <c r="S471" s="37">
        <f t="shared" si="157"/>
        <v>10720.519130694514</v>
      </c>
      <c r="V471" s="37">
        <f t="shared" si="158"/>
        <v>-9892.9045216273807</v>
      </c>
      <c r="W471" s="37">
        <f t="shared" si="159"/>
        <v>-13970.686956150694</v>
      </c>
      <c r="Y471" s="37">
        <f t="shared" si="161"/>
        <v>113838.71157767814</v>
      </c>
      <c r="Z471" s="37">
        <f t="shared" si="162"/>
        <v>-8473.632970824905</v>
      </c>
      <c r="AA471" s="37">
        <f t="shared" si="163"/>
        <v>2140.3795789383257</v>
      </c>
      <c r="AB471" s="37">
        <f t="shared" si="164"/>
        <v>1148.790689098453</v>
      </c>
      <c r="AC471" s="37">
        <f t="shared" si="165"/>
        <v>-102.26488008638898</v>
      </c>
      <c r="AD471" s="37">
        <f t="shared" si="166"/>
        <v>8.8731152110000924</v>
      </c>
      <c r="AE471" s="39">
        <f t="shared" si="167"/>
        <v>-56.037175458207344</v>
      </c>
      <c r="AF471" s="39">
        <f t="shared" si="168"/>
        <v>9.5388913428351767</v>
      </c>
      <c r="AG471" s="39">
        <f t="shared" si="169"/>
        <v>-9.707074682608873</v>
      </c>
      <c r="AH471" s="39">
        <f t="shared" si="170"/>
        <v>1.3398584967909319</v>
      </c>
      <c r="AI471" s="39">
        <f t="shared" si="171"/>
        <v>-36.520629945572757</v>
      </c>
      <c r="AJ471" s="39">
        <f t="shared" si="172"/>
        <v>-2.0056346286260158</v>
      </c>
      <c r="AK471" s="37">
        <f t="shared" si="173"/>
        <v>95188.553623034371</v>
      </c>
      <c r="AL471" s="37">
        <f t="shared" si="174"/>
        <v>135107.6453496014</v>
      </c>
      <c r="AM471" s="37">
        <f t="shared" si="175"/>
        <v>119017.78369656393</v>
      </c>
    </row>
    <row r="472" spans="12:39">
      <c r="L472">
        <v>468</v>
      </c>
      <c r="M472" s="37">
        <f t="shared" si="160"/>
        <v>2.9405307237600669</v>
      </c>
      <c r="N472" s="37">
        <f t="shared" si="154"/>
        <v>15100.724738078745</v>
      </c>
      <c r="O472" s="37">
        <f t="shared" si="155"/>
        <v>8498.5499025719346</v>
      </c>
      <c r="R472" s="37">
        <f t="shared" si="156"/>
        <v>-23429.492683344877</v>
      </c>
      <c r="S472" s="37">
        <f t="shared" si="157"/>
        <v>10698.984931800354</v>
      </c>
      <c r="V472" s="37">
        <f t="shared" si="158"/>
        <v>-9899.2752619212552</v>
      </c>
      <c r="W472" s="37">
        <f t="shared" si="159"/>
        <v>-14001.450097428065</v>
      </c>
      <c r="Y472" s="37">
        <f t="shared" si="161"/>
        <v>114896.11825713651</v>
      </c>
      <c r="Z472" s="37">
        <f t="shared" si="162"/>
        <v>-7898.1284868743041</v>
      </c>
      <c r="AA472" s="37">
        <f t="shared" si="163"/>
        <v>2089.2471388951312</v>
      </c>
      <c r="AB472" s="37">
        <f t="shared" si="164"/>
        <v>1153.2272467039529</v>
      </c>
      <c r="AC472" s="37">
        <f t="shared" si="165"/>
        <v>-100.46124700060608</v>
      </c>
      <c r="AD472" s="37">
        <f t="shared" si="166"/>
        <v>8.0750563934469888</v>
      </c>
      <c r="AE472" s="39">
        <f t="shared" si="167"/>
        <v>-55.025130760455482</v>
      </c>
      <c r="AF472" s="39">
        <f t="shared" si="168"/>
        <v>8.928542589705291</v>
      </c>
      <c r="AG472" s="39">
        <f t="shared" si="169"/>
        <v>-9.5764368410824705</v>
      </c>
      <c r="AH472" s="39">
        <f t="shared" si="170"/>
        <v>1.2706095567658264</v>
      </c>
      <c r="AI472" s="39">
        <f t="shared" si="171"/>
        <v>-35.859679399068135</v>
      </c>
      <c r="AJ472" s="39">
        <f t="shared" si="172"/>
        <v>-2.1240957530241285</v>
      </c>
      <c r="AK472" s="37">
        <f t="shared" si="173"/>
        <v>96137.274879053686</v>
      </c>
      <c r="AL472" s="37">
        <f t="shared" si="174"/>
        <v>136078.30732404051</v>
      </c>
      <c r="AM472" s="37">
        <f t="shared" si="175"/>
        <v>120106.26857961332</v>
      </c>
    </row>
    <row r="473" spans="12:39">
      <c r="L473">
        <v>469</v>
      </c>
      <c r="M473" s="37">
        <f t="shared" si="160"/>
        <v>2.9468139090672465</v>
      </c>
      <c r="N473" s="37">
        <f t="shared" si="154"/>
        <v>15094.547412783309</v>
      </c>
      <c r="O473" s="37">
        <f t="shared" si="155"/>
        <v>8467.7473402542018</v>
      </c>
      <c r="R473" s="37">
        <f t="shared" si="156"/>
        <v>-23433.816811051682</v>
      </c>
      <c r="S473" s="37">
        <f t="shared" si="157"/>
        <v>10677.423138177941</v>
      </c>
      <c r="V473" s="37">
        <f t="shared" si="158"/>
        <v>-9905.4525872166905</v>
      </c>
      <c r="W473" s="37">
        <f t="shared" si="159"/>
        <v>-14032.252659745798</v>
      </c>
      <c r="Y473" s="37">
        <f t="shared" si="161"/>
        <v>115928.18417070899</v>
      </c>
      <c r="Z473" s="37">
        <f t="shared" si="162"/>
        <v>-7320.5054814731466</v>
      </c>
      <c r="AA473" s="37">
        <f t="shared" si="163"/>
        <v>2039.0165153948283</v>
      </c>
      <c r="AB473" s="37">
        <f t="shared" si="164"/>
        <v>1157.2647749006765</v>
      </c>
      <c r="AC473" s="37">
        <f t="shared" si="165"/>
        <v>-98.738329272139879</v>
      </c>
      <c r="AD473" s="37">
        <f t="shared" si="166"/>
        <v>7.3188716030849532</v>
      </c>
      <c r="AE473" s="39">
        <f t="shared" si="167"/>
        <v>-54.058238693479161</v>
      </c>
      <c r="AF473" s="39">
        <f t="shared" si="168"/>
        <v>8.3517730456543298</v>
      </c>
      <c r="AG473" s="39">
        <f t="shared" si="169"/>
        <v>-9.4511243204548858</v>
      </c>
      <c r="AH473" s="39">
        <f t="shared" si="170"/>
        <v>1.2042995468323059</v>
      </c>
      <c r="AI473" s="39">
        <f t="shared" si="171"/>
        <v>-35.228966258205823</v>
      </c>
      <c r="AJ473" s="39">
        <f t="shared" si="172"/>
        <v>-2.2372009894016829</v>
      </c>
      <c r="AK473" s="37">
        <f t="shared" si="173"/>
        <v>97066.28611941346</v>
      </c>
      <c r="AL473" s="37">
        <f t="shared" si="174"/>
        <v>137027.26430196266</v>
      </c>
      <c r="AM473" s="37">
        <f t="shared" si="175"/>
        <v>121171.78039001075</v>
      </c>
    </row>
    <row r="474" spans="12:39">
      <c r="L474">
        <v>470</v>
      </c>
      <c r="M474" s="37">
        <f t="shared" si="160"/>
        <v>2.9530970943744261</v>
      </c>
      <c r="N474" s="37">
        <f t="shared" si="154"/>
        <v>15088.563746356536</v>
      </c>
      <c r="O474" s="37">
        <f t="shared" si="155"/>
        <v>8436.906572928523</v>
      </c>
      <c r="R474" s="37">
        <f t="shared" si="156"/>
        <v>-23438.005377550424</v>
      </c>
      <c r="S474" s="37">
        <f t="shared" si="157"/>
        <v>10655.834601049966</v>
      </c>
      <c r="V474" s="37">
        <f t="shared" si="158"/>
        <v>-9911.4362536434637</v>
      </c>
      <c r="W474" s="37">
        <f t="shared" si="159"/>
        <v>-14063.093427071477</v>
      </c>
      <c r="Y474" s="37">
        <f t="shared" si="161"/>
        <v>116935.35013724738</v>
      </c>
      <c r="Z474" s="37">
        <f t="shared" si="162"/>
        <v>-6740.9582350724231</v>
      </c>
      <c r="AA474" s="37">
        <f t="shared" si="163"/>
        <v>1989.6473507587584</v>
      </c>
      <c r="AB474" s="37">
        <f t="shared" si="164"/>
        <v>1160.9242107022189</v>
      </c>
      <c r="AC474" s="37">
        <f t="shared" si="165"/>
        <v>-97.091521408389383</v>
      </c>
      <c r="AD474" s="37">
        <f t="shared" si="166"/>
        <v>6.6013902911993547</v>
      </c>
      <c r="AE474" s="39">
        <f t="shared" si="167"/>
        <v>-53.133990500267942</v>
      </c>
      <c r="AF474" s="39">
        <f t="shared" si="168"/>
        <v>7.8060164687670213</v>
      </c>
      <c r="AG474" s="39">
        <f t="shared" si="169"/>
        <v>-9.3308668477708849</v>
      </c>
      <c r="AH474" s="39">
        <f t="shared" si="170"/>
        <v>1.1407401524806462</v>
      </c>
      <c r="AI474" s="39">
        <f t="shared" si="171"/>
        <v>-34.626664060350549</v>
      </c>
      <c r="AJ474" s="39">
        <f t="shared" si="172"/>
        <v>-2.3453663300483121</v>
      </c>
      <c r="AK474" s="37">
        <f t="shared" si="173"/>
        <v>97975.849053140773</v>
      </c>
      <c r="AL474" s="37">
        <f t="shared" si="174"/>
        <v>137954.88320403514</v>
      </c>
      <c r="AM474" s="37">
        <f t="shared" si="175"/>
        <v>122214.73472526926</v>
      </c>
    </row>
    <row r="475" spans="12:39">
      <c r="L475">
        <v>471</v>
      </c>
      <c r="M475" s="37">
        <f t="shared" si="160"/>
        <v>2.9593802796816058</v>
      </c>
      <c r="N475" s="37">
        <f t="shared" si="154"/>
        <v>15082.773975023334</v>
      </c>
      <c r="O475" s="37">
        <f t="shared" si="155"/>
        <v>8406.0288181355863</v>
      </c>
      <c r="R475" s="37">
        <f t="shared" si="156"/>
        <v>-23442.058217483667</v>
      </c>
      <c r="S475" s="37">
        <f t="shared" si="157"/>
        <v>10634.22017269491</v>
      </c>
      <c r="V475" s="37">
        <f t="shared" si="158"/>
        <v>-9917.2260249766659</v>
      </c>
      <c r="W475" s="37">
        <f t="shared" si="159"/>
        <v>-14093.971181864414</v>
      </c>
      <c r="Y475" s="37">
        <f t="shared" si="161"/>
        <v>117918.03737245071</v>
      </c>
      <c r="Z475" s="37">
        <f t="shared" si="162"/>
        <v>-6159.6709559349138</v>
      </c>
      <c r="AA475" s="37">
        <f t="shared" si="163"/>
        <v>1941.1015900545638</v>
      </c>
      <c r="AB475" s="37">
        <f t="shared" si="164"/>
        <v>1164.2249058478187</v>
      </c>
      <c r="AC475" s="37">
        <f t="shared" si="165"/>
        <v>-95.516560830068244</v>
      </c>
      <c r="AD475" s="37">
        <f t="shared" si="166"/>
        <v>5.919724079492334</v>
      </c>
      <c r="AE475" s="39">
        <f t="shared" si="167"/>
        <v>-52.250056070669125</v>
      </c>
      <c r="AF475" s="39">
        <f t="shared" si="168"/>
        <v>7.2889387135050443</v>
      </c>
      <c r="AG475" s="39">
        <f t="shared" si="169"/>
        <v>-9.2154130567586563</v>
      </c>
      <c r="AH475" s="39">
        <f t="shared" si="170"/>
        <v>1.0797575542500637</v>
      </c>
      <c r="AI475" s="39">
        <f t="shared" si="171"/>
        <v>-34.051091702640463</v>
      </c>
      <c r="AJ475" s="39">
        <f t="shared" si="172"/>
        <v>-2.4489721882627746</v>
      </c>
      <c r="AK475" s="37">
        <f t="shared" si="173"/>
        <v>98866.215935966044</v>
      </c>
      <c r="AL475" s="37">
        <f t="shared" si="174"/>
        <v>138861.51373967083</v>
      </c>
      <c r="AM475" s="37">
        <f t="shared" si="175"/>
        <v>123235.52786880304</v>
      </c>
    </row>
    <row r="476" spans="12:39">
      <c r="L476">
        <v>472</v>
      </c>
      <c r="M476" s="37">
        <f t="shared" si="160"/>
        <v>2.9656634649887854</v>
      </c>
      <c r="N476" s="37">
        <f t="shared" si="154"/>
        <v>15077.178327353955</v>
      </c>
      <c r="O476" s="37">
        <f t="shared" si="155"/>
        <v>8375.1152948762792</v>
      </c>
      <c r="R476" s="37">
        <f t="shared" si="156"/>
        <v>-23445.975170852231</v>
      </c>
      <c r="S476" s="37">
        <f t="shared" si="157"/>
        <v>10612.580706413395</v>
      </c>
      <c r="V476" s="37">
        <f t="shared" si="158"/>
        <v>-9922.821672646045</v>
      </c>
      <c r="W476" s="37">
        <f t="shared" si="159"/>
        <v>-14124.884705123721</v>
      </c>
      <c r="Y476" s="37">
        <f t="shared" si="161"/>
        <v>118876.64859737424</v>
      </c>
      <c r="Z476" s="37">
        <f t="shared" si="162"/>
        <v>-5576.818537501068</v>
      </c>
      <c r="AA476" s="37">
        <f t="shared" si="163"/>
        <v>1893.3433096395297</v>
      </c>
      <c r="AB476" s="37">
        <f t="shared" si="164"/>
        <v>1167.1847678875649</v>
      </c>
      <c r="AC476" s="37">
        <f t="shared" si="165"/>
        <v>-94.009497635178093</v>
      </c>
      <c r="AD476" s="37">
        <f t="shared" si="166"/>
        <v>5.2712371033448315</v>
      </c>
      <c r="AE476" s="39">
        <f t="shared" si="167"/>
        <v>-51.404269271630589</v>
      </c>
      <c r="AF476" s="39">
        <f t="shared" si="168"/>
        <v>6.7984130818912734</v>
      </c>
      <c r="AG476" s="39">
        <f t="shared" si="169"/>
        <v>-9.1045288895382726</v>
      </c>
      <c r="AH476" s="39">
        <f t="shared" si="170"/>
        <v>1.0211910772194082</v>
      </c>
      <c r="AI476" s="39">
        <f t="shared" si="171"/>
        <v>-33.500699474009231</v>
      </c>
      <c r="AJ476" s="39">
        <f t="shared" si="172"/>
        <v>-2.5483670557658504</v>
      </c>
      <c r="AK476" s="37">
        <f t="shared" si="173"/>
        <v>99737.629914247314</v>
      </c>
      <c r="AL476" s="37">
        <f t="shared" si="174"/>
        <v>139747.48942785629</v>
      </c>
      <c r="AM476" s="37">
        <f t="shared" si="175"/>
        <v>124234.53793769478</v>
      </c>
    </row>
    <row r="477" spans="12:39">
      <c r="L477">
        <v>473</v>
      </c>
      <c r="M477" s="37">
        <f t="shared" si="160"/>
        <v>2.9719466502959651</v>
      </c>
      <c r="N477" s="37">
        <f t="shared" si="154"/>
        <v>15071.777024254992</v>
      </c>
      <c r="O477" s="37">
        <f t="shared" si="155"/>
        <v>8344.1672235635669</v>
      </c>
      <c r="R477" s="37">
        <f t="shared" si="156"/>
        <v>-23449.756083021504</v>
      </c>
      <c r="S477" s="37">
        <f t="shared" si="157"/>
        <v>10590.917056494498</v>
      </c>
      <c r="V477" s="37">
        <f t="shared" si="158"/>
        <v>-9928.2229757450077</v>
      </c>
      <c r="W477" s="37">
        <f t="shared" si="159"/>
        <v>-14155.832776436433</v>
      </c>
      <c r="Y477" s="37">
        <f t="shared" si="161"/>
        <v>119811.5690649896</v>
      </c>
      <c r="Z477" s="37">
        <f t="shared" si="162"/>
        <v>-4992.5672489193676</v>
      </c>
      <c r="AA477" s="37">
        <f t="shared" si="163"/>
        <v>1846.3385608219407</v>
      </c>
      <c r="AB477" s="37">
        <f t="shared" si="164"/>
        <v>1169.8203864392374</v>
      </c>
      <c r="AC477" s="37">
        <f t="shared" si="165"/>
        <v>-92.566667438955875</v>
      </c>
      <c r="AD477" s="37">
        <f t="shared" si="166"/>
        <v>4.6535198952825452</v>
      </c>
      <c r="AE477" s="39">
        <f t="shared" si="167"/>
        <v>-50.594614620002723</v>
      </c>
      <c r="AF477" s="39">
        <f t="shared" si="168"/>
        <v>6.3324986421363292</v>
      </c>
      <c r="AG477" s="39">
        <f t="shared" si="169"/>
        <v>-8.9979961590672524</v>
      </c>
      <c r="AH477" s="39">
        <f t="shared" si="170"/>
        <v>0.96489198585294489</v>
      </c>
      <c r="AI477" s="39">
        <f t="shared" si="171"/>
        <v>-32.974056659885896</v>
      </c>
      <c r="AJ477" s="39">
        <f t="shared" si="172"/>
        <v>-2.6438707327067288</v>
      </c>
      <c r="AK477" s="37">
        <f t="shared" si="173"/>
        <v>100590.32535827669</v>
      </c>
      <c r="AL477" s="37">
        <f t="shared" si="174"/>
        <v>140613.12853758616</v>
      </c>
      <c r="AM477" s="37">
        <f t="shared" si="175"/>
        <v>125212.12594126844</v>
      </c>
    </row>
    <row r="478" spans="12:39">
      <c r="L478">
        <v>474</v>
      </c>
      <c r="M478" s="37">
        <f t="shared" si="160"/>
        <v>2.9782298356031447</v>
      </c>
      <c r="N478" s="37">
        <f t="shared" si="154"/>
        <v>15066.570278960644</v>
      </c>
      <c r="O478" s="37">
        <f t="shared" si="155"/>
        <v>8313.1858259743167</v>
      </c>
      <c r="R478" s="37">
        <f t="shared" si="156"/>
        <v>-23453.400804727549</v>
      </c>
      <c r="S478" s="37">
        <f t="shared" si="157"/>
        <v>10569.230078182021</v>
      </c>
      <c r="V478" s="37">
        <f t="shared" si="158"/>
        <v>-9933.4297210393561</v>
      </c>
      <c r="W478" s="37">
        <f t="shared" si="159"/>
        <v>-14186.814174025683</v>
      </c>
      <c r="Y478" s="37">
        <f t="shared" si="161"/>
        <v>120723.16751197071</v>
      </c>
      <c r="Z478" s="37">
        <f t="shared" si="162"/>
        <v>-4407.075365712838</v>
      </c>
      <c r="AA478" s="37">
        <f t="shared" si="163"/>
        <v>1800.0552271024628</v>
      </c>
      <c r="AB478" s="37">
        <f t="shared" si="164"/>
        <v>1172.1471463868786</v>
      </c>
      <c r="AC478" s="37">
        <f t="shared" si="165"/>
        <v>-91.184666940039534</v>
      </c>
      <c r="AD478" s="37">
        <f t="shared" si="166"/>
        <v>4.06436633647336</v>
      </c>
      <c r="AE478" s="39">
        <f t="shared" si="167"/>
        <v>-49.819215168331283</v>
      </c>
      <c r="AF478" s="39">
        <f t="shared" si="168"/>
        <v>5.8894211165418744</v>
      </c>
      <c r="AG478" s="39">
        <f t="shared" si="169"/>
        <v>-8.895611253773831</v>
      </c>
      <c r="AH478" s="39">
        <f t="shared" si="170"/>
        <v>0.91072240643176861</v>
      </c>
      <c r="AI478" s="39">
        <f t="shared" si="171"/>
        <v>-32.469840517934422</v>
      </c>
      <c r="AJ478" s="39">
        <f t="shared" si="172"/>
        <v>-2.7357771865002833</v>
      </c>
      <c r="AK478" s="37">
        <f t="shared" si="173"/>
        <v>101424.52818430695</v>
      </c>
      <c r="AL478" s="37">
        <f t="shared" si="174"/>
        <v>141458.73495544735</v>
      </c>
      <c r="AM478" s="37">
        <f t="shared" si="175"/>
        <v>126168.63675870773</v>
      </c>
    </row>
    <row r="479" spans="12:39">
      <c r="L479">
        <v>475</v>
      </c>
      <c r="M479" s="37">
        <f t="shared" si="160"/>
        <v>2.9845130209103243</v>
      </c>
      <c r="N479" s="37">
        <f t="shared" si="154"/>
        <v>15061.558297024294</v>
      </c>
      <c r="O479" s="37">
        <f t="shared" si="155"/>
        <v>8282.1723252010524</v>
      </c>
      <c r="R479" s="37">
        <f t="shared" si="156"/>
        <v>-23456.909192082992</v>
      </c>
      <c r="S479" s="37">
        <f t="shared" si="157"/>
        <v>10547.520627640737</v>
      </c>
      <c r="V479" s="37">
        <f t="shared" si="158"/>
        <v>-9938.441702975706</v>
      </c>
      <c r="W479" s="37">
        <f t="shared" si="159"/>
        <v>-14217.827674798948</v>
      </c>
      <c r="Y479" s="37">
        <f t="shared" si="161"/>
        <v>121611.79704215443</v>
      </c>
      <c r="Z479" s="37">
        <f t="shared" si="162"/>
        <v>-3820.4937467273398</v>
      </c>
      <c r="AA479" s="37">
        <f t="shared" si="163"/>
        <v>1754.462893632443</v>
      </c>
      <c r="AB479" s="37">
        <f t="shared" si="164"/>
        <v>1174.1793295551154</v>
      </c>
      <c r="AC479" s="37">
        <f t="shared" si="165"/>
        <v>-89.860331906632297</v>
      </c>
      <c r="AD479" s="37">
        <f t="shared" si="166"/>
        <v>3.5017532732813752</v>
      </c>
      <c r="AE479" s="39">
        <f t="shared" si="167"/>
        <v>-49.076321486301723</v>
      </c>
      <c r="AF479" s="39">
        <f t="shared" si="168"/>
        <v>5.4675559991088187</v>
      </c>
      <c r="AG479" s="39">
        <f t="shared" si="169"/>
        <v>-8.797183968243349</v>
      </c>
      <c r="AH479" s="39">
        <f t="shared" si="170"/>
        <v>0.85855436172259969</v>
      </c>
      <c r="AI479" s="39">
        <f t="shared" si="171"/>
        <v>-31.986826452087222</v>
      </c>
      <c r="AJ479" s="39">
        <f t="shared" si="172"/>
        <v>-2.8243570875500428</v>
      </c>
      <c r="AK479" s="37">
        <f t="shared" si="173"/>
        <v>102240.45616489432</v>
      </c>
      <c r="AL479" s="37">
        <f t="shared" si="174"/>
        <v>142284.59898707119</v>
      </c>
      <c r="AM479" s="37">
        <f t="shared" si="175"/>
        <v>127104.40004307746</v>
      </c>
    </row>
    <row r="480" spans="12:39">
      <c r="L480">
        <v>476</v>
      </c>
      <c r="M480" s="37">
        <f t="shared" si="160"/>
        <v>2.990796206217504</v>
      </c>
      <c r="N480" s="37">
        <f t="shared" si="154"/>
        <v>15056.741276310415</v>
      </c>
      <c r="O480" s="37">
        <f t="shared" si="155"/>
        <v>8251.1279456036827</v>
      </c>
      <c r="R480" s="37">
        <f t="shared" si="156"/>
        <v>-23460.281106582712</v>
      </c>
      <c r="S480" s="37">
        <f t="shared" si="157"/>
        <v>10525.789561922578</v>
      </c>
      <c r="V480" s="37">
        <f t="shared" si="158"/>
        <v>-9943.2587236895852</v>
      </c>
      <c r="W480" s="37">
        <f t="shared" si="159"/>
        <v>-14248.872054396317</v>
      </c>
      <c r="Y480" s="37">
        <f t="shared" si="161"/>
        <v>122477.79594748233</v>
      </c>
      <c r="Z480" s="37">
        <f t="shared" si="162"/>
        <v>-3232.966362790622</v>
      </c>
      <c r="AA480" s="37">
        <f t="shared" si="163"/>
        <v>1709.5327276791268</v>
      </c>
      <c r="AB480" s="37">
        <f t="shared" si="164"/>
        <v>1175.930206191756</v>
      </c>
      <c r="AC480" s="37">
        <f t="shared" si="165"/>
        <v>-88.590717314202067</v>
      </c>
      <c r="AD480" s="37">
        <f t="shared" si="166"/>
        <v>2.9638224540921008</v>
      </c>
      <c r="AE480" s="39">
        <f t="shared" si="167"/>
        <v>-48.364301631846054</v>
      </c>
      <c r="AF480" s="39">
        <f t="shared" si="168"/>
        <v>5.0654136125301434</v>
      </c>
      <c r="AG480" s="39">
        <f t="shared" si="169"/>
        <v>-8.7025364458862047</v>
      </c>
      <c r="AH480" s="39">
        <f t="shared" si="170"/>
        <v>0.80826890459352696</v>
      </c>
      <c r="AI480" s="39">
        <f t="shared" si="171"/>
        <v>-31.52387923646981</v>
      </c>
      <c r="AJ480" s="39">
        <f t="shared" si="172"/>
        <v>-2.9098600630315699</v>
      </c>
      <c r="AK480" s="37">
        <f t="shared" si="173"/>
        <v>103038.31922735649</v>
      </c>
      <c r="AL480" s="37">
        <f t="shared" si="174"/>
        <v>143090.99809845191</v>
      </c>
      <c r="AM480" s="37">
        <f t="shared" si="175"/>
        <v>128019.73105833007</v>
      </c>
    </row>
    <row r="481" spans="12:39">
      <c r="L481">
        <v>477</v>
      </c>
      <c r="M481" s="37">
        <f t="shared" si="160"/>
        <v>2.9970793915246836</v>
      </c>
      <c r="N481" s="37">
        <f t="shared" si="154"/>
        <v>15052.119406986731</v>
      </c>
      <c r="O481" s="37">
        <f t="shared" si="155"/>
        <v>8220.0539127611573</v>
      </c>
      <c r="R481" s="37">
        <f t="shared" si="156"/>
        <v>-23463.51641510929</v>
      </c>
      <c r="S481" s="37">
        <f t="shared" si="157"/>
        <v>10504.03773893281</v>
      </c>
      <c r="V481" s="37">
        <f t="shared" si="158"/>
        <v>-9947.8805930132694</v>
      </c>
      <c r="W481" s="37">
        <f t="shared" si="159"/>
        <v>-14279.946087238843</v>
      </c>
      <c r="Y481" s="37">
        <f t="shared" si="161"/>
        <v>123321.48847165762</v>
      </c>
      <c r="Z481" s="37">
        <f t="shared" si="162"/>
        <v>-2644.6307818879827</v>
      </c>
      <c r="AA481" s="37">
        <f t="shared" si="163"/>
        <v>1665.2373690220256</v>
      </c>
      <c r="AB481" s="37">
        <f t="shared" si="164"/>
        <v>1177.4121174188022</v>
      </c>
      <c r="AC481" s="37">
        <f t="shared" si="165"/>
        <v>-87.373079398950381</v>
      </c>
      <c r="AD481" s="37">
        <f t="shared" si="166"/>
        <v>2.448864490679751</v>
      </c>
      <c r="AE481" s="39">
        <f t="shared" si="167"/>
        <v>-47.681632016290976</v>
      </c>
      <c r="AF481" s="39">
        <f t="shared" si="168"/>
        <v>4.6816258557464492</v>
      </c>
      <c r="AG481" s="39">
        <f t="shared" si="169"/>
        <v>-8.6115022212906904</v>
      </c>
      <c r="AH481" s="39">
        <f t="shared" si="170"/>
        <v>0.75975533904088832</v>
      </c>
      <c r="AI481" s="39">
        <f t="shared" si="171"/>
        <v>-31.079945161368713</v>
      </c>
      <c r="AJ481" s="39">
        <f t="shared" si="172"/>
        <v>-2.9925167041075862</v>
      </c>
      <c r="AK481" s="37">
        <f t="shared" si="173"/>
        <v>103818.31974030261</v>
      </c>
      <c r="AL481" s="37">
        <f t="shared" si="174"/>
        <v>143878.19760249206</v>
      </c>
      <c r="AM481" s="37">
        <f t="shared" si="175"/>
        <v>128914.93145519501</v>
      </c>
    </row>
    <row r="482" spans="12:39">
      <c r="L482">
        <v>478</v>
      </c>
      <c r="M482" s="37">
        <f t="shared" si="160"/>
        <v>3.0033625768318633</v>
      </c>
      <c r="N482" s="37">
        <f t="shared" si="154"/>
        <v>15047.692871516731</v>
      </c>
      <c r="O482" s="37">
        <f t="shared" si="155"/>
        <v>8188.9514534230866</v>
      </c>
      <c r="R482" s="37">
        <f t="shared" si="156"/>
        <v>-23466.614989938291</v>
      </c>
      <c r="S482" s="37">
        <f t="shared" si="157"/>
        <v>10482.266017396161</v>
      </c>
      <c r="V482" s="37">
        <f t="shared" si="158"/>
        <v>-9952.3071284832695</v>
      </c>
      <c r="W482" s="37">
        <f t="shared" si="159"/>
        <v>-14311.048546576912</v>
      </c>
      <c r="Y482" s="37">
        <f t="shared" si="161"/>
        <v>124143.18552124375</v>
      </c>
      <c r="Z482" s="37">
        <f t="shared" si="162"/>
        <v>-2055.6186151172465</v>
      </c>
      <c r="AA482" s="37">
        <f t="shared" si="163"/>
        <v>1621.5508293225505</v>
      </c>
      <c r="AB482" s="37">
        <f t="shared" si="164"/>
        <v>1178.636549664142</v>
      </c>
      <c r="AC482" s="37">
        <f t="shared" si="165"/>
        <v>-86.204859419730312</v>
      </c>
      <c r="AD482" s="37">
        <f t="shared" si="166"/>
        <v>1.9553045898594674</v>
      </c>
      <c r="AE482" s="39">
        <f t="shared" si="167"/>
        <v>-47.026889077420094</v>
      </c>
      <c r="AF482" s="39">
        <f t="shared" si="168"/>
        <v>4.3149344283076871</v>
      </c>
      <c r="AG482" s="39">
        <f t="shared" si="169"/>
        <v>-8.5239253514866995</v>
      </c>
      <c r="AH482" s="39">
        <f t="shared" si="170"/>
        <v>0.71291051859061338</v>
      </c>
      <c r="AI482" s="39">
        <f t="shared" si="171"/>
        <v>-30.654044990823525</v>
      </c>
      <c r="AJ482" s="39">
        <f t="shared" si="172"/>
        <v>-3.0725403570388328</v>
      </c>
      <c r="AK482" s="37">
        <f t="shared" si="173"/>
        <v>104580.65278831343</v>
      </c>
      <c r="AL482" s="37">
        <f t="shared" si="174"/>
        <v>144646.45129558089</v>
      </c>
      <c r="AM482" s="37">
        <f t="shared" si="175"/>
        <v>129790.28999124581</v>
      </c>
    </row>
    <row r="483" spans="12:39">
      <c r="L483">
        <v>479</v>
      </c>
      <c r="M483" s="37">
        <f t="shared" si="160"/>
        <v>3.0096457621390429</v>
      </c>
      <c r="N483" s="37">
        <f t="shared" si="154"/>
        <v>15043.461844652453</v>
      </c>
      <c r="O483" s="37">
        <f t="shared" si="155"/>
        <v>8157.8217954613083</v>
      </c>
      <c r="R483" s="37">
        <f t="shared" si="156"/>
        <v>-23469.576708743283</v>
      </c>
      <c r="S483" s="37">
        <f t="shared" si="157"/>
        <v>10460.475256822916</v>
      </c>
      <c r="V483" s="37">
        <f t="shared" si="158"/>
        <v>-9956.5381553475472</v>
      </c>
      <c r="W483" s="37">
        <f t="shared" si="159"/>
        <v>-14342.178204538692</v>
      </c>
      <c r="Y483" s="37">
        <f t="shared" si="161"/>
        <v>124943.18532847756</v>
      </c>
      <c r="Z483" s="37">
        <f t="shared" si="162"/>
        <v>-1466.0559272114431</v>
      </c>
      <c r="AA483" s="37">
        <f t="shared" si="163"/>
        <v>1578.4483996126853</v>
      </c>
      <c r="AB483" s="37">
        <f t="shared" si="164"/>
        <v>1179.6142019590718</v>
      </c>
      <c r="AC483" s="37">
        <f t="shared" si="165"/>
        <v>-85.083668945800937</v>
      </c>
      <c r="AD483" s="37">
        <f t="shared" si="166"/>
        <v>1.4816898363122202</v>
      </c>
      <c r="AE483" s="39">
        <f t="shared" si="167"/>
        <v>-46.398741682915777</v>
      </c>
      <c r="AF483" s="39">
        <f t="shared" si="168"/>
        <v>3.9641803474814994</v>
      </c>
      <c r="AG483" s="39">
        <f t="shared" si="169"/>
        <v>-8.4396596266623209</v>
      </c>
      <c r="AH483" s="39">
        <f t="shared" si="170"/>
        <v>0.66763821332223683</v>
      </c>
      <c r="AI483" s="39">
        <f t="shared" si="171"/>
        <v>-30.245267636222838</v>
      </c>
      <c r="AJ483" s="39">
        <f t="shared" si="172"/>
        <v>-3.1501287244915157</v>
      </c>
      <c r="AK483" s="37">
        <f t="shared" si="173"/>
        <v>105325.50643494229</v>
      </c>
      <c r="AL483" s="37">
        <f t="shared" si="174"/>
        <v>145396.00204851344</v>
      </c>
      <c r="AM483" s="37">
        <f t="shared" si="175"/>
        <v>130646.08319990475</v>
      </c>
    </row>
    <row r="484" spans="12:39">
      <c r="L484">
        <v>480</v>
      </c>
      <c r="M484" s="37">
        <f t="shared" si="160"/>
        <v>3.0159289474462225</v>
      </c>
      <c r="N484" s="37">
        <f t="shared" si="154"/>
        <v>15039.426493427598</v>
      </c>
      <c r="O484" s="37">
        <f t="shared" si="155"/>
        <v>8126.6661678214168</v>
      </c>
      <c r="R484" s="37">
        <f t="shared" si="156"/>
        <v>-23472.40145460068</v>
      </c>
      <c r="S484" s="37">
        <f t="shared" si="157"/>
        <v>10438.666317474992</v>
      </c>
      <c r="V484" s="37">
        <f t="shared" si="158"/>
        <v>-9960.573506572402</v>
      </c>
      <c r="W484" s="37">
        <f t="shared" si="159"/>
        <v>-14373.333832178583</v>
      </c>
      <c r="Y484" s="37">
        <f t="shared" si="161"/>
        <v>125721.77406966567</v>
      </c>
      <c r="Z484" s="37">
        <f t="shared" si="162"/>
        <v>-876.06361500236812</v>
      </c>
      <c r="AA484" s="37">
        <f t="shared" si="163"/>
        <v>1535.9065651397848</v>
      </c>
      <c r="AB484" s="37">
        <f t="shared" si="164"/>
        <v>1180.355046877228</v>
      </c>
      <c r="AC484" s="37">
        <f t="shared" si="165"/>
        <v>-84.007276509349353</v>
      </c>
      <c r="AD484" s="37">
        <f t="shared" si="166"/>
        <v>1.0266778373302623</v>
      </c>
      <c r="AE484" s="39">
        <f t="shared" si="167"/>
        <v>-45.795944194438391</v>
      </c>
      <c r="AF484" s="39">
        <f t="shared" si="168"/>
        <v>3.6282945992653013</v>
      </c>
      <c r="AG484" s="39">
        <f t="shared" si="169"/>
        <v>-8.3585678520115625</v>
      </c>
      <c r="AH484" s="39">
        <f t="shared" si="170"/>
        <v>0.6238485378673102</v>
      </c>
      <c r="AI484" s="39">
        <f t="shared" si="171"/>
        <v>-29.852764462899398</v>
      </c>
      <c r="AJ484" s="39">
        <f t="shared" si="172"/>
        <v>-3.225465299802349</v>
      </c>
      <c r="AK484" s="37">
        <f t="shared" si="173"/>
        <v>106053.06197427775</v>
      </c>
      <c r="AL484" s="37">
        <f t="shared" si="174"/>
        <v>146127.08235562724</v>
      </c>
      <c r="AM484" s="37">
        <f t="shared" si="175"/>
        <v>131482.57601267239</v>
      </c>
    </row>
    <row r="485" spans="12:39">
      <c r="L485">
        <v>481</v>
      </c>
      <c r="M485" s="37">
        <f t="shared" si="160"/>
        <v>3.0222121327534022</v>
      </c>
      <c r="N485" s="37">
        <f t="shared" si="154"/>
        <v>15035.586977150921</v>
      </c>
      <c r="O485" s="37">
        <f t="shared" si="155"/>
        <v>8095.4858004742437</v>
      </c>
      <c r="R485" s="37">
        <f t="shared" si="156"/>
        <v>-23475.089115994357</v>
      </c>
      <c r="S485" s="37">
        <f t="shared" si="157"/>
        <v>10416.840060331971</v>
      </c>
      <c r="V485" s="37">
        <f t="shared" si="158"/>
        <v>-9964.4130228490794</v>
      </c>
      <c r="W485" s="37">
        <f t="shared" si="159"/>
        <v>-14404.514199525756</v>
      </c>
      <c r="Y485" s="37">
        <f t="shared" si="161"/>
        <v>126479.2264426719</v>
      </c>
      <c r="Z485" s="37">
        <f t="shared" si="162"/>
        <v>-285.75775683408784</v>
      </c>
      <c r="AA485" s="37">
        <f t="shared" si="163"/>
        <v>1493.9029268851102</v>
      </c>
      <c r="AB485" s="37">
        <f t="shared" si="164"/>
        <v>1180.8683857958931</v>
      </c>
      <c r="AC485" s="37">
        <f t="shared" si="165"/>
        <v>-82.973595480487234</v>
      </c>
      <c r="AD485" s="37">
        <f t="shared" si="166"/>
        <v>0.58902656565739031</v>
      </c>
      <c r="AE485" s="39">
        <f t="shared" si="167"/>
        <v>-45.2173301296014</v>
      </c>
      <c r="AF485" s="39">
        <f t="shared" si="168"/>
        <v>3.3062897859181493</v>
      </c>
      <c r="AG485" s="39">
        <f t="shared" si="169"/>
        <v>-8.2805211933776643</v>
      </c>
      <c r="AH485" s="39">
        <f t="shared" si="170"/>
        <v>0.58145743368427205</v>
      </c>
      <c r="AI485" s="39">
        <f t="shared" si="171"/>
        <v>-29.475744157508164</v>
      </c>
      <c r="AJ485" s="39">
        <f t="shared" si="172"/>
        <v>-3.2987206539450309</v>
      </c>
      <c r="AK485" s="37">
        <f t="shared" si="173"/>
        <v>106763.49417135945</v>
      </c>
      <c r="AL485" s="37">
        <f t="shared" si="174"/>
        <v>146839.91484564348</v>
      </c>
      <c r="AM485" s="37">
        <f t="shared" si="175"/>
        <v>132300.02233844847</v>
      </c>
    </row>
    <row r="486" spans="12:39">
      <c r="L486">
        <v>482</v>
      </c>
      <c r="M486" s="37">
        <f t="shared" si="160"/>
        <v>3.0284953180605818</v>
      </c>
      <c r="N486" s="37">
        <f t="shared" si="154"/>
        <v>15031.943447399946</v>
      </c>
      <c r="O486" s="37">
        <f t="shared" si="155"/>
        <v>8064.2819243673039</v>
      </c>
      <c r="R486" s="37">
        <f t="shared" si="156"/>
        <v>-23477.639586820038</v>
      </c>
      <c r="S486" s="37">
        <f t="shared" si="157"/>
        <v>10394.997347057113</v>
      </c>
      <c r="V486" s="37">
        <f t="shared" si="158"/>
        <v>-9968.0565526000537</v>
      </c>
      <c r="W486" s="37">
        <f t="shared" si="159"/>
        <v>-14435.718075632696</v>
      </c>
      <c r="Y486" s="37">
        <f t="shared" si="161"/>
        <v>127215.80620667941</v>
      </c>
      <c r="Z486" s="37">
        <f t="shared" si="162"/>
        <v>304.75006438456592</v>
      </c>
      <c r="AA486" s="37">
        <f t="shared" si="163"/>
        <v>1452.4161291448665</v>
      </c>
      <c r="AB486" s="37">
        <f t="shared" si="164"/>
        <v>1181.1628990787219</v>
      </c>
      <c r="AC486" s="37">
        <f t="shared" si="165"/>
        <v>-81.980673038837878</v>
      </c>
      <c r="AD486" s="37">
        <f t="shared" si="166"/>
        <v>0.16758525830775106</v>
      </c>
      <c r="AE486" s="39">
        <f t="shared" si="167"/>
        <v>-44.661806365431431</v>
      </c>
      <c r="AF486" s="39">
        <f t="shared" si="168"/>
        <v>2.9972526509372051</v>
      </c>
      <c r="AG486" s="39">
        <f t="shared" si="169"/>
        <v>-8.2053985802119787</v>
      </c>
      <c r="AH486" s="39">
        <f t="shared" si="170"/>
        <v>0.54038619973192603</v>
      </c>
      <c r="AI486" s="39">
        <f t="shared" si="171"/>
        <v>-29.113468093194466</v>
      </c>
      <c r="AJ486" s="39">
        <f t="shared" si="172"/>
        <v>-3.3700535923613799</v>
      </c>
      <c r="AK486" s="37">
        <f t="shared" si="173"/>
        <v>107456.97149177529</v>
      </c>
      <c r="AL486" s="37">
        <f t="shared" si="174"/>
        <v>147534.71275735972</v>
      </c>
      <c r="AM486" s="37">
        <f t="shared" si="175"/>
        <v>133098.66560343679</v>
      </c>
    </row>
    <row r="487" spans="12:39">
      <c r="L487">
        <v>483</v>
      </c>
      <c r="M487" s="37">
        <f t="shared" si="160"/>
        <v>3.0347785033677614</v>
      </c>
      <c r="N487" s="37">
        <f t="shared" si="154"/>
        <v>15028.496048014993</v>
      </c>
      <c r="O487" s="37">
        <f t="shared" si="155"/>
        <v>8033.0557713761946</v>
      </c>
      <c r="R487" s="37">
        <f t="shared" si="156"/>
        <v>-23480.052766389505</v>
      </c>
      <c r="S487" s="37">
        <f t="shared" si="157"/>
        <v>10373.139039963336</v>
      </c>
      <c r="V487" s="37">
        <f t="shared" si="158"/>
        <v>-9971.503951985007</v>
      </c>
      <c r="W487" s="37">
        <f t="shared" si="159"/>
        <v>-14466.944228623806</v>
      </c>
      <c r="Y487" s="37">
        <f t="shared" si="161"/>
        <v>127931.76668712198</v>
      </c>
      <c r="Z487" s="37">
        <f t="shared" si="162"/>
        <v>895.35246208121532</v>
      </c>
      <c r="AA487" s="37">
        <f t="shared" si="163"/>
        <v>1411.4257926254477</v>
      </c>
      <c r="AB487" s="37">
        <f t="shared" si="164"/>
        <v>1181.2466917078757</v>
      </c>
      <c r="AC487" s="37">
        <f t="shared" si="165"/>
        <v>-81.02668013018237</v>
      </c>
      <c r="AD487" s="37">
        <f t="shared" si="166"/>
        <v>-0.23871375218291924</v>
      </c>
      <c r="AE487" s="39">
        <f t="shared" si="167"/>
        <v>-44.128347832567961</v>
      </c>
      <c r="AF487" s="39">
        <f t="shared" si="168"/>
        <v>2.7003373780554334</v>
      </c>
      <c r="AG487" s="39">
        <f t="shared" si="169"/>
        <v>-8.1330861601121587</v>
      </c>
      <c r="AH487" s="39">
        <f t="shared" si="170"/>
        <v>0.50056106637299247</v>
      </c>
      <c r="AI487" s="39">
        <f t="shared" si="171"/>
        <v>-28.765246137502249</v>
      </c>
      <c r="AJ487" s="39">
        <f t="shared" si="172"/>
        <v>-3.4396121966113453</v>
      </c>
      <c r="AK487" s="37">
        <f t="shared" si="173"/>
        <v>108133.65632079344</v>
      </c>
      <c r="AL487" s="37">
        <f t="shared" si="174"/>
        <v>148211.68038303469</v>
      </c>
      <c r="AM487" s="37">
        <f t="shared" si="175"/>
        <v>133878.7392547944</v>
      </c>
    </row>
    <row r="488" spans="12:39">
      <c r="L488">
        <v>484</v>
      </c>
      <c r="M488" s="37">
        <f t="shared" si="160"/>
        <v>3.0410616886749411</v>
      </c>
      <c r="N488" s="37">
        <f t="shared" si="154"/>
        <v>15025.244915093488</v>
      </c>
      <c r="O488" s="37">
        <f t="shared" si="155"/>
        <v>8001.8085742559688</v>
      </c>
      <c r="R488" s="37">
        <f t="shared" si="156"/>
        <v>-23482.328559434558</v>
      </c>
      <c r="S488" s="37">
        <f t="shared" si="157"/>
        <v>10351.266001979178</v>
      </c>
      <c r="V488" s="37">
        <f t="shared" si="158"/>
        <v>-9974.7550849065119</v>
      </c>
      <c r="W488" s="37">
        <f t="shared" si="159"/>
        <v>-14498.191425744031</v>
      </c>
      <c r="Y488" s="37">
        <f t="shared" si="161"/>
        <v>128627.35124841843</v>
      </c>
      <c r="Z488" s="37">
        <f t="shared" si="162"/>
        <v>1485.9459687161302</v>
      </c>
      <c r="AA488" s="37">
        <f t="shared" si="163"/>
        <v>1370.9124525603565</v>
      </c>
      <c r="AB488" s="37">
        <f t="shared" si="164"/>
        <v>1181.1273348317843</v>
      </c>
      <c r="AC488" s="37">
        <f t="shared" si="165"/>
        <v>-80.109902309204841</v>
      </c>
      <c r="AD488" s="37">
        <f t="shared" si="166"/>
        <v>-0.63086238169283027</v>
      </c>
      <c r="AE488" s="39">
        <f t="shared" si="167"/>
        <v>-43.61599265455326</v>
      </c>
      <c r="AF488" s="39">
        <f t="shared" si="168"/>
        <v>2.4147595742502532</v>
      </c>
      <c r="AG488" s="39">
        <f t="shared" si="169"/>
        <v>-8.0634767998563301</v>
      </c>
      <c r="AH488" s="39">
        <f t="shared" si="170"/>
        <v>0.46191280795439238</v>
      </c>
      <c r="AI488" s="39">
        <f t="shared" si="171"/>
        <v>-28.430432854795257</v>
      </c>
      <c r="AJ488" s="39">
        <f t="shared" si="172"/>
        <v>-3.5075347638974761</v>
      </c>
      <c r="AK488" s="37">
        <f t="shared" si="173"/>
        <v>108793.70517239715</v>
      </c>
      <c r="AL488" s="37">
        <f t="shared" si="174"/>
        <v>148871.01348203543</v>
      </c>
      <c r="AM488" s="37">
        <f t="shared" si="175"/>
        <v>134640.46723088727</v>
      </c>
    </row>
    <row r="489" spans="12:39">
      <c r="L489">
        <v>485</v>
      </c>
      <c r="M489" s="37">
        <f t="shared" si="160"/>
        <v>3.0473448739821207</v>
      </c>
      <c r="N489" s="37">
        <f t="shared" si="154"/>
        <v>15022.19017698459</v>
      </c>
      <c r="O489" s="37">
        <f t="shared" si="155"/>
        <v>7970.5415665924656</v>
      </c>
      <c r="R489" s="37">
        <f t="shared" si="156"/>
        <v>-23484.466876110786</v>
      </c>
      <c r="S489" s="37">
        <f t="shared" si="157"/>
        <v>10329.379096614726</v>
      </c>
      <c r="V489" s="37">
        <f t="shared" si="158"/>
        <v>-9977.8098230154101</v>
      </c>
      <c r="W489" s="37">
        <f t="shared" si="159"/>
        <v>-14529.458433407535</v>
      </c>
      <c r="Y489" s="37">
        <f t="shared" si="161"/>
        <v>129302.79373690995</v>
      </c>
      <c r="Z489" s="37">
        <f t="shared" si="162"/>
        <v>2076.4307783343111</v>
      </c>
      <c r="AA489" s="37">
        <f t="shared" si="163"/>
        <v>1330.8575014057542</v>
      </c>
      <c r="AB489" s="37">
        <f t="shared" si="164"/>
        <v>1180.811903640938</v>
      </c>
      <c r="AC489" s="37">
        <f t="shared" si="165"/>
        <v>-79.228731380412398</v>
      </c>
      <c r="AD489" s="37">
        <f t="shared" si="166"/>
        <v>-1.0097834075700987</v>
      </c>
      <c r="AE489" s="39">
        <f t="shared" si="167"/>
        <v>-43.123837691135108</v>
      </c>
      <c r="AF489" s="39">
        <f t="shared" si="168"/>
        <v>2.1397908582712426</v>
      </c>
      <c r="AG489" s="39">
        <f t="shared" si="169"/>
        <v>-7.9964696284147037</v>
      </c>
      <c r="AH489" s="39">
        <f t="shared" si="170"/>
        <v>0.42437639004492056</v>
      </c>
      <c r="AI489" s="39">
        <f t="shared" si="171"/>
        <v>-28.108424060862593</v>
      </c>
      <c r="AJ489" s="39">
        <f t="shared" si="172"/>
        <v>-3.5739506558862617</v>
      </c>
      <c r="AK489" s="37">
        <f t="shared" si="173"/>
        <v>109437.26888859975</v>
      </c>
      <c r="AL489" s="37">
        <f t="shared" si="174"/>
        <v>149512.8996670749</v>
      </c>
      <c r="AM489" s="37">
        <f t="shared" si="175"/>
        <v>135384.06440074925</v>
      </c>
    </row>
    <row r="490" spans="12:39">
      <c r="L490">
        <v>486</v>
      </c>
      <c r="M490" s="37">
        <f t="shared" si="160"/>
        <v>3.0536280592893004</v>
      </c>
      <c r="N490" s="37">
        <f t="shared" si="154"/>
        <v>15019.331954284127</v>
      </c>
      <c r="O490" s="37">
        <f t="shared" si="155"/>
        <v>7939.2559827536097</v>
      </c>
      <c r="R490" s="37">
        <f t="shared" si="156"/>
        <v>-23486.467632001109</v>
      </c>
      <c r="S490" s="37">
        <f t="shared" si="157"/>
        <v>10307.479187927527</v>
      </c>
      <c r="V490" s="37">
        <f t="shared" si="158"/>
        <v>-9980.6680457158727</v>
      </c>
      <c r="W490" s="37">
        <f t="shared" si="159"/>
        <v>-14560.74401724639</v>
      </c>
      <c r="Y490" s="37">
        <f t="shared" si="161"/>
        <v>129958.31889619028</v>
      </c>
      <c r="Z490" s="37">
        <f t="shared" si="162"/>
        <v>2666.7105072288336</v>
      </c>
      <c r="AA490" s="37">
        <f t="shared" si="163"/>
        <v>1291.2431357155481</v>
      </c>
      <c r="AB490" s="37">
        <f t="shared" si="164"/>
        <v>1180.307011937153</v>
      </c>
      <c r="AC490" s="37">
        <f t="shared" si="165"/>
        <v>-78.381657758996823</v>
      </c>
      <c r="AD490" s="37">
        <f t="shared" si="166"/>
        <v>-1.3763364329562724</v>
      </c>
      <c r="AE490" s="39">
        <f t="shared" si="167"/>
        <v>-42.651034448598715</v>
      </c>
      <c r="AF490" s="39">
        <f t="shared" si="168"/>
        <v>1.8747539861067803</v>
      </c>
      <c r="AG490" s="39">
        <f t="shared" si="169"/>
        <v>-7.9319696179211698</v>
      </c>
      <c r="AH490" s="39">
        <f t="shared" si="170"/>
        <v>0.38789064777625482</v>
      </c>
      <c r="AI490" s="39">
        <f t="shared" si="171"/>
        <v>-27.798653692476936</v>
      </c>
      <c r="AJ490" s="39">
        <f t="shared" si="172"/>
        <v>-3.6389810668393077</v>
      </c>
      <c r="AK490" s="37">
        <f t="shared" si="173"/>
        <v>110064.49282941892</v>
      </c>
      <c r="AL490" s="37">
        <f t="shared" si="174"/>
        <v>150137.5187651517</v>
      </c>
      <c r="AM490" s="37">
        <f t="shared" si="175"/>
        <v>136109.73697510408</v>
      </c>
    </row>
    <row r="491" spans="12:39">
      <c r="L491">
        <v>487</v>
      </c>
      <c r="M491" s="37">
        <f t="shared" si="160"/>
        <v>3.05991124459648</v>
      </c>
      <c r="N491" s="37">
        <f t="shared" si="154"/>
        <v>15016.670359829841</v>
      </c>
      <c r="O491" s="37">
        <f t="shared" si="155"/>
        <v>7907.9530578406811</v>
      </c>
      <c r="R491" s="37">
        <f t="shared" si="156"/>
        <v>-23488.330748119111</v>
      </c>
      <c r="S491" s="37">
        <f t="shared" si="157"/>
        <v>10285.567140488476</v>
      </c>
      <c r="V491" s="37">
        <f t="shared" si="158"/>
        <v>-9983.3296401701591</v>
      </c>
      <c r="W491" s="37">
        <f t="shared" si="159"/>
        <v>-14592.046942159319</v>
      </c>
      <c r="Y491" s="37">
        <f t="shared" si="161"/>
        <v>130594.14275682818</v>
      </c>
      <c r="Z491" s="37">
        <f t="shared" si="162"/>
        <v>3256.6919711432906</v>
      </c>
      <c r="AA491" s="37">
        <f t="shared" si="163"/>
        <v>1252.0523068360496</v>
      </c>
      <c r="AB491" s="37">
        <f t="shared" si="164"/>
        <v>1179.6188437206749</v>
      </c>
      <c r="AC491" s="37">
        <f t="shared" si="165"/>
        <v>-77.56726348192268</v>
      </c>
      <c r="AD491" s="37">
        <f t="shared" si="166"/>
        <v>-1.7313232743534239</v>
      </c>
      <c r="AE491" s="39">
        <f t="shared" si="167"/>
        <v>-42.196785323808029</v>
      </c>
      <c r="AF491" s="39">
        <f t="shared" si="168"/>
        <v>1.619018453356587</v>
      </c>
      <c r="AG491" s="39">
        <f t="shared" si="169"/>
        <v>-7.8698871990225188</v>
      </c>
      <c r="AH491" s="39">
        <f t="shared" si="170"/>
        <v>0.35239799213876766</v>
      </c>
      <c r="AI491" s="39">
        <f t="shared" si="171"/>
        <v>-27.500590959092136</v>
      </c>
      <c r="AJ491" s="39">
        <f t="shared" si="172"/>
        <v>-3.7027397198487786</v>
      </c>
      <c r="AK491" s="37">
        <f t="shared" si="173"/>
        <v>110675.51705388799</v>
      </c>
      <c r="AL491" s="37">
        <f t="shared" si="174"/>
        <v>150745.04315511003</v>
      </c>
      <c r="AM491" s="37">
        <f t="shared" si="175"/>
        <v>136817.68289109526</v>
      </c>
    </row>
    <row r="492" spans="12:39">
      <c r="L492">
        <v>488</v>
      </c>
      <c r="M492" s="37">
        <f t="shared" si="160"/>
        <v>3.0661944299036596</v>
      </c>
      <c r="N492" s="37">
        <f t="shared" si="154"/>
        <v>15014.205498696923</v>
      </c>
      <c r="O492" s="37">
        <f t="shared" si="155"/>
        <v>7876.6340276395567</v>
      </c>
      <c r="R492" s="37">
        <f t="shared" si="156"/>
        <v>-23490.056150912154</v>
      </c>
      <c r="S492" s="37">
        <f t="shared" si="157"/>
        <v>10263.64381934769</v>
      </c>
      <c r="V492" s="37">
        <f t="shared" si="158"/>
        <v>-9985.7945013030767</v>
      </c>
      <c r="W492" s="37">
        <f t="shared" si="159"/>
        <v>-14623.365972360443</v>
      </c>
      <c r="Y492" s="37">
        <f t="shared" si="161"/>
        <v>131210.47300231096</v>
      </c>
      <c r="Z492" s="37">
        <f t="shared" si="162"/>
        <v>3846.2849775943337</v>
      </c>
      <c r="AA492" s="37">
        <f t="shared" si="163"/>
        <v>1213.2686750950884</v>
      </c>
      <c r="AB492" s="37">
        <f t="shared" si="164"/>
        <v>1178.7531820834981</v>
      </c>
      <c r="AC492" s="37">
        <f t="shared" si="165"/>
        <v>-76.784215807066587</v>
      </c>
      <c r="AD492" s="37">
        <f t="shared" si="166"/>
        <v>-2.0754928356159192</v>
      </c>
      <c r="AE492" s="39">
        <f t="shared" si="167"/>
        <v>-41.760340151944568</v>
      </c>
      <c r="AF492" s="39">
        <f t="shared" si="168"/>
        <v>1.3719965218631858</v>
      </c>
      <c r="AG492" s="39">
        <f t="shared" si="169"/>
        <v>-7.8101379074066966</v>
      </c>
      <c r="AH492" s="39">
        <f t="shared" si="170"/>
        <v>0.31784414143810014</v>
      </c>
      <c r="AI492" s="39">
        <f t="shared" si="171"/>
        <v>-27.213737747715317</v>
      </c>
      <c r="AJ492" s="39">
        <f t="shared" si="172"/>
        <v>-3.7653334989172049</v>
      </c>
      <c r="AK492" s="37">
        <f t="shared" si="173"/>
        <v>111270.47649247614</v>
      </c>
      <c r="AL492" s="37">
        <f t="shared" si="174"/>
        <v>151335.63808356441</v>
      </c>
      <c r="AM492" s="37">
        <f t="shared" si="175"/>
        <v>137508.092172679</v>
      </c>
    </row>
    <row r="493" spans="12:39">
      <c r="L493">
        <v>489</v>
      </c>
      <c r="M493" s="37">
        <f t="shared" si="160"/>
        <v>3.0724776152108393</v>
      </c>
      <c r="N493" s="37">
        <f t="shared" si="154"/>
        <v>15011.937468193868</v>
      </c>
      <c r="O493" s="37">
        <f t="shared" si="155"/>
        <v>7845.300128571922</v>
      </c>
      <c r="R493" s="37">
        <f t="shared" si="156"/>
        <v>-23491.643772264295</v>
      </c>
      <c r="S493" s="37">
        <f t="shared" si="157"/>
        <v>10241.710090000346</v>
      </c>
      <c r="V493" s="37">
        <f t="shared" si="158"/>
        <v>-9988.062531806132</v>
      </c>
      <c r="W493" s="37">
        <f t="shared" si="159"/>
        <v>-14654.699871428078</v>
      </c>
      <c r="Y493" s="37">
        <f t="shared" si="161"/>
        <v>131807.50931288264</v>
      </c>
      <c r="Z493" s="37">
        <f t="shared" si="162"/>
        <v>4435.4021320316306</v>
      </c>
      <c r="AA493" s="37">
        <f t="shared" si="163"/>
        <v>1174.8765671915551</v>
      </c>
      <c r="AB493" s="37">
        <f t="shared" si="164"/>
        <v>1177.7154356656902</v>
      </c>
      <c r="AC493" s="37">
        <f t="shared" si="165"/>
        <v>-76.031261344829986</v>
      </c>
      <c r="AD493" s="37">
        <f t="shared" si="166"/>
        <v>-2.409545523927783</v>
      </c>
      <c r="AE493" s="39">
        <f t="shared" si="167"/>
        <v>-41.340993030853951</v>
      </c>
      <c r="AF493" s="39">
        <f t="shared" si="168"/>
        <v>1.1331396243476859</v>
      </c>
      <c r="AG493" s="39">
        <f t="shared" si="169"/>
        <v>-7.7526420586530733</v>
      </c>
      <c r="AH493" s="39">
        <f t="shared" si="170"/>
        <v>0.28417787542899786</v>
      </c>
      <c r="AI493" s="39">
        <f t="shared" si="171"/>
        <v>-26.937626255322961</v>
      </c>
      <c r="AJ493" s="39">
        <f t="shared" si="172"/>
        <v>-3.8268630237044667</v>
      </c>
      <c r="AK493" s="37">
        <f t="shared" si="173"/>
        <v>111849.50111128209</v>
      </c>
      <c r="AL493" s="37">
        <f t="shared" si="174"/>
        <v>151909.46196077828</v>
      </c>
      <c r="AM493" s="37">
        <f t="shared" si="175"/>
        <v>138181.14726846153</v>
      </c>
    </row>
    <row r="494" spans="12:39">
      <c r="L494">
        <v>490</v>
      </c>
      <c r="M494" s="37">
        <f t="shared" si="160"/>
        <v>3.0787608005180189</v>
      </c>
      <c r="N494" s="37">
        <f t="shared" si="154"/>
        <v>15009.866357858635</v>
      </c>
      <c r="O494" s="37">
        <f t="shared" si="155"/>
        <v>7813.9525976464593</v>
      </c>
      <c r="R494" s="37">
        <f t="shared" si="156"/>
        <v>-23493.093549498954</v>
      </c>
      <c r="S494" s="37">
        <f t="shared" si="157"/>
        <v>10219.766818352522</v>
      </c>
      <c r="V494" s="37">
        <f t="shared" si="158"/>
        <v>-9990.1336421413653</v>
      </c>
      <c r="W494" s="37">
        <f t="shared" si="159"/>
        <v>-14686.047402353541</v>
      </c>
      <c r="Y494" s="37">
        <f t="shared" si="161"/>
        <v>132385.44368881031</v>
      </c>
      <c r="Z494" s="37">
        <f t="shared" si="162"/>
        <v>5023.9586566739845</v>
      </c>
      <c r="AA494" s="37">
        <f t="shared" si="163"/>
        <v>1136.8609365191401</v>
      </c>
      <c r="AB494" s="37">
        <f t="shared" si="164"/>
        <v>1176.5106629037264</v>
      </c>
      <c r="AC494" s="37">
        <f t="shared" si="165"/>
        <v>-75.307220672538676</v>
      </c>
      <c r="AD494" s="37">
        <f t="shared" si="166"/>
        <v>-2.7341372567116249</v>
      </c>
      <c r="AE494" s="39">
        <f t="shared" si="167"/>
        <v>-40.93807939758215</v>
      </c>
      <c r="AF494" s="39">
        <f t="shared" si="168"/>
        <v>0.90193510634214591</v>
      </c>
      <c r="AG494" s="39">
        <f t="shared" si="169"/>
        <v>-7.6973244488431414</v>
      </c>
      <c r="AH494" s="39">
        <f t="shared" si="170"/>
        <v>0.25135080991499026</v>
      </c>
      <c r="AI494" s="39">
        <f t="shared" si="171"/>
        <v>-26.671816826113389</v>
      </c>
      <c r="AJ494" s="39">
        <f t="shared" si="172"/>
        <v>-3.8874231729687612</v>
      </c>
      <c r="AK494" s="37">
        <f t="shared" si="173"/>
        <v>112412.71606835506</v>
      </c>
      <c r="AL494" s="37">
        <f t="shared" si="174"/>
        <v>152466.66663794441</v>
      </c>
      <c r="AM494" s="37">
        <f t="shared" si="175"/>
        <v>138837.02336860821</v>
      </c>
    </row>
    <row r="495" spans="12:39">
      <c r="L495">
        <v>491</v>
      </c>
      <c r="M495" s="37">
        <f t="shared" si="160"/>
        <v>3.0850439858251986</v>
      </c>
      <c r="N495" s="37">
        <f t="shared" si="154"/>
        <v>15007.992249455119</v>
      </c>
      <c r="O495" s="37">
        <f t="shared" si="155"/>
        <v>7782.5926724100145</v>
      </c>
      <c r="R495" s="37">
        <f t="shared" si="156"/>
        <v>-23494.405425381417</v>
      </c>
      <c r="S495" s="37">
        <f t="shared" si="157"/>
        <v>10197.814870687011</v>
      </c>
      <c r="V495" s="37">
        <f t="shared" si="158"/>
        <v>-9992.0077505448808</v>
      </c>
      <c r="W495" s="37">
        <f t="shared" si="159"/>
        <v>-14717.407327589985</v>
      </c>
      <c r="Y495" s="37">
        <f t="shared" si="161"/>
        <v>132944.46075448583</v>
      </c>
      <c r="Z495" s="37">
        <f t="shared" si="162"/>
        <v>5611.8722209687594</v>
      </c>
      <c r="AA495" s="37">
        <f t="shared" si="163"/>
        <v>1099.2073261828707</v>
      </c>
      <c r="AB495" s="37">
        <f t="shared" si="164"/>
        <v>1175.1435942753706</v>
      </c>
      <c r="AC495" s="37">
        <f t="shared" si="165"/>
        <v>-74.610983387102692</v>
      </c>
      <c r="AD495" s="37">
        <f t="shared" si="166"/>
        <v>-3.0498831026641104</v>
      </c>
      <c r="AE495" s="39">
        <f t="shared" si="167"/>
        <v>-40.550973335025169</v>
      </c>
      <c r="AF495" s="39">
        <f t="shared" si="168"/>
        <v>0.67790326952864899</v>
      </c>
      <c r="AG495" s="39">
        <f t="shared" si="169"/>
        <v>-7.6441140786363748</v>
      </c>
      <c r="AH495" s="39">
        <f t="shared" si="170"/>
        <v>0.21931718984183121</v>
      </c>
      <c r="AI495" s="39">
        <f t="shared" si="171"/>
        <v>-26.415895973441138</v>
      </c>
      <c r="AJ495" s="39">
        <f t="shared" si="172"/>
        <v>-3.9471035620345907</v>
      </c>
      <c r="AK495" s="37">
        <f t="shared" si="173"/>
        <v>112960.2418624869</v>
      </c>
      <c r="AL495" s="37">
        <f t="shared" si="174"/>
        <v>153007.39766718983</v>
      </c>
      <c r="AM495" s="37">
        <f t="shared" si="175"/>
        <v>139475.88870231094</v>
      </c>
    </row>
    <row r="496" spans="12:39">
      <c r="L496">
        <v>492</v>
      </c>
      <c r="M496" s="37">
        <f t="shared" si="160"/>
        <v>3.0913271711323782</v>
      </c>
      <c r="N496" s="37">
        <f t="shared" si="154"/>
        <v>15006.315216969906</v>
      </c>
      <c r="O496" s="37">
        <f t="shared" si="155"/>
        <v>7751.22159089874</v>
      </c>
      <c r="R496" s="37">
        <f t="shared" si="156"/>
        <v>-23495.579348121064</v>
      </c>
      <c r="S496" s="37">
        <f t="shared" si="157"/>
        <v>10175.855113629117</v>
      </c>
      <c r="V496" s="37">
        <f t="shared" si="158"/>
        <v>-9993.684783030094</v>
      </c>
      <c r="W496" s="37">
        <f t="shared" si="159"/>
        <v>-14748.77840910126</v>
      </c>
      <c r="Y496" s="37">
        <f t="shared" si="161"/>
        <v>133484.73804465387</v>
      </c>
      <c r="Z496" s="37">
        <f t="shared" si="162"/>
        <v>6199.0627827186117</v>
      </c>
      <c r="AA496" s="37">
        <f t="shared" si="163"/>
        <v>1061.9018344893193</v>
      </c>
      <c r="AB496" s="37">
        <f t="shared" si="164"/>
        <v>1173.6186527240386</v>
      </c>
      <c r="AC496" s="37">
        <f t="shared" si="165"/>
        <v>-73.941503556019057</v>
      </c>
      <c r="AD496" s="37">
        <f t="shared" si="166"/>
        <v>-3.3573605950995891</v>
      </c>
      <c r="AE496" s="39">
        <f t="shared" si="167"/>
        <v>-40.179085088762946</v>
      </c>
      <c r="AF496" s="39">
        <f t="shared" si="168"/>
        <v>0.46059468479118354</v>
      </c>
      <c r="AG496" s="39">
        <f t="shared" si="169"/>
        <v>-7.5929438987500584</v>
      </c>
      <c r="AH496" s="39">
        <f t="shared" si="170"/>
        <v>0.1880336991231813</v>
      </c>
      <c r="AI496" s="39">
        <f t="shared" si="171"/>
        <v>-26.16947456850605</v>
      </c>
      <c r="AJ496" s="39">
        <f t="shared" si="172"/>
        <v>-4.0059889790139538</v>
      </c>
      <c r="AK496" s="37">
        <f t="shared" si="173"/>
        <v>113492.19447480526</v>
      </c>
      <c r="AL496" s="37">
        <f t="shared" si="174"/>
        <v>153531.79454551337</v>
      </c>
      <c r="AM496" s="37">
        <f t="shared" si="175"/>
        <v>140097.90481717439</v>
      </c>
    </row>
    <row r="497" spans="12:39">
      <c r="L497">
        <v>493</v>
      </c>
      <c r="M497" s="37">
        <f t="shared" si="160"/>
        <v>3.0976103564395578</v>
      </c>
      <c r="N497" s="37">
        <f t="shared" si="154"/>
        <v>15004.835326609373</v>
      </c>
      <c r="O497" s="37">
        <f t="shared" si="155"/>
        <v>7719.8405915892163</v>
      </c>
      <c r="R497" s="37">
        <f t="shared" si="156"/>
        <v>-23496.615271373441</v>
      </c>
      <c r="S497" s="37">
        <f t="shared" si="157"/>
        <v>10153.888414112451</v>
      </c>
      <c r="V497" s="37">
        <f t="shared" si="158"/>
        <v>-9995.1646733906273</v>
      </c>
      <c r="W497" s="37">
        <f t="shared" si="159"/>
        <v>-14780.159408410784</v>
      </c>
      <c r="Y497" s="37">
        <f t="shared" si="161"/>
        <v>134006.44627395403</v>
      </c>
      <c r="Z497" s="37">
        <f t="shared" si="162"/>
        <v>6785.4524390062434</v>
      </c>
      <c r="AA497" s="37">
        <f t="shared" si="163"/>
        <v>1024.9310827113097</v>
      </c>
      <c r="AB497" s="37">
        <f t="shared" si="164"/>
        <v>1171.9399724264888</v>
      </c>
      <c r="AC497" s="37">
        <f t="shared" si="165"/>
        <v>-73.29779553087215</v>
      </c>
      <c r="AD497" s="37">
        <f t="shared" si="166"/>
        <v>-3.6571127514107276</v>
      </c>
      <c r="AE497" s="39">
        <f t="shared" si="167"/>
        <v>-39.821858776047435</v>
      </c>
      <c r="AF497" s="39">
        <f t="shared" si="168"/>
        <v>0.24958774694447494</v>
      </c>
      <c r="AG497" s="39">
        <f t="shared" si="169"/>
        <v>-7.543750574988481</v>
      </c>
      <c r="AH497" s="39">
        <f t="shared" si="170"/>
        <v>0.15745928562261519</v>
      </c>
      <c r="AI497" s="39">
        <f t="shared" si="171"/>
        <v>-25.932186179836229</v>
      </c>
      <c r="AJ497" s="39">
        <f t="shared" si="172"/>
        <v>-4.0641597839778179</v>
      </c>
      <c r="AK497" s="37">
        <f t="shared" si="173"/>
        <v>114008.68550348649</v>
      </c>
      <c r="AL497" s="37">
        <f t="shared" si="174"/>
        <v>154039.99094376169</v>
      </c>
      <c r="AM497" s="37">
        <f t="shared" si="175"/>
        <v>140703.22684176746</v>
      </c>
    </row>
    <row r="498" spans="12:39">
      <c r="L498">
        <v>494</v>
      </c>
      <c r="M498" s="37">
        <f t="shared" si="160"/>
        <v>3.1038935417467375</v>
      </c>
      <c r="N498" s="37">
        <f t="shared" si="154"/>
        <v>15003.552636797049</v>
      </c>
      <c r="O498" s="37">
        <f t="shared" si="155"/>
        <v>7688.450913349564</v>
      </c>
      <c r="R498" s="37">
        <f t="shared" si="156"/>
        <v>-23497.513154242064</v>
      </c>
      <c r="S498" s="37">
        <f t="shared" si="157"/>
        <v>10131.915639344696</v>
      </c>
      <c r="V498" s="37">
        <f t="shared" si="158"/>
        <v>-9996.4473632029512</v>
      </c>
      <c r="W498" s="37">
        <f t="shared" si="159"/>
        <v>-14811.549086650437</v>
      </c>
      <c r="Y498" s="37">
        <f t="shared" si="161"/>
        <v>134509.74959086833</v>
      </c>
      <c r="Z498" s="37">
        <f t="shared" si="162"/>
        <v>7370.9652861255618</v>
      </c>
      <c r="AA498" s="37">
        <f t="shared" si="163"/>
        <v>988.28218494587361</v>
      </c>
      <c r="AB498" s="37">
        <f t="shared" si="164"/>
        <v>1170.1114160507834</v>
      </c>
      <c r="AC498" s="37">
        <f t="shared" si="165"/>
        <v>-72.678930091105769</v>
      </c>
      <c r="AD498" s="37">
        <f t="shared" si="166"/>
        <v>-3.949650828630662</v>
      </c>
      <c r="AE498" s="39">
        <f t="shared" si="167"/>
        <v>-39.478770270627805</v>
      </c>
      <c r="AF498" s="39">
        <f t="shared" si="168"/>
        <v>4.4486446299864875E-2</v>
      </c>
      <c r="AG498" s="39">
        <f t="shared" si="169"/>
        <v>-7.4964742711528967</v>
      </c>
      <c r="AH498" s="39">
        <f t="shared" si="170"/>
        <v>0.1275549998800356</v>
      </c>
      <c r="AI498" s="39">
        <f t="shared" si="171"/>
        <v>-25.703685549325058</v>
      </c>
      <c r="AJ498" s="39">
        <f t="shared" si="172"/>
        <v>-4.1216922748105622</v>
      </c>
      <c r="AK498" s="37">
        <f t="shared" si="173"/>
        <v>114509.8222918923</v>
      </c>
      <c r="AL498" s="37">
        <f t="shared" si="174"/>
        <v>154532.11492165501</v>
      </c>
      <c r="AM498" s="37">
        <f t="shared" si="175"/>
        <v>141292.00373248241</v>
      </c>
    </row>
    <row r="499" spans="12:39">
      <c r="L499">
        <v>495</v>
      </c>
      <c r="M499" s="37">
        <f t="shared" si="160"/>
        <v>3.1101767270539171</v>
      </c>
      <c r="N499" s="37">
        <f t="shared" si="154"/>
        <v>15002.46719817134</v>
      </c>
      <c r="O499" s="37">
        <f t="shared" si="155"/>
        <v>7657.0537953905323</v>
      </c>
      <c r="R499" s="37">
        <f t="shared" si="156"/>
        <v>-23498.272961280061</v>
      </c>
      <c r="S499" s="37">
        <f t="shared" si="157"/>
        <v>10109.937656773373</v>
      </c>
      <c r="V499" s="37">
        <f t="shared" si="158"/>
        <v>-9997.53280182866</v>
      </c>
      <c r="W499" s="37">
        <f t="shared" si="159"/>
        <v>-14842.946204609467</v>
      </c>
      <c r="Y499" s="37">
        <f t="shared" si="161"/>
        <v>134994.80581707988</v>
      </c>
      <c r="Z499" s="37">
        <f t="shared" si="162"/>
        <v>7955.5272877973748</v>
      </c>
      <c r="AA499" s="37">
        <f t="shared" si="163"/>
        <v>951.94271990032075</v>
      </c>
      <c r="AB499" s="37">
        <f t="shared" si="164"/>
        <v>1168.1365906364681</v>
      </c>
      <c r="AC499" s="37">
        <f t="shared" si="165"/>
        <v>-72.084030889066568</v>
      </c>
      <c r="AD499" s="37">
        <f t="shared" si="166"/>
        <v>-4.2354568417322369</v>
      </c>
      <c r="AE499" s="39">
        <f t="shared" si="167"/>
        <v>-39.149325248639812</v>
      </c>
      <c r="AF499" s="39">
        <f t="shared" si="168"/>
        <v>-0.15508166497517931</v>
      </c>
      <c r="AG499" s="39">
        <f t="shared" si="169"/>
        <v>-7.4510584483274611</v>
      </c>
      <c r="AH499" s="39">
        <f t="shared" si="170"/>
        <v>9.8283846315536674E-2</v>
      </c>
      <c r="AI499" s="39">
        <f t="shared" si="171"/>
        <v>-25.483647192099301</v>
      </c>
      <c r="AJ499" s="39">
        <f t="shared" si="172"/>
        <v>-4.1786590230725942</v>
      </c>
      <c r="AK499" s="37">
        <f t="shared" si="173"/>
        <v>114995.70805042176</v>
      </c>
      <c r="AL499" s="37">
        <f t="shared" si="174"/>
        <v>155008.28912979216</v>
      </c>
      <c r="AM499" s="37">
        <f t="shared" si="175"/>
        <v>141864.37850575004</v>
      </c>
    </row>
    <row r="500" spans="12:39">
      <c r="L500">
        <v>496</v>
      </c>
      <c r="M500" s="37">
        <f t="shared" si="160"/>
        <v>3.1164599123610968</v>
      </c>
      <c r="N500" s="37">
        <f t="shared" si="154"/>
        <v>15001.579053583497</v>
      </c>
      <c r="O500" s="37">
        <f t="shared" si="155"/>
        <v>7625.6504772165781</v>
      </c>
      <c r="R500" s="37">
        <f t="shared" si="156"/>
        <v>-23498.894662491552</v>
      </c>
      <c r="S500" s="37">
        <f t="shared" si="157"/>
        <v>10087.955334051605</v>
      </c>
      <c r="V500" s="37">
        <f t="shared" si="158"/>
        <v>-9998.4209464165033</v>
      </c>
      <c r="W500" s="37">
        <f t="shared" si="159"/>
        <v>-14874.349522783423</v>
      </c>
      <c r="Y500" s="37">
        <f t="shared" si="161"/>
        <v>135461.76667316892</v>
      </c>
      <c r="Z500" s="37">
        <f t="shared" si="162"/>
        <v>8539.0661510103928</v>
      </c>
      <c r="AA500" s="37">
        <f t="shared" si="163"/>
        <v>915.90070445578749</v>
      </c>
      <c r="AB500" s="37">
        <f t="shared" si="164"/>
        <v>1166.018862215602</v>
      </c>
      <c r="AC500" s="37">
        <f t="shared" si="165"/>
        <v>-71.512271170186324</v>
      </c>
      <c r="AD500" s="37">
        <f t="shared" si="166"/>
        <v>-4.5149858683635946</v>
      </c>
      <c r="AE500" s="39">
        <f t="shared" si="167"/>
        <v>-38.83305738216513</v>
      </c>
      <c r="AF500" s="39">
        <f t="shared" si="168"/>
        <v>-0.34946733129650465</v>
      </c>
      <c r="AG500" s="39">
        <f t="shared" si="169"/>
        <v>-7.4074496791818776</v>
      </c>
      <c r="AH500" s="39">
        <f t="shared" si="170"/>
        <v>6.9610645772184829E-2</v>
      </c>
      <c r="AI500" s="39">
        <f t="shared" si="171"/>
        <v>-25.271764108839314</v>
      </c>
      <c r="AJ500" s="39">
        <f t="shared" si="172"/>
        <v>-4.235129182839275</v>
      </c>
      <c r="AK500" s="37">
        <f t="shared" si="173"/>
        <v>115466.4419723561</v>
      </c>
      <c r="AL500" s="37">
        <f t="shared" si="174"/>
        <v>155468.63099948471</v>
      </c>
      <c r="AM500" s="37">
        <f t="shared" si="175"/>
        <v>142420.48845657494</v>
      </c>
    </row>
    <row r="501" spans="12:39">
      <c r="L501">
        <v>497</v>
      </c>
      <c r="M501" s="37">
        <f t="shared" si="160"/>
        <v>3.1227430976682764</v>
      </c>
      <c r="N501" s="37">
        <f t="shared" si="154"/>
        <v>15000.888238095953</v>
      </c>
      <c r="O501" s="37">
        <f t="shared" si="155"/>
        <v>7594.2421985769315</v>
      </c>
      <c r="R501" s="37">
        <f t="shared" si="156"/>
        <v>-23499.378233332834</v>
      </c>
      <c r="S501" s="37">
        <f t="shared" si="157"/>
        <v>10065.969539003852</v>
      </c>
      <c r="V501" s="37">
        <f t="shared" si="158"/>
        <v>-9999.1117619040469</v>
      </c>
      <c r="W501" s="37">
        <f t="shared" si="159"/>
        <v>-14905.757801423069</v>
      </c>
      <c r="Y501" s="37">
        <f t="shared" si="161"/>
        <v>135910.77799150054</v>
      </c>
      <c r="Z501" s="37">
        <f t="shared" si="162"/>
        <v>9121.511208884649</v>
      </c>
      <c r="AA501" s="37">
        <f t="shared" si="163"/>
        <v>880.14456887069434</v>
      </c>
      <c r="AB501" s="37">
        <f t="shared" si="164"/>
        <v>1163.7613692814202</v>
      </c>
      <c r="AC501" s="37">
        <f t="shared" si="165"/>
        <v>-70.96287074473274</v>
      </c>
      <c r="AD501" s="37">
        <f t="shared" si="166"/>
        <v>-4.7886681611377977</v>
      </c>
      <c r="AE501" s="39">
        <f t="shared" si="167"/>
        <v>-38.529526668319676</v>
      </c>
      <c r="AF501" s="39">
        <f t="shared" si="168"/>
        <v>-0.53900129434280553</v>
      </c>
      <c r="AG501" s="39">
        <f t="shared" si="169"/>
        <v>-7.3655974760649121</v>
      </c>
      <c r="AH501" s="39">
        <f t="shared" si="170"/>
        <v>4.1501908373154865E-2</v>
      </c>
      <c r="AI501" s="39">
        <f t="shared" si="171"/>
        <v>-25.067746600348151</v>
      </c>
      <c r="AJ501" s="39">
        <f t="shared" si="172"/>
        <v>-4.2911687751681473</v>
      </c>
      <c r="AK501" s="37">
        <f t="shared" si="173"/>
        <v>115922.11934396069</v>
      </c>
      <c r="AL501" s="37">
        <f t="shared" si="174"/>
        <v>155913.25292120321</v>
      </c>
      <c r="AM501" s="37">
        <f t="shared" si="175"/>
        <v>142960.46536427579</v>
      </c>
    </row>
    <row r="502" spans="12:39">
      <c r="L502">
        <v>498</v>
      </c>
      <c r="M502" s="37">
        <f t="shared" si="160"/>
        <v>3.129026282975456</v>
      </c>
      <c r="N502" s="37">
        <f t="shared" si="154"/>
        <v>15000.394778980917</v>
      </c>
      <c r="O502" s="37">
        <f t="shared" si="155"/>
        <v>7562.8301994166532</v>
      </c>
      <c r="R502" s="37">
        <f t="shared" si="156"/>
        <v>-23499.723654713358</v>
      </c>
      <c r="S502" s="37">
        <f t="shared" si="157"/>
        <v>10043.981139591657</v>
      </c>
      <c r="V502" s="37">
        <f t="shared" si="158"/>
        <v>-9999.6052210190828</v>
      </c>
      <c r="W502" s="37">
        <f t="shared" si="159"/>
        <v>-14937.169800583346</v>
      </c>
      <c r="Y502" s="37">
        <f t="shared" si="161"/>
        <v>136341.9799170928</v>
      </c>
      <c r="Z502" s="37">
        <f t="shared" si="162"/>
        <v>9702.793310005216</v>
      </c>
      <c r="AA502" s="37">
        <f t="shared" si="163"/>
        <v>844.66313349832797</v>
      </c>
      <c r="AB502" s="37">
        <f t="shared" si="164"/>
        <v>1161.3670352008514</v>
      </c>
      <c r="AC502" s="37">
        <f t="shared" si="165"/>
        <v>-70.435093189850534</v>
      </c>
      <c r="AD502" s="37">
        <f t="shared" si="166"/>
        <v>-5.0569110863255764</v>
      </c>
      <c r="AE502" s="39">
        <f t="shared" si="167"/>
        <v>-38.238317882850119</v>
      </c>
      <c r="AF502" s="39">
        <f t="shared" si="168"/>
        <v>-0.72399585152512902</v>
      </c>
      <c r="AG502" s="39">
        <f t="shared" si="169"/>
        <v>-7.3254541317771178</v>
      </c>
      <c r="AH502" s="39">
        <f t="shared" si="170"/>
        <v>1.3925715769805613E-2</v>
      </c>
      <c r="AI502" s="39">
        <f t="shared" si="171"/>
        <v>-24.871321175223304</v>
      </c>
      <c r="AJ502" s="39">
        <f t="shared" si="172"/>
        <v>-4.346840950570253</v>
      </c>
      <c r="AK502" s="37">
        <f t="shared" si="173"/>
        <v>116362.83164909587</v>
      </c>
      <c r="AL502" s="37">
        <f t="shared" si="174"/>
        <v>156342.26241235356</v>
      </c>
      <c r="AM502" s="37">
        <f t="shared" si="175"/>
        <v>143484.43568624684</v>
      </c>
    </row>
    <row r="503" spans="12:39">
      <c r="L503">
        <v>499</v>
      </c>
      <c r="M503" s="37">
        <f t="shared" si="160"/>
        <v>3.1353094682826357</v>
      </c>
      <c r="N503" s="37">
        <f t="shared" si="154"/>
        <v>15000.098695719313</v>
      </c>
      <c r="O503" s="37">
        <f t="shared" si="155"/>
        <v>7531.4157198276844</v>
      </c>
      <c r="R503" s="37">
        <f t="shared" si="156"/>
        <v>-23499.930912996482</v>
      </c>
      <c r="S503" s="37">
        <f t="shared" si="157"/>
        <v>10021.991003879379</v>
      </c>
      <c r="V503" s="37">
        <f t="shared" si="158"/>
        <v>-9999.9013042806873</v>
      </c>
      <c r="W503" s="37">
        <f t="shared" si="159"/>
        <v>-14968.584280172316</v>
      </c>
      <c r="Y503" s="37">
        <f t="shared" si="161"/>
        <v>136755.50709719324</v>
      </c>
      <c r="Z503" s="37">
        <f t="shared" si="162"/>
        <v>10282.844713719851</v>
      </c>
      <c r="AA503" s="37">
        <f t="shared" si="163"/>
        <v>809.44558690340273</v>
      </c>
      <c r="AB503" s="37">
        <f t="shared" si="164"/>
        <v>1158.8385796576886</v>
      </c>
      <c r="AC503" s="37">
        <f t="shared" si="165"/>
        <v>-69.928243262643846</v>
      </c>
      <c r="AD503" s="37">
        <f t="shared" si="166"/>
        <v>-5.3201009057986326</v>
      </c>
      <c r="AE503" s="39">
        <f t="shared" si="167"/>
        <v>-37.959039148220512</v>
      </c>
      <c r="AF503" s="39">
        <f t="shared" si="168"/>
        <v>-0.90474628613085539</v>
      </c>
      <c r="AG503" s="39">
        <f t="shared" si="169"/>
        <v>-7.2869745720179422</v>
      </c>
      <c r="AH503" s="39">
        <f t="shared" si="170"/>
        <v>-1.314838805266544E-2</v>
      </c>
      <c r="AI503" s="39">
        <f t="shared" si="171"/>
        <v>-24.682229542405395</v>
      </c>
      <c r="AJ503" s="39">
        <f t="shared" si="172"/>
        <v>-4.4022062316151116</v>
      </c>
      <c r="AK503" s="37">
        <f t="shared" si="173"/>
        <v>116788.66666857456</v>
      </c>
      <c r="AL503" s="37">
        <f t="shared" si="174"/>
        <v>156755.76227504454</v>
      </c>
      <c r="AM503" s="37">
        <f t="shared" si="175"/>
        <v>143992.52074049012</v>
      </c>
    </row>
    <row r="504" spans="12:39">
      <c r="L504">
        <v>500</v>
      </c>
      <c r="M504" s="37">
        <f t="shared" si="160"/>
        <v>3.1415926535898153</v>
      </c>
      <c r="N504" s="37">
        <f t="shared" si="154"/>
        <v>15000</v>
      </c>
      <c r="O504" s="37">
        <f t="shared" si="155"/>
        <v>7499.99999999989</v>
      </c>
      <c r="R504" s="37">
        <f t="shared" si="156"/>
        <v>-23500</v>
      </c>
      <c r="S504" s="37">
        <f t="shared" si="157"/>
        <v>9999.9999999999236</v>
      </c>
      <c r="V504" s="37">
        <f t="shared" si="158"/>
        <v>-10000</v>
      </c>
      <c r="W504" s="37">
        <f t="shared" si="159"/>
        <v>-15000.000000000111</v>
      </c>
      <c r="Y504" s="37">
        <f t="shared" si="161"/>
        <v>137151.48886023712</v>
      </c>
      <c r="Z504" s="37">
        <f t="shared" si="162"/>
        <v>10861.59899093547</v>
      </c>
      <c r="AA504" s="37">
        <f t="shared" si="163"/>
        <v>774.48146527208075</v>
      </c>
      <c r="AB504" s="37">
        <f t="shared" si="164"/>
        <v>1156.1785292047894</v>
      </c>
      <c r="AC504" s="37">
        <f t="shared" si="165"/>
        <v>-69.44166450690345</v>
      </c>
      <c r="AD504" s="37">
        <f t="shared" si="166"/>
        <v>-5.5786044173069502</v>
      </c>
      <c r="AE504" s="39">
        <f t="shared" si="167"/>
        <v>-37.691320607099605</v>
      </c>
      <c r="AF504" s="39">
        <f t="shared" si="168"/>
        <v>-1.0815321815586088</v>
      </c>
      <c r="AG504" s="39">
        <f t="shared" si="169"/>
        <v>-7.250116218595263</v>
      </c>
      <c r="AH504" s="39">
        <f t="shared" si="170"/>
        <v>-3.9749498165188052E-2</v>
      </c>
      <c r="AI504" s="39">
        <f t="shared" si="171"/>
        <v>-24.500227681208589</v>
      </c>
      <c r="AJ504" s="39">
        <f t="shared" si="172"/>
        <v>-4.4573227375831532</v>
      </c>
      <c r="AK504" s="37">
        <f t="shared" si="173"/>
        <v>117199.70857449314</v>
      </c>
      <c r="AL504" s="37">
        <f t="shared" si="174"/>
        <v>157153.85074445492</v>
      </c>
      <c r="AM504" s="37">
        <f t="shared" si="175"/>
        <v>144484.83687761173</v>
      </c>
    </row>
    <row r="505" spans="12:39">
      <c r="L505">
        <v>501</v>
      </c>
      <c r="M505" s="37">
        <f t="shared" si="160"/>
        <v>3.147875838896995</v>
      </c>
      <c r="N505" s="37">
        <f t="shared" si="154"/>
        <v>15000.098695719316</v>
      </c>
      <c r="O505" s="37">
        <f t="shared" si="155"/>
        <v>7468.5842801720946</v>
      </c>
      <c r="R505" s="37">
        <f t="shared" si="156"/>
        <v>-23499.930912996479</v>
      </c>
      <c r="S505" s="37">
        <f t="shared" si="157"/>
        <v>9978.0089961204667</v>
      </c>
      <c r="V505" s="37">
        <f t="shared" si="158"/>
        <v>-9999.9013042806837</v>
      </c>
      <c r="W505" s="37">
        <f t="shared" si="159"/>
        <v>-15031.415719827906</v>
      </c>
      <c r="Y505" s="37">
        <f t="shared" si="161"/>
        <v>137530.0493848098</v>
      </c>
      <c r="Z505" s="37">
        <f t="shared" si="162"/>
        <v>11438.990929985703</v>
      </c>
      <c r="AA505" s="37">
        <f t="shared" si="163"/>
        <v>739.76063301862905</v>
      </c>
      <c r="AB505" s="37">
        <f t="shared" si="164"/>
        <v>1153.3892269961359</v>
      </c>
      <c r="AC505" s="37">
        <f t="shared" si="165"/>
        <v>-68.974737037708366</v>
      </c>
      <c r="AD505" s="37">
        <f t="shared" si="166"/>
        <v>-5.8327704666137459</v>
      </c>
      <c r="AE505" s="39">
        <f t="shared" si="167"/>
        <v>-37.434813192968079</v>
      </c>
      <c r="AF505" s="39">
        <f t="shared" si="168"/>
        <v>-1.2546186307641278</v>
      </c>
      <c r="AG505" s="39">
        <f t="shared" si="169"/>
        <v>-7.2148388625717166</v>
      </c>
      <c r="AH505" s="39">
        <f t="shared" si="170"/>
        <v>-6.5905442962110691E-2</v>
      </c>
      <c r="AI505" s="39">
        <f t="shared" si="171"/>
        <v>-24.325084982168573</v>
      </c>
      <c r="AJ505" s="39">
        <f t="shared" si="172"/>
        <v>-4.5122463928875076</v>
      </c>
      <c r="AK505" s="37">
        <f t="shared" si="173"/>
        <v>117596.03801974937</v>
      </c>
      <c r="AL505" s="37">
        <f t="shared" si="174"/>
        <v>157536.62162836042</v>
      </c>
      <c r="AM505" s="37">
        <f t="shared" si="175"/>
        <v>144961.49564291956</v>
      </c>
    </row>
    <row r="506" spans="12:39">
      <c r="L506">
        <v>502</v>
      </c>
      <c r="M506" s="37">
        <f t="shared" si="160"/>
        <v>3.1541590242041746</v>
      </c>
      <c r="N506" s="37">
        <f t="shared" si="154"/>
        <v>15000.394778980921</v>
      </c>
      <c r="O506" s="37">
        <f t="shared" si="155"/>
        <v>7437.1698005831258</v>
      </c>
      <c r="R506" s="37">
        <f t="shared" si="156"/>
        <v>-23499.723654713354</v>
      </c>
      <c r="S506" s="37">
        <f t="shared" si="157"/>
        <v>9956.0188604081886</v>
      </c>
      <c r="V506" s="37">
        <f t="shared" si="158"/>
        <v>-9999.6052210190792</v>
      </c>
      <c r="W506" s="37">
        <f t="shared" si="159"/>
        <v>-15062.830199416874</v>
      </c>
      <c r="Y506" s="37">
        <f t="shared" si="161"/>
        <v>137891.3078591894</v>
      </c>
      <c r="Z506" s="37">
        <f t="shared" si="162"/>
        <v>12014.956447175444</v>
      </c>
      <c r="AA506" s="37">
        <f t="shared" si="163"/>
        <v>705.27326449977488</v>
      </c>
      <c r="AB506" s="37">
        <f t="shared" si="164"/>
        <v>1150.4728417628289</v>
      </c>
      <c r="AC506" s="37">
        <f t="shared" si="165"/>
        <v>-68.526875489612536</v>
      </c>
      <c r="AD506" s="37">
        <f t="shared" si="166"/>
        <v>-6.0829313436321515</v>
      </c>
      <c r="AE506" s="39">
        <f t="shared" si="167"/>
        <v>-37.189187490319483</v>
      </c>
      <c r="AF506" s="39">
        <f t="shared" si="168"/>
        <v>-1.4242573508912535</v>
      </c>
      <c r="AG506" s="39">
        <f t="shared" si="169"/>
        <v>-7.1811045465952166</v>
      </c>
      <c r="AH506" s="39">
        <f t="shared" si="170"/>
        <v>-9.1642871923685698E-2</v>
      </c>
      <c r="AI506" s="39">
        <f t="shared" si="171"/>
        <v>-24.156583452697845</v>
      </c>
      <c r="AJ506" s="39">
        <f t="shared" si="172"/>
        <v>-4.5670311208172123</v>
      </c>
      <c r="AK506" s="37">
        <f t="shared" si="173"/>
        <v>117977.73222294987</v>
      </c>
      <c r="AL506" s="37">
        <f t="shared" si="174"/>
        <v>157904.16443833688</v>
      </c>
      <c r="AM506" s="37">
        <f t="shared" si="175"/>
        <v>145422.60392921188</v>
      </c>
    </row>
    <row r="507" spans="12:39">
      <c r="L507">
        <v>503</v>
      </c>
      <c r="M507" s="37">
        <f t="shared" si="160"/>
        <v>3.1604422095113542</v>
      </c>
      <c r="N507" s="37">
        <f t="shared" si="154"/>
        <v>15000.888238095957</v>
      </c>
      <c r="O507" s="37">
        <f t="shared" si="155"/>
        <v>7405.7578014228475</v>
      </c>
      <c r="R507" s="37">
        <f t="shared" si="156"/>
        <v>-23499.378233332831</v>
      </c>
      <c r="S507" s="37">
        <f t="shared" si="157"/>
        <v>9934.0304609959931</v>
      </c>
      <c r="V507" s="37">
        <f t="shared" si="158"/>
        <v>-9999.1117619040433</v>
      </c>
      <c r="W507" s="37">
        <f t="shared" si="159"/>
        <v>-15094.242198577153</v>
      </c>
      <c r="Y507" s="37">
        <f t="shared" si="161"/>
        <v>138235.37863200309</v>
      </c>
      <c r="Z507" s="37">
        <f t="shared" si="162"/>
        <v>12589.432501638905</v>
      </c>
      <c r="AA507" s="37">
        <f t="shared" si="163"/>
        <v>671.00982675496857</v>
      </c>
      <c r="AB507" s="37">
        <f t="shared" si="164"/>
        <v>1147.4313760910129</v>
      </c>
      <c r="AC507" s="37">
        <f t="shared" si="165"/>
        <v>-68.097527115451015</v>
      </c>
      <c r="AD507" s="37">
        <f t="shared" si="166"/>
        <v>-6.3294040734860797</v>
      </c>
      <c r="AE507" s="39">
        <f t="shared" si="167"/>
        <v>-36.954132677594934</v>
      </c>
      <c r="AF507" s="39">
        <f t="shared" si="168"/>
        <v>-1.5906877120476446</v>
      </c>
      <c r="AG507" s="39">
        <f t="shared" si="169"/>
        <v>-7.1488774557330483</v>
      </c>
      <c r="AH507" s="39">
        <f t="shared" si="170"/>
        <v>-0.11698733743456814</v>
      </c>
      <c r="AI507" s="39">
        <f t="shared" si="171"/>
        <v>-23.994516982123034</v>
      </c>
      <c r="AJ507" s="39">
        <f t="shared" si="172"/>
        <v>-4.6217290240038666</v>
      </c>
      <c r="AK507" s="37">
        <f t="shared" si="173"/>
        <v>118344.86504889796</v>
      </c>
      <c r="AL507" s="37">
        <f t="shared" si="174"/>
        <v>158256.56451311562</v>
      </c>
      <c r="AM507" s="37">
        <f t="shared" si="175"/>
        <v>145868.26412080106</v>
      </c>
    </row>
    <row r="508" spans="12:39">
      <c r="L508">
        <v>504</v>
      </c>
      <c r="M508" s="37">
        <f t="shared" si="160"/>
        <v>3.1667253948185339</v>
      </c>
      <c r="N508" s="37">
        <f t="shared" si="154"/>
        <v>15001.579053583504</v>
      </c>
      <c r="O508" s="37">
        <f t="shared" si="155"/>
        <v>7374.3495227832009</v>
      </c>
      <c r="R508" s="37">
        <f t="shared" si="156"/>
        <v>-23498.894662491548</v>
      </c>
      <c r="S508" s="37">
        <f t="shared" si="157"/>
        <v>9912.0446659482404</v>
      </c>
      <c r="V508" s="37">
        <f t="shared" si="158"/>
        <v>-9998.420946416496</v>
      </c>
      <c r="W508" s="37">
        <f t="shared" si="159"/>
        <v>-15125.650477216799</v>
      </c>
      <c r="Y508" s="37">
        <f t="shared" si="161"/>
        <v>138562.37135449116</v>
      </c>
      <c r="Z508" s="37">
        <f t="shared" si="162"/>
        <v>13162.357014175224</v>
      </c>
      <c r="AA508" s="37">
        <f t="shared" si="163"/>
        <v>636.96106319724311</v>
      </c>
      <c r="AB508" s="37">
        <f t="shared" si="164"/>
        <v>1144.26667405427</v>
      </c>
      <c r="AC508" s="37">
        <f t="shared" si="165"/>
        <v>-67.68617002398949</v>
      </c>
      <c r="AD508" s="37">
        <f t="shared" si="166"/>
        <v>-6.5724916123332182</v>
      </c>
      <c r="AE508" s="39">
        <f t="shared" si="167"/>
        <v>-36.729355546605369</v>
      </c>
      <c r="AF508" s="39">
        <f t="shared" si="168"/>
        <v>-1.7541376882858584</v>
      </c>
      <c r="AG508" s="39">
        <f t="shared" si="169"/>
        <v>-7.1181238161880733</v>
      </c>
      <c r="AH508" s="39">
        <f t="shared" si="170"/>
        <v>-0.14196337116808949</v>
      </c>
      <c r="AI508" s="39">
        <f t="shared" si="171"/>
        <v>-23.838690661196051</v>
      </c>
      <c r="AJ508" s="39">
        <f t="shared" si="172"/>
        <v>-4.67639055287927</v>
      </c>
      <c r="AK508" s="37">
        <f t="shared" si="173"/>
        <v>118697.50708484254</v>
      </c>
      <c r="AL508" s="37">
        <f t="shared" si="174"/>
        <v>158593.90313452994</v>
      </c>
      <c r="AM508" s="37">
        <f t="shared" si="175"/>
        <v>146298.57422927499</v>
      </c>
    </row>
    <row r="509" spans="12:39">
      <c r="L509">
        <v>505</v>
      </c>
      <c r="M509" s="37">
        <f t="shared" si="160"/>
        <v>3.1730085801257135</v>
      </c>
      <c r="N509" s="37">
        <f t="shared" si="154"/>
        <v>15002.467198171345</v>
      </c>
      <c r="O509" s="37">
        <f t="shared" si="155"/>
        <v>7342.9462046092467</v>
      </c>
      <c r="R509" s="37">
        <f t="shared" si="156"/>
        <v>-23498.272961280058</v>
      </c>
      <c r="S509" s="37">
        <f t="shared" si="157"/>
        <v>9890.0623432264729</v>
      </c>
      <c r="V509" s="37">
        <f t="shared" si="158"/>
        <v>-9997.5328018286546</v>
      </c>
      <c r="W509" s="37">
        <f t="shared" si="159"/>
        <v>-15157.053795390753</v>
      </c>
      <c r="Y509" s="37">
        <f t="shared" si="161"/>
        <v>138872.39111483676</v>
      </c>
      <c r="Z509" s="37">
        <f t="shared" si="162"/>
        <v>13733.668789750818</v>
      </c>
      <c r="AA509" s="37">
        <f t="shared" si="163"/>
        <v>603.11797818524838</v>
      </c>
      <c r="AB509" s="37">
        <f t="shared" si="164"/>
        <v>1140.9804282481034</v>
      </c>
      <c r="AC509" s="37">
        <f t="shared" si="165"/>
        <v>-67.292311545722342</v>
      </c>
      <c r="AD509" s="37">
        <f t="shared" si="166"/>
        <v>-6.8124839568269904</v>
      </c>
      <c r="AE509" s="39">
        <f t="shared" si="167"/>
        <v>-36.51457959274817</v>
      </c>
      <c r="AF509" s="39">
        <f t="shared" si="168"/>
        <v>-1.9148247380528767</v>
      </c>
      <c r="AG509" s="39">
        <f t="shared" si="169"/>
        <v>-7.0888118013332031</v>
      </c>
      <c r="AH509" s="39">
        <f t="shared" si="170"/>
        <v>-0.16659455550035673</v>
      </c>
      <c r="AI509" s="39">
        <f t="shared" si="171"/>
        <v>-23.688920151640971</v>
      </c>
      <c r="AJ509" s="39">
        <f t="shared" si="172"/>
        <v>-4.7310646632737567</v>
      </c>
      <c r="AK509" s="37">
        <f t="shared" si="173"/>
        <v>119035.72571265753</v>
      </c>
      <c r="AL509" s="37">
        <f t="shared" si="174"/>
        <v>158916.25763645838</v>
      </c>
      <c r="AM509" s="37">
        <f t="shared" si="175"/>
        <v>146713.6280214611</v>
      </c>
    </row>
    <row r="510" spans="12:39">
      <c r="L510">
        <v>506</v>
      </c>
      <c r="M510" s="37">
        <f t="shared" si="160"/>
        <v>3.1792917654328932</v>
      </c>
      <c r="N510" s="37">
        <f t="shared" si="154"/>
        <v>15003.552636797058</v>
      </c>
      <c r="O510" s="37">
        <f t="shared" si="155"/>
        <v>7311.549086650215</v>
      </c>
      <c r="R510" s="37">
        <f t="shared" si="156"/>
        <v>-23497.51315424206</v>
      </c>
      <c r="S510" s="37">
        <f t="shared" si="157"/>
        <v>9868.0843606551516</v>
      </c>
      <c r="V510" s="37">
        <f t="shared" si="158"/>
        <v>-9996.4473632029421</v>
      </c>
      <c r="W510" s="37">
        <f t="shared" si="159"/>
        <v>-15188.450913349785</v>
      </c>
      <c r="Y510" s="37">
        <f t="shared" si="161"/>
        <v>139165.53856498617</v>
      </c>
      <c r="Z510" s="37">
        <f t="shared" si="162"/>
        <v>14303.307443380265</v>
      </c>
      <c r="AA510" s="37">
        <f t="shared" si="163"/>
        <v>569.47182241238716</v>
      </c>
      <c r="AB510" s="37">
        <f t="shared" si="164"/>
        <v>1137.57418626969</v>
      </c>
      <c r="AC510" s="37">
        <f t="shared" si="165"/>
        <v>-66.915486717085997</v>
      </c>
      <c r="AD510" s="37">
        <f t="shared" si="166"/>
        <v>-7.0496591752384417</v>
      </c>
      <c r="AE510" s="39">
        <f t="shared" si="167"/>
        <v>-36.30954417082264</v>
      </c>
      <c r="AF510" s="39">
        <f t="shared" si="168"/>
        <v>-2.0729566206625138</v>
      </c>
      <c r="AG510" s="39">
        <f t="shared" si="169"/>
        <v>-7.0609114445499319</v>
      </c>
      <c r="AH510" s="39">
        <f t="shared" si="170"/>
        <v>-0.1909035903772256</v>
      </c>
      <c r="AI510" s="39">
        <f t="shared" si="171"/>
        <v>-23.545031101713427</v>
      </c>
      <c r="AJ510" s="39">
        <f t="shared" si="172"/>
        <v>-4.785798964198702</v>
      </c>
      <c r="AK510" s="37">
        <f t="shared" si="173"/>
        <v>119359.58517711244</v>
      </c>
      <c r="AL510" s="37">
        <f t="shared" si="174"/>
        <v>159223.70150713852</v>
      </c>
      <c r="AM510" s="37">
        <f t="shared" si="175"/>
        <v>147113.515140023</v>
      </c>
    </row>
    <row r="511" spans="12:39">
      <c r="L511">
        <v>507</v>
      </c>
      <c r="M511" s="37">
        <f t="shared" si="160"/>
        <v>3.1855749507400728</v>
      </c>
      <c r="N511" s="37">
        <f t="shared" si="154"/>
        <v>15004.835326609382</v>
      </c>
      <c r="O511" s="37">
        <f t="shared" si="155"/>
        <v>7280.1594084105636</v>
      </c>
      <c r="R511" s="37">
        <f t="shared" si="156"/>
        <v>-23496.615271373434</v>
      </c>
      <c r="S511" s="37">
        <f t="shared" si="157"/>
        <v>9846.1115858873945</v>
      </c>
      <c r="V511" s="37">
        <f t="shared" si="158"/>
        <v>-9995.1646733906182</v>
      </c>
      <c r="W511" s="37">
        <f t="shared" si="159"/>
        <v>-15219.840591589436</v>
      </c>
      <c r="Y511" s="37">
        <f t="shared" si="161"/>
        <v>139441.91004035273</v>
      </c>
      <c r="Z511" s="37">
        <f t="shared" si="162"/>
        <v>14871.213329118204</v>
      </c>
      <c r="AA511" s="37">
        <f t="shared" si="163"/>
        <v>536.01407905384417</v>
      </c>
      <c r="AB511" s="37">
        <f t="shared" si="164"/>
        <v>1134.0493566820708</v>
      </c>
      <c r="AC511" s="37">
        <f t="shared" si="165"/>
        <v>-66.555256874232484</v>
      </c>
      <c r="AD511" s="37">
        <f t="shared" si="166"/>
        <v>-7.2842843674987439</v>
      </c>
      <c r="AE511" s="39">
        <f t="shared" si="167"/>
        <v>-36.114003711704285</v>
      </c>
      <c r="AF511" s="39">
        <f t="shared" si="168"/>
        <v>-2.2287321547152379</v>
      </c>
      <c r="AG511" s="39">
        <f t="shared" si="169"/>
        <v>-7.0343945584034362</v>
      </c>
      <c r="AH511" s="39">
        <f t="shared" si="170"/>
        <v>-0.21491235602044079</v>
      </c>
      <c r="AI511" s="39">
        <f t="shared" si="171"/>
        <v>-23.406858604124761</v>
      </c>
      <c r="AJ511" s="39">
        <f t="shared" si="172"/>
        <v>-4.8406398567630653</v>
      </c>
      <c r="AK511" s="37">
        <f t="shared" si="173"/>
        <v>119669.14665038389</v>
      </c>
      <c r="AL511" s="37">
        <f t="shared" si="174"/>
        <v>159516.30448519584</v>
      </c>
      <c r="AM511" s="37">
        <f t="shared" si="175"/>
        <v>147498.32121708721</v>
      </c>
    </row>
    <row r="512" spans="12:39">
      <c r="L512">
        <v>508</v>
      </c>
      <c r="M512" s="37">
        <f t="shared" si="160"/>
        <v>3.1918581360472524</v>
      </c>
      <c r="N512" s="37">
        <f t="shared" si="154"/>
        <v>15006.315216969917</v>
      </c>
      <c r="O512" s="37">
        <f t="shared" si="155"/>
        <v>7248.7784091010399</v>
      </c>
      <c r="R512" s="37">
        <f t="shared" si="156"/>
        <v>-23495.579348121057</v>
      </c>
      <c r="S512" s="37">
        <f t="shared" si="157"/>
        <v>9824.1448863707283</v>
      </c>
      <c r="V512" s="37">
        <f t="shared" si="158"/>
        <v>-9993.6847830300831</v>
      </c>
      <c r="W512" s="37">
        <f t="shared" si="159"/>
        <v>-15251.22159089896</v>
      </c>
      <c r="Y512" s="37">
        <f t="shared" si="161"/>
        <v>139701.59767277035</v>
      </c>
      <c r="Z512" s="37">
        <f t="shared" si="162"/>
        <v>15437.327471913301</v>
      </c>
      <c r="AA512" s="37">
        <f t="shared" si="163"/>
        <v>502.73645061672795</v>
      </c>
      <c r="AB512" s="37">
        <f t="shared" si="164"/>
        <v>1130.4072144983213</v>
      </c>
      <c r="AC512" s="37">
        <f t="shared" si="165"/>
        <v>-66.211208348303813</v>
      </c>
      <c r="AD512" s="37">
        <f t="shared" si="166"/>
        <v>-7.5166165607458755</v>
      </c>
      <c r="AE512" s="39">
        <f t="shared" si="167"/>
        <v>-35.92772699555708</v>
      </c>
      <c r="AF512" s="39">
        <f t="shared" si="168"/>
        <v>-2.3823419238296988</v>
      </c>
      <c r="AG512" s="39">
        <f t="shared" si="169"/>
        <v>-7.009234659727432</v>
      </c>
      <c r="AH512" s="39">
        <f t="shared" si="170"/>
        <v>-0.23864197182619032</v>
      </c>
      <c r="AI512" s="39">
        <f t="shared" si="171"/>
        <v>-23.2742466930193</v>
      </c>
      <c r="AJ512" s="39">
        <f t="shared" si="172"/>
        <v>-4.8956326650899857</v>
      </c>
      <c r="AK512" s="37">
        <f t="shared" si="173"/>
        <v>119964.46829294985</v>
      </c>
      <c r="AL512" s="37">
        <f t="shared" si="174"/>
        <v>159794.13264970723</v>
      </c>
      <c r="AM512" s="37">
        <f t="shared" si="175"/>
        <v>147868.12798126845</v>
      </c>
    </row>
    <row r="513" spans="12:39">
      <c r="L513">
        <v>509</v>
      </c>
      <c r="M513" s="37">
        <f t="shared" si="160"/>
        <v>3.1981413213544321</v>
      </c>
      <c r="N513" s="37">
        <f t="shared" si="154"/>
        <v>15007.992249455132</v>
      </c>
      <c r="O513" s="37">
        <f t="shared" si="155"/>
        <v>7217.4073275897645</v>
      </c>
      <c r="R513" s="37">
        <f t="shared" si="156"/>
        <v>-23494.40542538141</v>
      </c>
      <c r="S513" s="37">
        <f t="shared" si="157"/>
        <v>9802.1851293128348</v>
      </c>
      <c r="V513" s="37">
        <f t="shared" si="158"/>
        <v>-9992.007750544868</v>
      </c>
      <c r="W513" s="37">
        <f t="shared" si="159"/>
        <v>-15282.592672410236</v>
      </c>
      <c r="Y513" s="37">
        <f t="shared" si="161"/>
        <v>139944.68949703517</v>
      </c>
      <c r="Z513" s="37">
        <f t="shared" si="162"/>
        <v>16001.591502092368</v>
      </c>
      <c r="AA513" s="37">
        <f t="shared" si="163"/>
        <v>469.63084644257606</v>
      </c>
      <c r="AB513" s="37">
        <f t="shared" si="164"/>
        <v>1126.6489062179485</v>
      </c>
      <c r="AC513" s="37">
        <f t="shared" si="165"/>
        <v>-65.882951254860046</v>
      </c>
      <c r="AD513" s="37">
        <f t="shared" si="166"/>
        <v>-7.7469035463557532</v>
      </c>
      <c r="AE513" s="39">
        <f t="shared" si="167"/>
        <v>-35.750496477631579</v>
      </c>
      <c r="AF513" s="39">
        <f t="shared" si="168"/>
        <v>-2.5339689345506917</v>
      </c>
      <c r="AG513" s="39">
        <f t="shared" si="169"/>
        <v>-6.985406900231232</v>
      </c>
      <c r="AH513" s="39">
        <f t="shared" si="170"/>
        <v>-0.2621128517796914</v>
      </c>
      <c r="AI513" s="39">
        <f t="shared" si="171"/>
        <v>-23.147047876997227</v>
      </c>
      <c r="AJ513" s="39">
        <f t="shared" si="172"/>
        <v>-4.9508217600253701</v>
      </c>
      <c r="AK513" s="37">
        <f t="shared" si="173"/>
        <v>120245.60531099932</v>
      </c>
      <c r="AL513" s="37">
        <f t="shared" si="174"/>
        <v>160057.24850459283</v>
      </c>
      <c r="AM513" s="37">
        <f t="shared" si="175"/>
        <v>148223.01335843414</v>
      </c>
    </row>
    <row r="514" spans="12:39">
      <c r="L514">
        <v>510</v>
      </c>
      <c r="M514" s="37">
        <f t="shared" si="160"/>
        <v>3.2044245066616117</v>
      </c>
      <c r="N514" s="37">
        <f t="shared" si="154"/>
        <v>15009.866357858649</v>
      </c>
      <c r="O514" s="37">
        <f t="shared" si="155"/>
        <v>7186.0474023533206</v>
      </c>
      <c r="R514" s="37">
        <f t="shared" si="156"/>
        <v>-23493.093549498946</v>
      </c>
      <c r="S514" s="37">
        <f t="shared" si="157"/>
        <v>9780.2331816473234</v>
      </c>
      <c r="V514" s="37">
        <f t="shared" si="158"/>
        <v>-9990.1336421413507</v>
      </c>
      <c r="W514" s="37">
        <f t="shared" si="159"/>
        <v>-15313.952597646679</v>
      </c>
      <c r="Y514" s="37">
        <f t="shared" si="161"/>
        <v>140171.2695513496</v>
      </c>
      <c r="Z514" s="37">
        <f t="shared" si="162"/>
        <v>16563.947592258046</v>
      </c>
      <c r="AA514" s="37">
        <f t="shared" si="163"/>
        <v>436.68937081514605</v>
      </c>
      <c r="AB514" s="37">
        <f t="shared" si="164"/>
        <v>1122.7754544447705</v>
      </c>
      <c r="AC514" s="37">
        <f t="shared" si="165"/>
        <v>-65.570118370767332</v>
      </c>
      <c r="AD514" s="37">
        <f t="shared" si="166"/>
        <v>-7.9753846639001553</v>
      </c>
      <c r="AE514" s="39">
        <f t="shared" si="167"/>
        <v>-35.582107663046152</v>
      </c>
      <c r="AF514" s="39">
        <f t="shared" si="168"/>
        <v>-2.6837892308537383</v>
      </c>
      <c r="AG514" s="39">
        <f t="shared" si="169"/>
        <v>-6.9628880022748589</v>
      </c>
      <c r="AH514" s="39">
        <f t="shared" si="170"/>
        <v>-0.28534475668273429</v>
      </c>
      <c r="AI514" s="39">
        <f t="shared" si="171"/>
        <v>-23.025122705446318</v>
      </c>
      <c r="AJ514" s="39">
        <f t="shared" si="172"/>
        <v>-5.0062506763636829</v>
      </c>
      <c r="AK514" s="37">
        <f t="shared" si="173"/>
        <v>120512.61001048116</v>
      </c>
      <c r="AL514" s="37">
        <f t="shared" si="174"/>
        <v>160305.71105760706</v>
      </c>
      <c r="AM514" s="37">
        <f t="shared" si="175"/>
        <v>148563.05156652315</v>
      </c>
    </row>
    <row r="515" spans="12:39">
      <c r="L515">
        <v>511</v>
      </c>
      <c r="M515" s="37">
        <f t="shared" si="160"/>
        <v>3.2107076919687914</v>
      </c>
      <c r="N515" s="37">
        <f t="shared" si="154"/>
        <v>15011.937468193883</v>
      </c>
      <c r="O515" s="37">
        <f t="shared" si="155"/>
        <v>7154.6998714278579</v>
      </c>
      <c r="R515" s="37">
        <f t="shared" si="156"/>
        <v>-23491.643772264284</v>
      </c>
      <c r="S515" s="37">
        <f t="shared" si="157"/>
        <v>9758.2899099995011</v>
      </c>
      <c r="V515" s="37">
        <f t="shared" si="158"/>
        <v>-9988.0625318061175</v>
      </c>
      <c r="W515" s="37">
        <f t="shared" si="159"/>
        <v>-15345.300128572142</v>
      </c>
      <c r="Y515" s="37">
        <f t="shared" si="161"/>
        <v>140381.41797196082</v>
      </c>
      <c r="Z515" s="37">
        <f t="shared" si="162"/>
        <v>17124.338396397441</v>
      </c>
      <c r="AA515" s="37">
        <f t="shared" si="163"/>
        <v>403.90431162976239</v>
      </c>
      <c r="AB515" s="37">
        <f t="shared" si="164"/>
        <v>1118.7877621128205</v>
      </c>
      <c r="AC515" s="37">
        <f t="shared" si="165"/>
        <v>-65.272364092444818</v>
      </c>
      <c r="AD515" s="37">
        <f t="shared" si="166"/>
        <v>-8.2022915369945881</v>
      </c>
      <c r="AE515" s="39">
        <f t="shared" si="167"/>
        <v>-35.422368527259898</v>
      </c>
      <c r="AF515" s="39">
        <f t="shared" si="168"/>
        <v>-2.8319724692697497</v>
      </c>
      <c r="AG515" s="39">
        <f t="shared" si="169"/>
        <v>-6.9416561994904198</v>
      </c>
      <c r="AH515" s="39">
        <f t="shared" si="170"/>
        <v>-0.30835684346715286</v>
      </c>
      <c r="AI515" s="39">
        <f t="shared" si="171"/>
        <v>-22.908339365694506</v>
      </c>
      <c r="AJ515" s="39">
        <f t="shared" si="172"/>
        <v>-5.0619622242576856</v>
      </c>
      <c r="AK515" s="37">
        <f t="shared" si="173"/>
        <v>120765.53184790892</v>
      </c>
      <c r="AL515" s="37">
        <f t="shared" si="174"/>
        <v>160539.57589417999</v>
      </c>
      <c r="AM515" s="37">
        <f t="shared" si="175"/>
        <v>148888.31320471136</v>
      </c>
    </row>
    <row r="516" spans="12:39">
      <c r="L516">
        <v>512</v>
      </c>
      <c r="M516" s="37">
        <f t="shared" si="160"/>
        <v>3.216990877275971</v>
      </c>
      <c r="N516" s="37">
        <f t="shared" si="154"/>
        <v>15014.205498696938</v>
      </c>
      <c r="O516" s="37">
        <f t="shared" si="155"/>
        <v>7123.3659723602232</v>
      </c>
      <c r="R516" s="37">
        <f t="shared" si="156"/>
        <v>-23490.056150912143</v>
      </c>
      <c r="S516" s="37">
        <f t="shared" si="157"/>
        <v>9736.3561806521557</v>
      </c>
      <c r="V516" s="37">
        <f t="shared" si="158"/>
        <v>-9985.7945013030621</v>
      </c>
      <c r="W516" s="37">
        <f t="shared" si="159"/>
        <v>-15376.634027639777</v>
      </c>
      <c r="Y516" s="37">
        <f t="shared" si="161"/>
        <v>140575.21108226414</v>
      </c>
      <c r="Z516" s="37">
        <f t="shared" si="162"/>
        <v>17682.706991011728</v>
      </c>
      <c r="AA516" s="37">
        <f t="shared" si="163"/>
        <v>371.26812958353997</v>
      </c>
      <c r="AB516" s="37">
        <f t="shared" si="164"/>
        <v>1114.6866163443233</v>
      </c>
      <c r="AC516" s="37">
        <f t="shared" si="165"/>
        <v>-64.989363469897185</v>
      </c>
      <c r="AD516" s="37">
        <f t="shared" si="166"/>
        <v>-8.4278487655702587</v>
      </c>
      <c r="AE516" s="39">
        <f t="shared" si="167"/>
        <v>-35.271098979226892</v>
      </c>
      <c r="AF516" s="39">
        <f t="shared" si="168"/>
        <v>-2.9786824582990072</v>
      </c>
      <c r="AG516" s="39">
        <f t="shared" si="169"/>
        <v>-6.921691181956283</v>
      </c>
      <c r="AH516" s="39">
        <f t="shared" si="170"/>
        <v>-0.33116771184561317</v>
      </c>
      <c r="AI516" s="39">
        <f t="shared" si="171"/>
        <v>-22.796573308714006</v>
      </c>
      <c r="AJ516" s="39">
        <f t="shared" si="172"/>
        <v>-5.1179985954256377</v>
      </c>
      <c r="AK516" s="37">
        <f t="shared" si="173"/>
        <v>121004.41747802992</v>
      </c>
      <c r="AL516" s="37">
        <f t="shared" si="174"/>
        <v>160758.89524633909</v>
      </c>
      <c r="AM516" s="37">
        <f t="shared" si="175"/>
        <v>149198.8653371938</v>
      </c>
    </row>
    <row r="517" spans="12:39">
      <c r="L517">
        <v>513</v>
      </c>
      <c r="M517" s="37">
        <f t="shared" si="160"/>
        <v>3.2232740625831506</v>
      </c>
      <c r="N517" s="37">
        <f t="shared" ref="N517:N580" si="176">COS(M517)*$D$37+$D$36</f>
        <v>15016.670359829859</v>
      </c>
      <c r="O517" s="37">
        <f t="shared" ref="O517:O580" si="177">SIN(M517)*$D$37+$E$36</f>
        <v>7092.0469421590988</v>
      </c>
      <c r="R517" s="37">
        <f t="shared" ref="R517:R580" si="178">COS(M517)*$D$48+$D$47</f>
        <v>-23488.330748119097</v>
      </c>
      <c r="S517" s="37">
        <f t="shared" ref="S517:S580" si="179">SIN(M517)*$D$48+$E$47</f>
        <v>9714.4328595113693</v>
      </c>
      <c r="V517" s="37">
        <f t="shared" ref="V517:V580" si="180">COS(M517)*$D$57+$D$56</f>
        <v>-9983.3296401701409</v>
      </c>
      <c r="W517" s="37">
        <f t="shared" ref="W517:W580" si="181">SIN(M517)*$D$57+$E$56</f>
        <v>-15407.953057840901</v>
      </c>
      <c r="Y517" s="37">
        <f t="shared" si="161"/>
        <v>140752.72147662219</v>
      </c>
      <c r="Z517" s="37">
        <f t="shared" si="162"/>
        <v>18238.996818088195</v>
      </c>
      <c r="AA517" s="37">
        <f t="shared" si="163"/>
        <v>338.77344784859139</v>
      </c>
      <c r="AB517" s="37">
        <f t="shared" si="164"/>
        <v>1110.4726919615382</v>
      </c>
      <c r="AC517" s="37">
        <f t="shared" si="165"/>
        <v>-64.720811311466505</v>
      </c>
      <c r="AD517" s="37">
        <f t="shared" si="166"/>
        <v>-8.6522745787241764</v>
      </c>
      <c r="AE517" s="39">
        <f t="shared" si="167"/>
        <v>-35.128130364497373</v>
      </c>
      <c r="AF517" s="39">
        <f t="shared" si="168"/>
        <v>-3.1240776654690858</v>
      </c>
      <c r="AG517" s="39">
        <f t="shared" si="169"/>
        <v>-6.9029740456575546</v>
      </c>
      <c r="AH517" s="39">
        <f t="shared" si="170"/>
        <v>-0.35379544853173106</v>
      </c>
      <c r="AI517" s="39">
        <f t="shared" si="171"/>
        <v>-22.689706901311585</v>
      </c>
      <c r="AJ517" s="39">
        <f t="shared" si="172"/>
        <v>-5.1744014647233589</v>
      </c>
      <c r="AK517" s="37">
        <f t="shared" si="173"/>
        <v>121229.31079845996</v>
      </c>
      <c r="AL517" s="37">
        <f t="shared" si="174"/>
        <v>160963.71805692403</v>
      </c>
      <c r="AM517" s="37">
        <f t="shared" si="175"/>
        <v>149494.77157183352</v>
      </c>
    </row>
    <row r="518" spans="12:39">
      <c r="L518">
        <v>514</v>
      </c>
      <c r="M518" s="37">
        <f t="shared" ref="M518:M581" si="182">M517+$J$3</f>
        <v>3.2295572478903303</v>
      </c>
      <c r="N518" s="37">
        <f t="shared" si="176"/>
        <v>15019.331954284147</v>
      </c>
      <c r="O518" s="37">
        <f t="shared" si="177"/>
        <v>7060.7440172461702</v>
      </c>
      <c r="R518" s="37">
        <f t="shared" si="178"/>
        <v>-23486.467632001099</v>
      </c>
      <c r="S518" s="37">
        <f t="shared" si="179"/>
        <v>9692.52081207232</v>
      </c>
      <c r="V518" s="37">
        <f t="shared" si="180"/>
        <v>-9980.6680457158527</v>
      </c>
      <c r="W518" s="37">
        <f t="shared" si="181"/>
        <v>-15439.25598275383</v>
      </c>
      <c r="Y518" s="37">
        <f t="shared" ref="Y518:Y581" si="183">Y517+(AA517*$D$14)+((1/2)*AC517)*$D$14^2</f>
        <v>140914.01809913255</v>
      </c>
      <c r="Z518" s="37">
        <f t="shared" ref="Z518:Z581" si="184">Z517+(AB517*$D$14)+((1/2)*AD517)*$D$14^2</f>
        <v>18793.151629746622</v>
      </c>
      <c r="AA518" s="37">
        <f t="shared" ref="AA518:AA581" si="185">AA517+(AC517*$D$14)</f>
        <v>306.41304219285814</v>
      </c>
      <c r="AB518" s="37">
        <f t="shared" ref="AB518:AB581" si="186">AB517+(AD517*$D$14)</f>
        <v>1106.1465546721761</v>
      </c>
      <c r="AC518" s="37">
        <f t="shared" ref="AC518:AC581" si="187">AE518+AG518+AI518</f>
        <v>-64.466421354665769</v>
      </c>
      <c r="AD518" s="37">
        <f t="shared" ref="AD518:AD581" si="188">AF518+AH518+AJ518</f>
        <v>-8.8757814519598988</v>
      </c>
      <c r="AE518" s="39">
        <f t="shared" ref="AE518:AE581" si="189">$D$40*($D$36-Y518)/(AK518^2+$D$41^2)^(3/2)</f>
        <v>-34.993305005751793</v>
      </c>
      <c r="AF518" s="39">
        <f t="shared" ref="AF518:AF581" si="190">$D$40*($E$36-Z518)/(AK518^2+$D$41^2)^(3/2)</f>
        <v>-3.2683116951082578</v>
      </c>
      <c r="AG518" s="39">
        <f t="shared" ref="AG518:AG581" si="191">$D$51*($D$47-Y518)/(AL518^2+$D$52^2)^(3/2)</f>
        <v>-6.8854872459905518</v>
      </c>
      <c r="AH518" s="39">
        <f t="shared" ref="AH518:AH581" si="192">$D$51*($E$47-Z518)/(AL518^2+$D$52^2)^(3/2)</f>
        <v>-0.37625766924409304</v>
      </c>
      <c r="AI518" s="39">
        <f t="shared" ref="AI518:AI581" si="193">$D$60*($D$56-Y518)/(AM518^2+$D$61^2)^(3/2)</f>
        <v>-22.587629102923419</v>
      </c>
      <c r="AJ518" s="39">
        <f t="shared" ref="AJ518:AJ581" si="194">$D$60*($E$56-Z518)/(AM518^2+$D$61^2)^(3/2)</f>
        <v>-5.2312120876075472</v>
      </c>
      <c r="AK518" s="37">
        <f t="shared" ref="AK518:AK581" si="195">SQRT(($D$36-Y518)^2+($E$36-Z518)^2)</f>
        <v>121440.25299137762</v>
      </c>
      <c r="AL518" s="37">
        <f t="shared" ref="AL518:AL581" si="196">SQRT(($D$47-Y518)^2+($E$47-Z518)^2)</f>
        <v>161154.09003929025</v>
      </c>
      <c r="AM518" s="37">
        <f t="shared" ref="AM518:AM581" si="197">SQRT(($D$56-Y518)^2+($E$56-Z518)^2)</f>
        <v>149776.09213390845</v>
      </c>
    </row>
    <row r="519" spans="12:39">
      <c r="L519">
        <v>515</v>
      </c>
      <c r="M519" s="37">
        <f t="shared" si="182"/>
        <v>3.2358404331975099</v>
      </c>
      <c r="N519" s="37">
        <f t="shared" si="176"/>
        <v>15022.190176984612</v>
      </c>
      <c r="O519" s="37">
        <f t="shared" si="177"/>
        <v>7029.4584334073143</v>
      </c>
      <c r="R519" s="37">
        <f t="shared" si="178"/>
        <v>-23484.466876110771</v>
      </c>
      <c r="S519" s="37">
        <f t="shared" si="179"/>
        <v>9670.620903385121</v>
      </c>
      <c r="V519" s="37">
        <f t="shared" si="180"/>
        <v>-9977.8098230153882</v>
      </c>
      <c r="W519" s="37">
        <f t="shared" si="181"/>
        <v>-15470.541566592685</v>
      </c>
      <c r="Y519" s="37">
        <f t="shared" si="183"/>
        <v>141059.16631755966</v>
      </c>
      <c r="Z519" s="37">
        <f t="shared" si="184"/>
        <v>19345.115434401214</v>
      </c>
      <c r="AA519" s="37">
        <f t="shared" si="185"/>
        <v>274.17983151552528</v>
      </c>
      <c r="AB519" s="37">
        <f t="shared" si="186"/>
        <v>1101.7086639461961</v>
      </c>
      <c r="AC519" s="37">
        <f t="shared" si="187"/>
        <v>-64.225925498873778</v>
      </c>
      <c r="AD519" s="37">
        <f t="shared" si="188"/>
        <v>-9.0985766923273879</v>
      </c>
      <c r="AE519" s="39">
        <f t="shared" si="189"/>
        <v>-34.866475778492372</v>
      </c>
      <c r="AF519" s="39">
        <f t="shared" si="190"/>
        <v>-3.4115337396561167</v>
      </c>
      <c r="AG519" s="39">
        <f t="shared" si="191"/>
        <v>-6.86921455509132</v>
      </c>
      <c r="AH519" s="39">
        <f t="shared" si="192"/>
        <v>-0.39857155869307748</v>
      </c>
      <c r="AI519" s="39">
        <f t="shared" si="193"/>
        <v>-22.490235165290091</v>
      </c>
      <c r="AJ519" s="39">
        <f t="shared" si="194"/>
        <v>-5.2884713939781944</v>
      </c>
      <c r="AK519" s="37">
        <f t="shared" si="195"/>
        <v>121637.28256236597</v>
      </c>
      <c r="AL519" s="37">
        <f t="shared" si="196"/>
        <v>161330.05373268065</v>
      </c>
      <c r="AM519" s="37">
        <f t="shared" si="197"/>
        <v>150042.88393517002</v>
      </c>
    </row>
    <row r="520" spans="12:39">
      <c r="L520">
        <v>516</v>
      </c>
      <c r="M520" s="37">
        <f t="shared" si="182"/>
        <v>3.2421236185046896</v>
      </c>
      <c r="N520" s="37">
        <f t="shared" si="176"/>
        <v>15025.24491509351</v>
      </c>
      <c r="O520" s="37">
        <f t="shared" si="177"/>
        <v>6998.1914257438111</v>
      </c>
      <c r="R520" s="37">
        <f t="shared" si="178"/>
        <v>-23482.328559434543</v>
      </c>
      <c r="S520" s="37">
        <f t="shared" si="179"/>
        <v>9648.7339980206689</v>
      </c>
      <c r="V520" s="37">
        <f t="shared" si="180"/>
        <v>-9974.7550849064901</v>
      </c>
      <c r="W520" s="37">
        <f t="shared" si="181"/>
        <v>-15501.808574256189</v>
      </c>
      <c r="Y520" s="37">
        <f t="shared" si="183"/>
        <v>141188.22799263007</v>
      </c>
      <c r="Z520" s="37">
        <f t="shared" si="184"/>
        <v>19894.832444287771</v>
      </c>
      <c r="AA520" s="37">
        <f t="shared" si="185"/>
        <v>242.06686876608839</v>
      </c>
      <c r="AB520" s="37">
        <f t="shared" si="186"/>
        <v>1097.1593756000325</v>
      </c>
      <c r="AC520" s="37">
        <f t="shared" si="187"/>
        <v>-63.999073096045962</v>
      </c>
      <c r="AD520" s="37">
        <f t="shared" si="188"/>
        <v>-9.3208629947019439</v>
      </c>
      <c r="AE520" s="39">
        <f t="shared" si="189"/>
        <v>-34.747505719806888</v>
      </c>
      <c r="AF520" s="39">
        <f t="shared" si="190"/>
        <v>-3.5538890071082583</v>
      </c>
      <c r="AG520" s="39">
        <f t="shared" si="191"/>
        <v>-6.8541410227886015</v>
      </c>
      <c r="AH520" s="39">
        <f t="shared" si="192"/>
        <v>-0.42075390873527901</v>
      </c>
      <c r="AI520" s="39">
        <f t="shared" si="193"/>
        <v>-22.39742635345047</v>
      </c>
      <c r="AJ520" s="39">
        <f t="shared" si="194"/>
        <v>-5.3462200788584058</v>
      </c>
      <c r="AK520" s="37">
        <f t="shared" si="195"/>
        <v>121820.43537648211</v>
      </c>
      <c r="AL520" s="37">
        <f t="shared" si="196"/>
        <v>161491.64855343022</v>
      </c>
      <c r="AM520" s="37">
        <f t="shared" si="197"/>
        <v>150295.20063841064</v>
      </c>
    </row>
    <row r="521" spans="12:39">
      <c r="L521">
        <v>517</v>
      </c>
      <c r="M521" s="37">
        <f t="shared" si="182"/>
        <v>3.2484068038118692</v>
      </c>
      <c r="N521" s="37">
        <f t="shared" si="176"/>
        <v>15028.496048015018</v>
      </c>
      <c r="O521" s="37">
        <f t="shared" si="177"/>
        <v>6966.9442286235862</v>
      </c>
      <c r="R521" s="37">
        <f t="shared" si="178"/>
        <v>-23480.052766389486</v>
      </c>
      <c r="S521" s="37">
        <f t="shared" si="179"/>
        <v>9626.8609600365107</v>
      </c>
      <c r="V521" s="37">
        <f t="shared" si="180"/>
        <v>-9971.5039519849815</v>
      </c>
      <c r="W521" s="37">
        <f t="shared" si="181"/>
        <v>-15533.055771376414</v>
      </c>
      <c r="Y521" s="37">
        <f t="shared" si="183"/>
        <v>141301.26154287611</v>
      </c>
      <c r="Z521" s="37">
        <f t="shared" si="184"/>
        <v>20442.247024213448</v>
      </c>
      <c r="AA521" s="37">
        <f t="shared" si="185"/>
        <v>210.06733221806542</v>
      </c>
      <c r="AB521" s="37">
        <f t="shared" si="186"/>
        <v>1092.4989441026814</v>
      </c>
      <c r="AC521" s="37">
        <f t="shared" si="187"/>
        <v>-63.785630295931981</v>
      </c>
      <c r="AD521" s="37">
        <f t="shared" si="188"/>
        <v>-9.5428389721992577</v>
      </c>
      <c r="AE521" s="39">
        <f t="shared" si="189"/>
        <v>-34.636267668313771</v>
      </c>
      <c r="AF521" s="39">
        <f t="shared" si="190"/>
        <v>-3.6955191269931262</v>
      </c>
      <c r="AG521" s="39">
        <f t="shared" si="191"/>
        <v>-6.8402529410020465</v>
      </c>
      <c r="AH521" s="39">
        <f t="shared" si="192"/>
        <v>-0.44282115486777801</v>
      </c>
      <c r="AI521" s="39">
        <f t="shared" si="193"/>
        <v>-22.309109686616164</v>
      </c>
      <c r="AJ521" s="39">
        <f t="shared" si="194"/>
        <v>-5.4044986903383538</v>
      </c>
      <c r="AK521" s="37">
        <f t="shared" si="195"/>
        <v>121989.7446916297</v>
      </c>
      <c r="AL521" s="37">
        <f t="shared" si="196"/>
        <v>161638.91084215464</v>
      </c>
      <c r="AM521" s="37">
        <f t="shared" si="197"/>
        <v>150533.09271772241</v>
      </c>
    </row>
    <row r="522" spans="12:39">
      <c r="L522">
        <v>518</v>
      </c>
      <c r="M522" s="37">
        <f t="shared" si="182"/>
        <v>3.2546899891190488</v>
      </c>
      <c r="N522" s="37">
        <f t="shared" si="176"/>
        <v>15031.943447399972</v>
      </c>
      <c r="O522" s="37">
        <f t="shared" si="177"/>
        <v>6935.7180756324769</v>
      </c>
      <c r="R522" s="37">
        <f t="shared" si="178"/>
        <v>-23477.63958682002</v>
      </c>
      <c r="S522" s="37">
        <f t="shared" si="179"/>
        <v>9605.0026529427341</v>
      </c>
      <c r="V522" s="37">
        <f t="shared" si="180"/>
        <v>-9968.0565526000282</v>
      </c>
      <c r="W522" s="37">
        <f t="shared" si="181"/>
        <v>-15564.281924367522</v>
      </c>
      <c r="Y522" s="37">
        <f t="shared" si="183"/>
        <v>141398.32200519813</v>
      </c>
      <c r="Z522" s="37">
        <f t="shared" si="184"/>
        <v>20987.303641393264</v>
      </c>
      <c r="AA522" s="37">
        <f t="shared" si="185"/>
        <v>178.17451707009943</v>
      </c>
      <c r="AB522" s="37">
        <f t="shared" si="186"/>
        <v>1087.7275246165818</v>
      </c>
      <c r="AC522" s="37">
        <f t="shared" si="187"/>
        <v>-63.585379442610773</v>
      </c>
      <c r="AD522" s="37">
        <f t="shared" si="188"/>
        <v>-9.7646996635118093</v>
      </c>
      <c r="AE522" s="39">
        <f t="shared" si="189"/>
        <v>-34.532643933565211</v>
      </c>
      <c r="AF522" s="39">
        <f t="shared" si="190"/>
        <v>-3.8365625371013623</v>
      </c>
      <c r="AG522" s="39">
        <f t="shared" si="191"/>
        <v>-6.8275378114223129</v>
      </c>
      <c r="AH522" s="39">
        <f t="shared" si="192"/>
        <v>-0.46478941122308903</v>
      </c>
      <c r="AI522" s="39">
        <f t="shared" si="193"/>
        <v>-22.225197697623251</v>
      </c>
      <c r="AJ522" s="39">
        <f t="shared" si="194"/>
        <v>-5.463347715187358</v>
      </c>
      <c r="AK522" s="37">
        <f t="shared" si="195"/>
        <v>122145.24118930263</v>
      </c>
      <c r="AL522" s="37">
        <f t="shared" si="196"/>
        <v>161771.87390706025</v>
      </c>
      <c r="AM522" s="37">
        <f t="shared" si="197"/>
        <v>150756.6075146145</v>
      </c>
    </row>
    <row r="523" spans="12:39">
      <c r="L523">
        <v>519</v>
      </c>
      <c r="M523" s="37">
        <f t="shared" si="182"/>
        <v>3.2609731744262285</v>
      </c>
      <c r="N523" s="37">
        <f t="shared" si="176"/>
        <v>15035.586977150946</v>
      </c>
      <c r="O523" s="37">
        <f t="shared" si="177"/>
        <v>6904.5141995255362</v>
      </c>
      <c r="R523" s="37">
        <f t="shared" si="178"/>
        <v>-23475.089115994338</v>
      </c>
      <c r="S523" s="37">
        <f t="shared" si="179"/>
        <v>9583.1599396678757</v>
      </c>
      <c r="V523" s="37">
        <f t="shared" si="180"/>
        <v>-9964.413022849054</v>
      </c>
      <c r="W523" s="37">
        <f t="shared" si="181"/>
        <v>-15595.485800474464</v>
      </c>
      <c r="Y523" s="37">
        <f t="shared" si="183"/>
        <v>141479.46109130286</v>
      </c>
      <c r="Z523" s="37">
        <f t="shared" si="184"/>
        <v>21529.946816243617</v>
      </c>
      <c r="AA523" s="37">
        <f t="shared" si="185"/>
        <v>146.38182734879405</v>
      </c>
      <c r="AB523" s="37">
        <f t="shared" si="186"/>
        <v>1082.845174784826</v>
      </c>
      <c r="AC523" s="37">
        <f t="shared" si="187"/>
        <v>-63.398118519441084</v>
      </c>
      <c r="AD523" s="37">
        <f t="shared" si="188"/>
        <v>-9.9866370197611758</v>
      </c>
      <c r="AE523" s="39">
        <f t="shared" si="189"/>
        <v>-34.43652599334871</v>
      </c>
      <c r="AF523" s="39">
        <f t="shared" si="190"/>
        <v>-3.9771548530310623</v>
      </c>
      <c r="AG523" s="39">
        <f t="shared" si="191"/>
        <v>-6.8159843163286524</v>
      </c>
      <c r="AH523" s="39">
        <f t="shared" si="192"/>
        <v>-0.48667450421564878</v>
      </c>
      <c r="AI523" s="39">
        <f t="shared" si="193"/>
        <v>-22.145608209763722</v>
      </c>
      <c r="AJ523" s="39">
        <f t="shared" si="194"/>
        <v>-5.5228076625144649</v>
      </c>
      <c r="AK523" s="37">
        <f t="shared" si="195"/>
        <v>122286.9530027631</v>
      </c>
      <c r="AL523" s="37">
        <f t="shared" si="196"/>
        <v>161890.56806350086</v>
      </c>
      <c r="AM523" s="37">
        <f t="shared" si="197"/>
        <v>150965.78929014379</v>
      </c>
    </row>
    <row r="524" spans="12:39">
      <c r="L524">
        <v>520</v>
      </c>
      <c r="M524" s="37">
        <f t="shared" si="182"/>
        <v>3.2672563597334081</v>
      </c>
      <c r="N524" s="37">
        <f t="shared" si="176"/>
        <v>15039.426493427625</v>
      </c>
      <c r="O524" s="37">
        <f t="shared" si="177"/>
        <v>6873.333832178364</v>
      </c>
      <c r="R524" s="37">
        <f t="shared" si="178"/>
        <v>-23472.401454600662</v>
      </c>
      <c r="S524" s="37">
        <f t="shared" si="179"/>
        <v>9561.3336825248552</v>
      </c>
      <c r="V524" s="37">
        <f t="shared" si="180"/>
        <v>-9960.5735065723748</v>
      </c>
      <c r="W524" s="37">
        <f t="shared" si="181"/>
        <v>-15626.666167821637</v>
      </c>
      <c r="Y524" s="37">
        <f t="shared" si="183"/>
        <v>141544.72724016232</v>
      </c>
      <c r="Z524" s="37">
        <f t="shared" si="184"/>
        <v>22070.121074008559</v>
      </c>
      <c r="AA524" s="37">
        <f t="shared" si="185"/>
        <v>114.68276808907351</v>
      </c>
      <c r="AB524" s="37">
        <f t="shared" si="186"/>
        <v>1077.8518562749455</v>
      </c>
      <c r="AC524" s="37">
        <f t="shared" si="187"/>
        <v>-63.223660639794602</v>
      </c>
      <c r="AD524" s="37">
        <f t="shared" si="188"/>
        <v>-10.208840373295164</v>
      </c>
      <c r="AE524" s="39">
        <f t="shared" si="189"/>
        <v>-34.347814217470557</v>
      </c>
      <c r="AF524" s="39">
        <f t="shared" si="190"/>
        <v>-4.1174292224725404</v>
      </c>
      <c r="AG524" s="39">
        <f t="shared" si="191"/>
        <v>-6.8055822924128542</v>
      </c>
      <c r="AH524" s="39">
        <f t="shared" si="192"/>
        <v>-0.50849200498157554</v>
      </c>
      <c r="AI524" s="39">
        <f t="shared" si="193"/>
        <v>-22.070264129911198</v>
      </c>
      <c r="AJ524" s="39">
        <f t="shared" si="194"/>
        <v>-5.5829191458410472</v>
      </c>
      <c r="AK524" s="37">
        <f t="shared" si="195"/>
        <v>122414.90574271062</v>
      </c>
      <c r="AL524" s="37">
        <f t="shared" si="196"/>
        <v>161995.02066989488</v>
      </c>
      <c r="AM524" s="37">
        <f t="shared" si="197"/>
        <v>151160.67927319996</v>
      </c>
    </row>
    <row r="525" spans="12:39">
      <c r="L525">
        <v>521</v>
      </c>
      <c r="M525" s="37">
        <f t="shared" si="182"/>
        <v>3.2735395450405878</v>
      </c>
      <c r="N525" s="37">
        <f t="shared" si="176"/>
        <v>15043.461844652484</v>
      </c>
      <c r="O525" s="37">
        <f t="shared" si="177"/>
        <v>6842.1782045384725</v>
      </c>
      <c r="R525" s="37">
        <f t="shared" si="178"/>
        <v>-23469.576708743261</v>
      </c>
      <c r="S525" s="37">
        <f t="shared" si="179"/>
        <v>9539.5247431769312</v>
      </c>
      <c r="V525" s="37">
        <f t="shared" si="180"/>
        <v>-9956.5381553475163</v>
      </c>
      <c r="W525" s="37">
        <f t="shared" si="181"/>
        <v>-15657.821795461528</v>
      </c>
      <c r="Y525" s="37">
        <f t="shared" si="183"/>
        <v>141594.16566662688</v>
      </c>
      <c r="Z525" s="37">
        <f t="shared" si="184"/>
        <v>22607.77089709937</v>
      </c>
      <c r="AA525" s="37">
        <f t="shared" si="185"/>
        <v>83.070937769176197</v>
      </c>
      <c r="AB525" s="37">
        <f t="shared" si="186"/>
        <v>1072.7474360882979</v>
      </c>
      <c r="AC525" s="37">
        <f t="shared" si="187"/>
        <v>-63.061833581185091</v>
      </c>
      <c r="AD525" s="37">
        <f t="shared" si="188"/>
        <v>-10.431496890710072</v>
      </c>
      <c r="AE525" s="39">
        <f t="shared" si="189"/>
        <v>-34.266417616750012</v>
      </c>
      <c r="AF525" s="39">
        <f t="shared" si="190"/>
        <v>-4.2575166660342125</v>
      </c>
      <c r="AG525" s="39">
        <f t="shared" si="191"/>
        <v>-6.7963227074943307</v>
      </c>
      <c r="AH525" s="39">
        <f t="shared" si="192"/>
        <v>-0.53025726074551549</v>
      </c>
      <c r="AI525" s="39">
        <f t="shared" si="193"/>
        <v>-21.999093256940746</v>
      </c>
      <c r="AJ525" s="39">
        <f t="shared" si="194"/>
        <v>-5.643722963930343</v>
      </c>
      <c r="AK525" s="37">
        <f t="shared" si="195"/>
        <v>122529.12252049448</v>
      </c>
      <c r="AL525" s="37">
        <f t="shared" si="196"/>
        <v>162085.25616010546</v>
      </c>
      <c r="AM525" s="37">
        <f t="shared" si="197"/>
        <v>151341.31570507493</v>
      </c>
    </row>
    <row r="526" spans="12:39">
      <c r="L526">
        <v>522</v>
      </c>
      <c r="M526" s="37">
        <f t="shared" si="182"/>
        <v>3.2798227303477674</v>
      </c>
      <c r="N526" s="37">
        <f t="shared" si="176"/>
        <v>15047.69287151676</v>
      </c>
      <c r="O526" s="37">
        <f t="shared" si="177"/>
        <v>6811.0485465766942</v>
      </c>
      <c r="R526" s="37">
        <f t="shared" si="178"/>
        <v>-23466.614989938269</v>
      </c>
      <c r="S526" s="37">
        <f t="shared" si="179"/>
        <v>9517.7339826036859</v>
      </c>
      <c r="V526" s="37">
        <f t="shared" si="180"/>
        <v>-9952.3071284832404</v>
      </c>
      <c r="W526" s="37">
        <f t="shared" si="181"/>
        <v>-15688.951453423306</v>
      </c>
      <c r="Y526" s="37">
        <f t="shared" si="183"/>
        <v>141627.81840631383</v>
      </c>
      <c r="Z526" s="37">
        <f t="shared" si="184"/>
        <v>23142.840678032182</v>
      </c>
      <c r="AA526" s="37">
        <f t="shared" si="185"/>
        <v>51.540020978583655</v>
      </c>
      <c r="AB526" s="37">
        <f t="shared" si="186"/>
        <v>1067.5316876429429</v>
      </c>
      <c r="AC526" s="37">
        <f t="shared" si="187"/>
        <v>-62.912479360638187</v>
      </c>
      <c r="AD526" s="37">
        <f t="shared" si="188"/>
        <v>-10.654792012251544</v>
      </c>
      <c r="AE526" s="39">
        <f t="shared" si="189"/>
        <v>-34.192253616074424</v>
      </c>
      <c r="AF526" s="39">
        <f t="shared" si="190"/>
        <v>-4.397546406302693</v>
      </c>
      <c r="AG526" s="39">
        <f t="shared" si="191"/>
        <v>-6.7881976400248139</v>
      </c>
      <c r="AH526" s="39">
        <f t="shared" si="192"/>
        <v>-0.55198542524134597</v>
      </c>
      <c r="AI526" s="39">
        <f t="shared" si="193"/>
        <v>-21.932028104538947</v>
      </c>
      <c r="AJ526" s="39">
        <f t="shared" si="194"/>
        <v>-5.7052601807075041</v>
      </c>
      <c r="AK526" s="37">
        <f t="shared" si="195"/>
        <v>122629.62396891524</v>
      </c>
      <c r="AL526" s="37">
        <f t="shared" si="196"/>
        <v>162161.29607237512</v>
      </c>
      <c r="AM526" s="37">
        <f t="shared" si="197"/>
        <v>151507.73388043494</v>
      </c>
    </row>
    <row r="527" spans="12:39">
      <c r="L527">
        <v>523</v>
      </c>
      <c r="M527" s="37">
        <f t="shared" si="182"/>
        <v>3.286105915654947</v>
      </c>
      <c r="N527" s="37">
        <f t="shared" si="176"/>
        <v>15052.119406986762</v>
      </c>
      <c r="O527" s="37">
        <f t="shared" si="177"/>
        <v>6779.9460872386235</v>
      </c>
      <c r="R527" s="37">
        <f t="shared" si="178"/>
        <v>-23463.516415109269</v>
      </c>
      <c r="S527" s="37">
        <f t="shared" si="179"/>
        <v>9495.9622610670376</v>
      </c>
      <c r="V527" s="37">
        <f t="shared" si="180"/>
        <v>-9947.8805930132385</v>
      </c>
      <c r="W527" s="37">
        <f t="shared" si="181"/>
        <v>-15720.053912761376</v>
      </c>
      <c r="Y527" s="37">
        <f t="shared" si="183"/>
        <v>141645.72435688306</v>
      </c>
      <c r="Z527" s="37">
        <f t="shared" si="184"/>
        <v>23675.274672852123</v>
      </c>
      <c r="AA527" s="37">
        <f t="shared" si="185"/>
        <v>20.083781298264562</v>
      </c>
      <c r="AB527" s="37">
        <f t="shared" si="186"/>
        <v>1062.2042916368171</v>
      </c>
      <c r="AC527" s="37">
        <f t="shared" si="187"/>
        <v>-62.775453849356438</v>
      </c>
      <c r="AD527" s="37">
        <f t="shared" si="188"/>
        <v>-10.878909879634801</v>
      </c>
      <c r="AE527" s="39">
        <f t="shared" si="189"/>
        <v>-34.125247850488201</v>
      </c>
      <c r="AF527" s="39">
        <f t="shared" si="190"/>
        <v>-4.5376461867364455</v>
      </c>
      <c r="AG527" s="39">
        <f t="shared" si="191"/>
        <v>-6.7812002612933444</v>
      </c>
      <c r="AH527" s="39">
        <f t="shared" si="192"/>
        <v>-0.57369148830724581</v>
      </c>
      <c r="AI527" s="39">
        <f t="shared" si="193"/>
        <v>-21.869005737574895</v>
      </c>
      <c r="AJ527" s="39">
        <f t="shared" si="194"/>
        <v>-5.7675722045911089</v>
      </c>
      <c r="AK527" s="37">
        <f t="shared" si="195"/>
        <v>122716.42826065703</v>
      </c>
      <c r="AL527" s="37">
        <f t="shared" si="196"/>
        <v>162223.15907489709</v>
      </c>
      <c r="AM527" s="37">
        <f t="shared" si="197"/>
        <v>151659.96618480264</v>
      </c>
    </row>
    <row r="528" spans="12:39">
      <c r="L528">
        <v>524</v>
      </c>
      <c r="M528" s="37">
        <f t="shared" si="182"/>
        <v>3.2923891009621267</v>
      </c>
      <c r="N528" s="37">
        <f t="shared" si="176"/>
        <v>15056.741276310448</v>
      </c>
      <c r="O528" s="37">
        <f t="shared" si="177"/>
        <v>6748.872054396099</v>
      </c>
      <c r="R528" s="37">
        <f t="shared" si="178"/>
        <v>-23460.281106582686</v>
      </c>
      <c r="S528" s="37">
        <f t="shared" si="179"/>
        <v>9474.2104380772689</v>
      </c>
      <c r="V528" s="37">
        <f t="shared" si="180"/>
        <v>-9943.2587236895524</v>
      </c>
      <c r="W528" s="37">
        <f t="shared" si="181"/>
        <v>-15751.127945603901</v>
      </c>
      <c r="Y528" s="37">
        <f t="shared" si="183"/>
        <v>141647.919315801</v>
      </c>
      <c r="Z528" s="37">
        <f t="shared" si="184"/>
        <v>24205.016954935578</v>
      </c>
      <c r="AA528" s="37">
        <f t="shared" si="185"/>
        <v>-11.303945626413658</v>
      </c>
      <c r="AB528" s="37">
        <f t="shared" si="186"/>
        <v>1056.7648366969997</v>
      </c>
      <c r="AC528" s="37">
        <f t="shared" si="187"/>
        <v>-62.650626424942288</v>
      </c>
      <c r="AD528" s="37">
        <f t="shared" si="188"/>
        <v>-11.104033754230734</v>
      </c>
      <c r="AE528" s="39">
        <f t="shared" si="189"/>
        <v>-34.065333983408493</v>
      </c>
      <c r="AF528" s="39">
        <f t="shared" si="190"/>
        <v>-4.67794258191201</v>
      </c>
      <c r="AG528" s="39">
        <f t="shared" si="191"/>
        <v>-6.7753248202556593</v>
      </c>
      <c r="AH528" s="39">
        <f t="shared" si="192"/>
        <v>-0.59539030477034871</v>
      </c>
      <c r="AI528" s="39">
        <f t="shared" si="193"/>
        <v>-21.809967621278133</v>
      </c>
      <c r="AJ528" s="39">
        <f t="shared" si="194"/>
        <v>-5.8307008675483765</v>
      </c>
      <c r="AK528" s="37">
        <f t="shared" si="195"/>
        <v>122789.55112438646</v>
      </c>
      <c r="AL528" s="37">
        <f t="shared" si="196"/>
        <v>162270.8609880952</v>
      </c>
      <c r="AM528" s="37">
        <f t="shared" si="197"/>
        <v>151798.04212864692</v>
      </c>
    </row>
    <row r="529" spans="12:39">
      <c r="L529">
        <v>525</v>
      </c>
      <c r="M529" s="37">
        <f t="shared" si="182"/>
        <v>3.2986722862693063</v>
      </c>
      <c r="N529" s="37">
        <f t="shared" si="176"/>
        <v>15061.55829702433</v>
      </c>
      <c r="O529" s="37">
        <f t="shared" si="177"/>
        <v>6717.8276747987302</v>
      </c>
      <c r="R529" s="37">
        <f t="shared" si="178"/>
        <v>-23456.909192082971</v>
      </c>
      <c r="S529" s="37">
        <f t="shared" si="179"/>
        <v>9452.4793723591101</v>
      </c>
      <c r="V529" s="37">
        <f t="shared" si="180"/>
        <v>-9938.4417029756696</v>
      </c>
      <c r="W529" s="37">
        <f t="shared" si="181"/>
        <v>-15782.172325201271</v>
      </c>
      <c r="Y529" s="37">
        <f t="shared" si="183"/>
        <v>141634.43601468467</v>
      </c>
      <c r="Z529" s="37">
        <f t="shared" si="184"/>
        <v>24732.0113690648</v>
      </c>
      <c r="AA529" s="37">
        <f t="shared" si="185"/>
        <v>-42.629258838884802</v>
      </c>
      <c r="AB529" s="37">
        <f t="shared" si="186"/>
        <v>1051.2128198198843</v>
      </c>
      <c r="AC529" s="37">
        <f t="shared" si="187"/>
        <v>-62.537879659617076</v>
      </c>
      <c r="AD529" s="37">
        <f t="shared" si="188"/>
        <v>-11.330346427482315</v>
      </c>
      <c r="AE529" s="39">
        <f t="shared" si="189"/>
        <v>-34.012453546154596</v>
      </c>
      <c r="AF529" s="39">
        <f t="shared" si="190"/>
        <v>-4.8185613005708792</v>
      </c>
      <c r="AG529" s="39">
        <f t="shared" si="191"/>
        <v>-6.7705666309226702</v>
      </c>
      <c r="AH529" s="39">
        <f t="shared" si="192"/>
        <v>-0.61709662273144361</v>
      </c>
      <c r="AI529" s="39">
        <f t="shared" si="193"/>
        <v>-21.754859482539803</v>
      </c>
      <c r="AJ529" s="39">
        <f t="shared" si="194"/>
        <v>-5.8946885041799932</v>
      </c>
      <c r="AK529" s="37">
        <f t="shared" si="195"/>
        <v>122849.00585854978</v>
      </c>
      <c r="AL529" s="37">
        <f t="shared" si="196"/>
        <v>162304.41480367517</v>
      </c>
      <c r="AM529" s="37">
        <f t="shared" si="197"/>
        <v>151921.98837816779</v>
      </c>
    </row>
    <row r="530" spans="12:39">
      <c r="L530">
        <v>526</v>
      </c>
      <c r="M530" s="37">
        <f t="shared" si="182"/>
        <v>3.3049554715764859</v>
      </c>
      <c r="N530" s="37">
        <f t="shared" si="176"/>
        <v>15066.570278960678</v>
      </c>
      <c r="O530" s="37">
        <f t="shared" si="177"/>
        <v>6686.8141740254659</v>
      </c>
      <c r="R530" s="37">
        <f t="shared" si="178"/>
        <v>-23453.400804727524</v>
      </c>
      <c r="S530" s="37">
        <f t="shared" si="179"/>
        <v>9430.7699218178259</v>
      </c>
      <c r="V530" s="37">
        <f t="shared" si="180"/>
        <v>-9933.4297210393215</v>
      </c>
      <c r="W530" s="37">
        <f t="shared" si="181"/>
        <v>-15813.185825974533</v>
      </c>
      <c r="Y530" s="37">
        <f t="shared" si="183"/>
        <v>141605.30415030778</v>
      </c>
      <c r="Z530" s="37">
        <f t="shared" si="184"/>
        <v>25256.201485671307</v>
      </c>
      <c r="AA530" s="37">
        <f t="shared" si="185"/>
        <v>-73.89819866869334</v>
      </c>
      <c r="AB530" s="37">
        <f t="shared" si="186"/>
        <v>1045.5476466061432</v>
      </c>
      <c r="AC530" s="37">
        <f t="shared" si="187"/>
        <v>-62.437109043061589</v>
      </c>
      <c r="AD530" s="37">
        <f t="shared" si="188"/>
        <v>-11.558030625349559</v>
      </c>
      <c r="AE530" s="39">
        <f t="shared" si="189"/>
        <v>-33.966555798092912</v>
      </c>
      <c r="AF530" s="39">
        <f t="shared" si="190"/>
        <v>-4.9596274828585116</v>
      </c>
      <c r="AG530" s="39">
        <f t="shared" si="191"/>
        <v>-6.7669220622559578</v>
      </c>
      <c r="AH530" s="39">
        <f t="shared" si="192"/>
        <v>-0.63882511135643727</v>
      </c>
      <c r="AI530" s="39">
        <f t="shared" si="193"/>
        <v>-21.703631182712719</v>
      </c>
      <c r="AJ530" s="39">
        <f t="shared" si="194"/>
        <v>-5.95957803113461</v>
      </c>
      <c r="AK530" s="37">
        <f t="shared" si="195"/>
        <v>122894.80334289411</v>
      </c>
      <c r="AL530" s="37">
        <f t="shared" si="196"/>
        <v>162323.83070050093</v>
      </c>
      <c r="AM530" s="37">
        <f t="shared" si="197"/>
        <v>152031.8287828546</v>
      </c>
    </row>
    <row r="531" spans="12:39">
      <c r="L531">
        <v>527</v>
      </c>
      <c r="M531" s="37">
        <f t="shared" si="182"/>
        <v>3.3112386568836656</v>
      </c>
      <c r="N531" s="37">
        <f t="shared" si="176"/>
        <v>15071.777024255029</v>
      </c>
      <c r="O531" s="37">
        <f t="shared" si="177"/>
        <v>6655.8327764362148</v>
      </c>
      <c r="R531" s="37">
        <f t="shared" si="178"/>
        <v>-23449.756083021479</v>
      </c>
      <c r="S531" s="37">
        <f t="shared" si="179"/>
        <v>9409.0829435053511</v>
      </c>
      <c r="V531" s="37">
        <f t="shared" si="180"/>
        <v>-9928.2229757449713</v>
      </c>
      <c r="W531" s="37">
        <f t="shared" si="181"/>
        <v>-15844.167223563785</v>
      </c>
      <c r="Y531" s="37">
        <f t="shared" si="183"/>
        <v>141560.55041234306</v>
      </c>
      <c r="Z531" s="37">
        <f t="shared" si="184"/>
        <v>25777.530555146212</v>
      </c>
      <c r="AA531" s="37">
        <f t="shared" si="185"/>
        <v>-105.11675319022413</v>
      </c>
      <c r="AB531" s="37">
        <f t="shared" si="186"/>
        <v>1039.7686312934684</v>
      </c>
      <c r="AC531" s="37">
        <f t="shared" si="187"/>
        <v>-62.348222738659743</v>
      </c>
      <c r="AD531" s="37">
        <f t="shared" si="188"/>
        <v>-11.787269408526383</v>
      </c>
      <c r="AE531" s="39">
        <f t="shared" si="189"/>
        <v>-33.927597606785348</v>
      </c>
      <c r="AF531" s="39">
        <f t="shared" si="190"/>
        <v>-5.1012659930977033</v>
      </c>
      <c r="AG531" s="39">
        <f t="shared" si="191"/>
        <v>-6.7643885305265785</v>
      </c>
      <c r="AH531" s="39">
        <f t="shared" si="192"/>
        <v>-0.66059038827779315</v>
      </c>
      <c r="AI531" s="39">
        <f t="shared" si="193"/>
        <v>-21.65623660134781</v>
      </c>
      <c r="AJ531" s="39">
        <f t="shared" si="194"/>
        <v>-6.0254130271508863</v>
      </c>
      <c r="AK531" s="37">
        <f t="shared" si="195"/>
        <v>122926.95204773484</v>
      </c>
      <c r="AL531" s="37">
        <f t="shared" si="196"/>
        <v>162329.11605734139</v>
      </c>
      <c r="AM531" s="37">
        <f t="shared" si="197"/>
        <v>152127.5843998873</v>
      </c>
    </row>
    <row r="532" spans="12:39">
      <c r="L532">
        <v>528</v>
      </c>
      <c r="M532" s="37">
        <f t="shared" si="182"/>
        <v>3.3175218421908452</v>
      </c>
      <c r="N532" s="37">
        <f t="shared" si="176"/>
        <v>15077.178327353995</v>
      </c>
      <c r="O532" s="37">
        <f t="shared" si="177"/>
        <v>6624.8847051235034</v>
      </c>
      <c r="R532" s="37">
        <f t="shared" si="178"/>
        <v>-23445.975170852205</v>
      </c>
      <c r="S532" s="37">
        <f t="shared" si="179"/>
        <v>9387.4192935864521</v>
      </c>
      <c r="V532" s="37">
        <f t="shared" si="180"/>
        <v>-9922.821672646005</v>
      </c>
      <c r="W532" s="37">
        <f t="shared" si="181"/>
        <v>-15875.115294876496</v>
      </c>
      <c r="Y532" s="37">
        <f t="shared" si="183"/>
        <v>141500.19850790562</v>
      </c>
      <c r="Z532" s="37">
        <f t="shared" si="184"/>
        <v>26295.94146211688</v>
      </c>
      <c r="AA532" s="37">
        <f t="shared" si="185"/>
        <v>-136.290864559554</v>
      </c>
      <c r="AB532" s="37">
        <f t="shared" si="186"/>
        <v>1033.8749965892052</v>
      </c>
      <c r="AC532" s="37">
        <f t="shared" si="187"/>
        <v>-62.271141372095627</v>
      </c>
      <c r="AD532" s="37">
        <f t="shared" si="188"/>
        <v>-12.018246570132092</v>
      </c>
      <c r="AE532" s="39">
        <f t="shared" si="189"/>
        <v>-33.895543347632234</v>
      </c>
      <c r="AF532" s="39">
        <f t="shared" si="190"/>
        <v>-5.2436017094020366</v>
      </c>
      <c r="AG532" s="39">
        <f t="shared" si="191"/>
        <v>-6.7629644941072726</v>
      </c>
      <c r="AH532" s="39">
        <f t="shared" si="192"/>
        <v>-0.68240704670683217</v>
      </c>
      <c r="AI532" s="39">
        <f t="shared" si="193"/>
        <v>-21.612633530356124</v>
      </c>
      <c r="AJ532" s="39">
        <f t="shared" si="194"/>
        <v>-6.092237814023223</v>
      </c>
      <c r="AK532" s="37">
        <f t="shared" si="195"/>
        <v>122945.45804098577</v>
      </c>
      <c r="AL532" s="37">
        <f t="shared" si="196"/>
        <v>162320.27546252398</v>
      </c>
      <c r="AM532" s="37">
        <f t="shared" si="197"/>
        <v>152209.27351544102</v>
      </c>
    </row>
    <row r="533" spans="12:39">
      <c r="L533">
        <v>529</v>
      </c>
      <c r="M533" s="37">
        <f t="shared" si="182"/>
        <v>3.3238050274980249</v>
      </c>
      <c r="N533" s="37">
        <f t="shared" si="176"/>
        <v>15082.773975023374</v>
      </c>
      <c r="O533" s="37">
        <f t="shared" si="177"/>
        <v>6593.9711818641972</v>
      </c>
      <c r="R533" s="37">
        <f t="shared" si="178"/>
        <v>-23442.058217483638</v>
      </c>
      <c r="S533" s="37">
        <f t="shared" si="179"/>
        <v>9365.7798273049375</v>
      </c>
      <c r="V533" s="37">
        <f t="shared" si="180"/>
        <v>-9917.2260249766259</v>
      </c>
      <c r="W533" s="37">
        <f t="shared" si="181"/>
        <v>-15906.028818135803</v>
      </c>
      <c r="Y533" s="37">
        <f t="shared" si="183"/>
        <v>141424.26918295433</v>
      </c>
      <c r="Z533" s="37">
        <f t="shared" si="184"/>
        <v>26811.376679590216</v>
      </c>
      <c r="AA533" s="37">
        <f t="shared" si="185"/>
        <v>-167.42643524560179</v>
      </c>
      <c r="AB533" s="37">
        <f t="shared" si="186"/>
        <v>1027.8658733041391</v>
      </c>
      <c r="AC533" s="37">
        <f t="shared" si="187"/>
        <v>-62.20579785139391</v>
      </c>
      <c r="AD533" s="37">
        <f t="shared" si="188"/>
        <v>-12.2511470325496</v>
      </c>
      <c r="AE533" s="39">
        <f t="shared" si="189"/>
        <v>-33.870364822575574</v>
      </c>
      <c r="AF533" s="39">
        <f t="shared" si="190"/>
        <v>-5.3867598114044872</v>
      </c>
      <c r="AG533" s="39">
        <f t="shared" si="191"/>
        <v>-6.762649450676312</v>
      </c>
      <c r="AH533" s="39">
        <f t="shared" si="192"/>
        <v>-0.70428968235557254</v>
      </c>
      <c r="AI533" s="39">
        <f t="shared" si="193"/>
        <v>-21.572783578142023</v>
      </c>
      <c r="AJ533" s="39">
        <f t="shared" si="194"/>
        <v>-6.1600975387895405</v>
      </c>
      <c r="AK533" s="37">
        <f t="shared" si="195"/>
        <v>122950.32499296444</v>
      </c>
      <c r="AL533" s="37">
        <f t="shared" si="196"/>
        <v>162297.31072052295</v>
      </c>
      <c r="AM533" s="37">
        <f t="shared" si="197"/>
        <v>152276.91166294663</v>
      </c>
    </row>
    <row r="534" spans="12:39">
      <c r="L534">
        <v>530</v>
      </c>
      <c r="M534" s="37">
        <f t="shared" si="182"/>
        <v>3.3300882128052045</v>
      </c>
      <c r="N534" s="37">
        <f t="shared" si="176"/>
        <v>15088.56374635658</v>
      </c>
      <c r="O534" s="37">
        <f t="shared" si="177"/>
        <v>6563.0934270712605</v>
      </c>
      <c r="R534" s="37">
        <f t="shared" si="178"/>
        <v>-23438.005377550395</v>
      </c>
      <c r="S534" s="37">
        <f t="shared" si="179"/>
        <v>9344.1653989498827</v>
      </c>
      <c r="V534" s="37">
        <f t="shared" si="180"/>
        <v>-9911.4362536434201</v>
      </c>
      <c r="W534" s="37">
        <f t="shared" si="181"/>
        <v>-15936.906572928739</v>
      </c>
      <c r="Y534" s="37">
        <f t="shared" si="183"/>
        <v>141332.78024060011</v>
      </c>
      <c r="Z534" s="37">
        <f t="shared" si="184"/>
        <v>27323.778222863217</v>
      </c>
      <c r="AA534" s="37">
        <f t="shared" si="185"/>
        <v>-198.52933417129876</v>
      </c>
      <c r="AB534" s="37">
        <f t="shared" si="186"/>
        <v>1021.7402997878643</v>
      </c>
      <c r="AC534" s="37">
        <f t="shared" si="187"/>
        <v>-62.152137217644167</v>
      </c>
      <c r="AD534" s="37">
        <f t="shared" si="188"/>
        <v>-12.486157245063946</v>
      </c>
      <c r="AE534" s="39">
        <f t="shared" si="189"/>
        <v>-33.85204119753157</v>
      </c>
      <c r="AF534" s="39">
        <f t="shared" si="190"/>
        <v>-5.5308660673592724</v>
      </c>
      <c r="AG534" s="39">
        <f t="shared" si="191"/>
        <v>-6.7634439368222159</v>
      </c>
      <c r="AH534" s="39">
        <f t="shared" si="192"/>
        <v>-0.72625292026543165</v>
      </c>
      <c r="AI534" s="39">
        <f t="shared" si="193"/>
        <v>-21.536652083290384</v>
      </c>
      <c r="AJ534" s="39">
        <f t="shared" si="194"/>
        <v>-6.2290382574392424</v>
      </c>
      <c r="AK534" s="37">
        <f t="shared" si="195"/>
        <v>122941.5541789798</v>
      </c>
      <c r="AL534" s="37">
        <f t="shared" si="196"/>
        <v>162260.22085550334</v>
      </c>
      <c r="AM534" s="37">
        <f t="shared" si="197"/>
        <v>152330.51163835128</v>
      </c>
    </row>
    <row r="535" spans="12:39">
      <c r="L535">
        <v>531</v>
      </c>
      <c r="M535" s="37">
        <f t="shared" si="182"/>
        <v>3.3363713981123841</v>
      </c>
      <c r="N535" s="37">
        <f t="shared" si="176"/>
        <v>15094.547412783351</v>
      </c>
      <c r="O535" s="37">
        <f t="shared" si="177"/>
        <v>6532.2526597455826</v>
      </c>
      <c r="R535" s="37">
        <f t="shared" si="178"/>
        <v>-23433.816811051653</v>
      </c>
      <c r="S535" s="37">
        <f t="shared" si="179"/>
        <v>9322.5768618219081</v>
      </c>
      <c r="V535" s="37">
        <f t="shared" si="180"/>
        <v>-9905.4525872166487</v>
      </c>
      <c r="W535" s="37">
        <f t="shared" si="181"/>
        <v>-15967.747340254418</v>
      </c>
      <c r="Y535" s="37">
        <f t="shared" si="183"/>
        <v>141225.74655636225</v>
      </c>
      <c r="Z535" s="37">
        <f t="shared" si="184"/>
        <v>27833.087603101518</v>
      </c>
      <c r="AA535" s="37">
        <f t="shared" si="185"/>
        <v>-229.60540278012084</v>
      </c>
      <c r="AB535" s="37">
        <f t="shared" si="186"/>
        <v>1015.4972211653323</v>
      </c>
      <c r="AC535" s="37">
        <f t="shared" si="187"/>
        <v>-62.110116525791128</v>
      </c>
      <c r="AD535" s="37">
        <f t="shared" si="188"/>
        <v>-12.723465583949574</v>
      </c>
      <c r="AE535" s="39">
        <f t="shared" si="189"/>
        <v>-33.840558958291503</v>
      </c>
      <c r="AF535" s="39">
        <f t="shared" si="190"/>
        <v>-5.6760471218624193</v>
      </c>
      <c r="AG535" s="39">
        <f t="shared" si="191"/>
        <v>-6.7653495300502726</v>
      </c>
      <c r="AH535" s="39">
        <f t="shared" si="192"/>
        <v>-0.74831144163945107</v>
      </c>
      <c r="AI535" s="39">
        <f t="shared" si="193"/>
        <v>-21.504208037449356</v>
      </c>
      <c r="AJ535" s="39">
        <f t="shared" si="194"/>
        <v>-6.2991070204477033</v>
      </c>
      <c r="AK535" s="37">
        <f t="shared" si="195"/>
        <v>122919.14447970575</v>
      </c>
      <c r="AL535" s="37">
        <f t="shared" si="196"/>
        <v>162209.0021118318</v>
      </c>
      <c r="AM535" s="37">
        <f t="shared" si="197"/>
        <v>152370.08351241544</v>
      </c>
    </row>
    <row r="536" spans="12:39">
      <c r="L536">
        <v>532</v>
      </c>
      <c r="M536" s="37">
        <f t="shared" si="182"/>
        <v>3.3426545834195638</v>
      </c>
      <c r="N536" s="37">
        <f t="shared" si="176"/>
        <v>15100.724738078789</v>
      </c>
      <c r="O536" s="37">
        <f t="shared" si="177"/>
        <v>6501.450097427848</v>
      </c>
      <c r="R536" s="37">
        <f t="shared" si="178"/>
        <v>-23429.492683344848</v>
      </c>
      <c r="S536" s="37">
        <f t="shared" si="179"/>
        <v>9301.0150681994946</v>
      </c>
      <c r="V536" s="37">
        <f t="shared" si="180"/>
        <v>-9899.2752619212115</v>
      </c>
      <c r="W536" s="37">
        <f t="shared" si="181"/>
        <v>-15998.549902572151</v>
      </c>
      <c r="Y536" s="37">
        <f t="shared" si="183"/>
        <v>141103.18009040647</v>
      </c>
      <c r="Z536" s="37">
        <f t="shared" si="184"/>
        <v>28339.245780486188</v>
      </c>
      <c r="AA536" s="37">
        <f t="shared" si="185"/>
        <v>-260.66046104301643</v>
      </c>
      <c r="AB536" s="37">
        <f t="shared" si="186"/>
        <v>1009.1354883733576</v>
      </c>
      <c r="AC536" s="37">
        <f t="shared" si="187"/>
        <v>-62.079704754999817</v>
      </c>
      <c r="AD536" s="37">
        <f t="shared" si="188"/>
        <v>-12.963262756656409</v>
      </c>
      <c r="AE536" s="39">
        <f t="shared" si="189"/>
        <v>-33.835911884720872</v>
      </c>
      <c r="AF536" s="39">
        <f t="shared" si="190"/>
        <v>-5.8224307854359099</v>
      </c>
      <c r="AG536" s="39">
        <f t="shared" si="191"/>
        <v>-6.7683688531995649</v>
      </c>
      <c r="AH536" s="39">
        <f t="shared" si="192"/>
        <v>-0.77048001077419992</v>
      </c>
      <c r="AI536" s="39">
        <f t="shared" si="193"/>
        <v>-21.475424017079384</v>
      </c>
      <c r="AJ536" s="39">
        <f t="shared" si="194"/>
        <v>-6.3703519604462979</v>
      </c>
      <c r="AK536" s="37">
        <f t="shared" si="195"/>
        <v>122883.09237933806</v>
      </c>
      <c r="AL536" s="37">
        <f t="shared" si="196"/>
        <v>162143.64795155876</v>
      </c>
      <c r="AM536" s="37">
        <f t="shared" si="197"/>
        <v>152395.63464007468</v>
      </c>
    </row>
    <row r="537" spans="12:39">
      <c r="L537">
        <v>533</v>
      </c>
      <c r="M537" s="37">
        <f t="shared" si="182"/>
        <v>3.3489377687267434</v>
      </c>
      <c r="N537" s="37">
        <f t="shared" si="176"/>
        <v>15107.095478372663</v>
      </c>
      <c r="O537" s="37">
        <f t="shared" si="177"/>
        <v>6470.6869561504773</v>
      </c>
      <c r="R537" s="37">
        <f t="shared" si="178"/>
        <v>-23425.033165139135</v>
      </c>
      <c r="S537" s="37">
        <f t="shared" si="179"/>
        <v>9279.4808693053346</v>
      </c>
      <c r="V537" s="37">
        <f t="shared" si="180"/>
        <v>-9892.9045216273371</v>
      </c>
      <c r="W537" s="37">
        <f t="shared" si="181"/>
        <v>-16029.313043849523</v>
      </c>
      <c r="Y537" s="37">
        <f t="shared" si="183"/>
        <v>140965.0898967906</v>
      </c>
      <c r="Z537" s="37">
        <f t="shared" si="184"/>
        <v>28842.193116828286</v>
      </c>
      <c r="AA537" s="37">
        <f t="shared" si="185"/>
        <v>-291.70031342051635</v>
      </c>
      <c r="AB537" s="37">
        <f t="shared" si="186"/>
        <v>1002.6538569950294</v>
      </c>
      <c r="AC537" s="37">
        <f t="shared" si="187"/>
        <v>-62.060882748243543</v>
      </c>
      <c r="AD537" s="37">
        <f t="shared" si="188"/>
        <v>-13.205742211762129</v>
      </c>
      <c r="AE537" s="39">
        <f t="shared" si="189"/>
        <v>-33.838101043162851</v>
      </c>
      <c r="AF537" s="39">
        <f t="shared" si="190"/>
        <v>-5.9701463272263551</v>
      </c>
      <c r="AG537" s="39">
        <f t="shared" si="191"/>
        <v>-6.7725055812920809</v>
      </c>
      <c r="AH537" s="39">
        <f t="shared" si="192"/>
        <v>-0.79277350218811082</v>
      </c>
      <c r="AI537" s="39">
        <f t="shared" si="193"/>
        <v>-21.450276123788608</v>
      </c>
      <c r="AJ537" s="39">
        <f t="shared" si="194"/>
        <v>-6.4428223823476625</v>
      </c>
      <c r="AK537" s="37">
        <f t="shared" si="195"/>
        <v>122833.39196152902</v>
      </c>
      <c r="AL537" s="37">
        <f t="shared" si="196"/>
        <v>162064.14904886807</v>
      </c>
      <c r="AM537" s="37">
        <f t="shared" si="197"/>
        <v>152407.16966688746</v>
      </c>
    </row>
    <row r="538" spans="12:39">
      <c r="L538">
        <v>534</v>
      </c>
      <c r="M538" s="37">
        <f t="shared" si="182"/>
        <v>3.3552209540339231</v>
      </c>
      <c r="N538" s="37">
        <f t="shared" si="176"/>
        <v>15113.659382159058</v>
      </c>
      <c r="O538" s="37">
        <f t="shared" si="177"/>
        <v>6439.9644503896097</v>
      </c>
      <c r="R538" s="37">
        <f t="shared" si="178"/>
        <v>-23420.43843248866</v>
      </c>
      <c r="S538" s="37">
        <f t="shared" si="179"/>
        <v>9257.9751152727276</v>
      </c>
      <c r="V538" s="37">
        <f t="shared" si="180"/>
        <v>-9886.3406178409423</v>
      </c>
      <c r="W538" s="37">
        <f t="shared" si="181"/>
        <v>-16060.035549610389</v>
      </c>
      <c r="Y538" s="37">
        <f t="shared" si="183"/>
        <v>140811.4821297368</v>
      </c>
      <c r="Z538" s="37">
        <f t="shared" si="184"/>
        <v>29341.869327549332</v>
      </c>
      <c r="AA538" s="37">
        <f t="shared" si="185"/>
        <v>-322.73075479463813</v>
      </c>
      <c r="AB538" s="37">
        <f t="shared" si="186"/>
        <v>996.05098588914836</v>
      </c>
      <c r="AC538" s="37">
        <f t="shared" si="187"/>
        <v>-62.053643180891214</v>
      </c>
      <c r="AD538" s="37">
        <f t="shared" si="188"/>
        <v>-13.451100556383629</v>
      </c>
      <c r="AE538" s="39">
        <f t="shared" si="189"/>
        <v>-33.847134797040084</v>
      </c>
      <c r="AF538" s="39">
        <f t="shared" si="190"/>
        <v>-6.1193247720857844</v>
      </c>
      <c r="AG538" s="39">
        <f t="shared" si="191"/>
        <v>-6.777764450844515</v>
      </c>
      <c r="AH538" s="39">
        <f t="shared" si="192"/>
        <v>-0.81520692804374151</v>
      </c>
      <c r="AI538" s="39">
        <f t="shared" si="193"/>
        <v>-21.428743933006615</v>
      </c>
      <c r="AJ538" s="39">
        <f t="shared" si="194"/>
        <v>-6.5165688562541044</v>
      </c>
      <c r="AK538" s="37">
        <f t="shared" si="195"/>
        <v>122770.03490308805</v>
      </c>
      <c r="AL538" s="37">
        <f t="shared" si="196"/>
        <v>161970.49328148214</v>
      </c>
      <c r="AM538" s="37">
        <f t="shared" si="197"/>
        <v>152404.69053258176</v>
      </c>
    </row>
    <row r="539" spans="12:39">
      <c r="L539">
        <v>535</v>
      </c>
      <c r="M539" s="37">
        <f t="shared" si="182"/>
        <v>3.3615041393411027</v>
      </c>
      <c r="N539" s="37">
        <f t="shared" si="176"/>
        <v>15120.416190306289</v>
      </c>
      <c r="O539" s="37">
        <f t="shared" si="177"/>
        <v>6409.28379301717</v>
      </c>
      <c r="R539" s="37">
        <f t="shared" si="178"/>
        <v>-23415.708666785598</v>
      </c>
      <c r="S539" s="37">
        <f t="shared" si="179"/>
        <v>9236.4986551120201</v>
      </c>
      <c r="V539" s="37">
        <f t="shared" si="180"/>
        <v>-9879.5838096937114</v>
      </c>
      <c r="W539" s="37">
        <f t="shared" si="181"/>
        <v>-16090.71620698283</v>
      </c>
      <c r="Y539" s="37">
        <f t="shared" si="183"/>
        <v>140642.36004694187</v>
      </c>
      <c r="Z539" s="37">
        <f t="shared" si="184"/>
        <v>29838.213432924356</v>
      </c>
      <c r="AA539" s="37">
        <f t="shared" si="185"/>
        <v>-353.75757638508372</v>
      </c>
      <c r="AB539" s="37">
        <f t="shared" si="186"/>
        <v>989.32543561095656</v>
      </c>
      <c r="AC539" s="37">
        <f t="shared" si="187"/>
        <v>-62.057990558194774</v>
      </c>
      <c r="AD539" s="37">
        <f t="shared" si="188"/>
        <v>-13.699537982779066</v>
      </c>
      <c r="AE539" s="39">
        <f t="shared" si="189"/>
        <v>-33.863028835717223</v>
      </c>
      <c r="AF539" s="39">
        <f t="shared" si="190"/>
        <v>-6.2700992033245457</v>
      </c>
      <c r="AG539" s="39">
        <f t="shared" si="191"/>
        <v>-6.7841512716843342</v>
      </c>
      <c r="AH539" s="39">
        <f t="shared" si="192"/>
        <v>-0.83779546596297094</v>
      </c>
      <c r="AI539" s="39">
        <f t="shared" si="193"/>
        <v>-21.41081045079321</v>
      </c>
      <c r="AJ539" s="39">
        <f t="shared" si="194"/>
        <v>-6.5916433134915504</v>
      </c>
      <c r="AK539" s="37">
        <f t="shared" si="195"/>
        <v>122693.01046543295</v>
      </c>
      <c r="AL539" s="37">
        <f t="shared" si="196"/>
        <v>161862.66571900257</v>
      </c>
      <c r="AM539" s="37">
        <f t="shared" si="197"/>
        <v>152388.19647170685</v>
      </c>
    </row>
    <row r="540" spans="12:39">
      <c r="L540">
        <v>536</v>
      </c>
      <c r="M540" s="37">
        <f t="shared" si="182"/>
        <v>3.3677873246482823</v>
      </c>
      <c r="N540" s="37">
        <f t="shared" si="176"/>
        <v>15127.365636067141</v>
      </c>
      <c r="O540" s="37">
        <f t="shared" si="177"/>
        <v>6378.6461952529771</v>
      </c>
      <c r="R540" s="37">
        <f t="shared" si="178"/>
        <v>-23410.844054753001</v>
      </c>
      <c r="S540" s="37">
        <f t="shared" si="179"/>
        <v>9215.0523366770831</v>
      </c>
      <c r="V540" s="37">
        <f t="shared" si="180"/>
        <v>-9872.6343639328588</v>
      </c>
      <c r="W540" s="37">
        <f t="shared" si="181"/>
        <v>-16121.353804747023</v>
      </c>
      <c r="Y540" s="37">
        <f t="shared" si="183"/>
        <v>140457.72400992954</v>
      </c>
      <c r="Z540" s="37">
        <f t="shared" si="184"/>
        <v>30331.163708481985</v>
      </c>
      <c r="AA540" s="37">
        <f t="shared" si="185"/>
        <v>-384.78657166418111</v>
      </c>
      <c r="AB540" s="37">
        <f t="shared" si="186"/>
        <v>982.47566661956705</v>
      </c>
      <c r="AC540" s="37">
        <f t="shared" si="187"/>
        <v>-62.073941241711026</v>
      </c>
      <c r="AD540" s="37">
        <f t="shared" si="188"/>
        <v>-13.95125870592079</v>
      </c>
      <c r="AE540" s="39">
        <f t="shared" si="189"/>
        <v>-33.885806221785828</v>
      </c>
      <c r="AF540" s="39">
        <f t="shared" si="190"/>
        <v>-6.4226050724627335</v>
      </c>
      <c r="AG540" s="39">
        <f t="shared" si="191"/>
        <v>-6.7916729413233412</v>
      </c>
      <c r="AH540" s="39">
        <f t="shared" si="192"/>
        <v>-0.86055448733628626</v>
      </c>
      <c r="AI540" s="39">
        <f t="shared" si="193"/>
        <v>-21.396462078601857</v>
      </c>
      <c r="AJ540" s="39">
        <f t="shared" si="194"/>
        <v>-6.6680991461217705</v>
      </c>
      <c r="AK540" s="37">
        <f t="shared" si="195"/>
        <v>122602.30548377082</v>
      </c>
      <c r="AL540" s="37">
        <f t="shared" si="196"/>
        <v>161740.64860815855</v>
      </c>
      <c r="AM540" s="37">
        <f t="shared" si="197"/>
        <v>152357.68401138825</v>
      </c>
    </row>
    <row r="541" spans="12:39">
      <c r="L541">
        <v>537</v>
      </c>
      <c r="M541" s="37">
        <f t="shared" si="182"/>
        <v>3.374070509955462</v>
      </c>
      <c r="N541" s="37">
        <f t="shared" si="176"/>
        <v>15134.507445089395</v>
      </c>
      <c r="O541" s="37">
        <f t="shared" si="177"/>
        <v>6348.0528666169303</v>
      </c>
      <c r="R541" s="37">
        <f t="shared" si="178"/>
        <v>-23405.844788437422</v>
      </c>
      <c r="S541" s="37">
        <f t="shared" si="179"/>
        <v>9193.6370066318505</v>
      </c>
      <c r="V541" s="37">
        <f t="shared" si="180"/>
        <v>-9865.4925549106047</v>
      </c>
      <c r="W541" s="37">
        <f t="shared" si="181"/>
        <v>-16151.94713338307</v>
      </c>
      <c r="Y541" s="37">
        <f t="shared" si="183"/>
        <v>140257.57148144225</v>
      </c>
      <c r="Z541" s="37">
        <f t="shared" si="184"/>
        <v>30820.657634453528</v>
      </c>
      <c r="AA541" s="37">
        <f t="shared" si="185"/>
        <v>-415.82354228503664</v>
      </c>
      <c r="AB541" s="37">
        <f t="shared" si="186"/>
        <v>975.50003726660668</v>
      </c>
      <c r="AC541" s="37">
        <f t="shared" si="187"/>
        <v>-62.101523504816249</v>
      </c>
      <c r="AD541" s="37">
        <f t="shared" si="188"/>
        <v>-14.2064714138823</v>
      </c>
      <c r="AE541" s="39">
        <f t="shared" si="189"/>
        <v>-33.915497456998239</v>
      </c>
      <c r="AF541" s="39">
        <f t="shared" si="190"/>
        <v>-6.5769805173463798</v>
      </c>
      <c r="AG541" s="39">
        <f t="shared" si="191"/>
        <v>-6.8003374619531716</v>
      </c>
      <c r="AH541" s="39">
        <f t="shared" si="192"/>
        <v>-0.88349958622997959</v>
      </c>
      <c r="AI541" s="39">
        <f t="shared" si="193"/>
        <v>-21.385688585864841</v>
      </c>
      <c r="AJ541" s="39">
        <f t="shared" si="194"/>
        <v>-6.7459913103059401</v>
      </c>
      <c r="AK541" s="37">
        <f t="shared" si="195"/>
        <v>122497.90435398309</v>
      </c>
      <c r="AL541" s="37">
        <f t="shared" si="196"/>
        <v>161604.42135492674</v>
      </c>
      <c r="AM541" s="37">
        <f t="shared" si="197"/>
        <v>152313.1469661766</v>
      </c>
    </row>
    <row r="542" spans="12:39">
      <c r="L542">
        <v>538</v>
      </c>
      <c r="M542" s="37">
        <f t="shared" si="182"/>
        <v>3.3803536952626416</v>
      </c>
      <c r="N542" s="37">
        <f t="shared" si="176"/>
        <v>15141.841335426659</v>
      </c>
      <c r="O542" s="37">
        <f t="shared" si="177"/>
        <v>6317.5050148812597</v>
      </c>
      <c r="R542" s="37">
        <f t="shared" si="178"/>
        <v>-23400.71106520134</v>
      </c>
      <c r="S542" s="37">
        <f t="shared" si="179"/>
        <v>9172.2535104168819</v>
      </c>
      <c r="V542" s="37">
        <f t="shared" si="180"/>
        <v>-9858.1586645733405</v>
      </c>
      <c r="W542" s="37">
        <f t="shared" si="181"/>
        <v>-16182.494985118741</v>
      </c>
      <c r="Y542" s="37">
        <f t="shared" si="183"/>
        <v>140041.89701986164</v>
      </c>
      <c r="Z542" s="37">
        <f t="shared" si="184"/>
        <v>31306.631844160096</v>
      </c>
      <c r="AA542" s="37">
        <f t="shared" si="185"/>
        <v>-446.87430403744474</v>
      </c>
      <c r="AB542" s="37">
        <f t="shared" si="186"/>
        <v>968.39680155966551</v>
      </c>
      <c r="AC542" s="37">
        <f t="shared" si="187"/>
        <v>-62.140777617601415</v>
      </c>
      <c r="AD542" s="37">
        <f t="shared" si="188"/>
        <v>-14.465389732955614</v>
      </c>
      <c r="AE542" s="39">
        <f t="shared" si="189"/>
        <v>-33.952140567172677</v>
      </c>
      <c r="AF542" s="39">
        <f t="shared" si="190"/>
        <v>-6.733366690049202</v>
      </c>
      <c r="AG542" s="39">
        <f t="shared" si="191"/>
        <v>-6.8101539601380532</v>
      </c>
      <c r="AH542" s="39">
        <f t="shared" si="192"/>
        <v>-0.90664660899828575</v>
      </c>
      <c r="AI542" s="39">
        <f t="shared" si="193"/>
        <v>-21.37848309029069</v>
      </c>
      <c r="AJ542" s="39">
        <f t="shared" si="194"/>
        <v>-6.8253764339081258</v>
      </c>
      <c r="AK542" s="37">
        <f t="shared" si="195"/>
        <v>122379.7890171839</v>
      </c>
      <c r="AL542" s="37">
        <f t="shared" si="196"/>
        <v>161453.96050347781</v>
      </c>
      <c r="AM542" s="37">
        <f t="shared" si="197"/>
        <v>152254.57642997379</v>
      </c>
    </row>
    <row r="543" spans="12:39">
      <c r="L543">
        <v>539</v>
      </c>
      <c r="M543" s="37">
        <f t="shared" si="182"/>
        <v>3.3866368805698213</v>
      </c>
      <c r="N543" s="37">
        <f t="shared" si="176"/>
        <v>15149.367017549499</v>
      </c>
      <c r="O543" s="37">
        <f t="shared" si="177"/>
        <v>6287.0038460228461</v>
      </c>
      <c r="R543" s="37">
        <f t="shared" si="178"/>
        <v>-23395.44308771535</v>
      </c>
      <c r="S543" s="37">
        <f t="shared" si="179"/>
        <v>9150.9026922159919</v>
      </c>
      <c r="V543" s="37">
        <f t="shared" si="180"/>
        <v>-9850.632982450501</v>
      </c>
      <c r="W543" s="37">
        <f t="shared" si="181"/>
        <v>-16212.996153977154</v>
      </c>
      <c r="Y543" s="37">
        <f t="shared" si="183"/>
        <v>139810.69227064072</v>
      </c>
      <c r="Z543" s="37">
        <f t="shared" si="184"/>
        <v>31789.022071223306</v>
      </c>
      <c r="AA543" s="37">
        <f t="shared" si="185"/>
        <v>-477.94469284624546</v>
      </c>
      <c r="AB543" s="37">
        <f t="shared" si="186"/>
        <v>961.1641066931877</v>
      </c>
      <c r="AC543" s="37">
        <f t="shared" si="187"/>
        <v>-62.191755961572397</v>
      </c>
      <c r="AD543" s="37">
        <f t="shared" si="188"/>
        <v>-14.728232709504715</v>
      </c>
      <c r="AE543" s="39">
        <f t="shared" si="189"/>
        <v>-33.995781206476707</v>
      </c>
      <c r="AF543" s="39">
        <f t="shared" si="190"/>
        <v>-6.8919080960433838</v>
      </c>
      <c r="AG543" s="39">
        <f t="shared" si="191"/>
        <v>-6.8211327092942486</v>
      </c>
      <c r="AH543" s="39">
        <f t="shared" si="192"/>
        <v>-0.93001168471166229</v>
      </c>
      <c r="AI543" s="39">
        <f t="shared" si="193"/>
        <v>-21.374842045801447</v>
      </c>
      <c r="AJ543" s="39">
        <f t="shared" si="194"/>
        <v>-6.906312928749669</v>
      </c>
      <c r="AK543" s="37">
        <f t="shared" si="195"/>
        <v>122247.93894191648</v>
      </c>
      <c r="AL543" s="37">
        <f t="shared" si="196"/>
        <v>161289.23971189672</v>
      </c>
      <c r="AM543" s="37">
        <f t="shared" si="197"/>
        <v>152181.9607650119</v>
      </c>
    </row>
    <row r="544" spans="12:39">
      <c r="L544">
        <v>540</v>
      </c>
      <c r="M544" s="37">
        <f t="shared" si="182"/>
        <v>3.3929200658770009</v>
      </c>
      <c r="N544" s="37">
        <f t="shared" si="176"/>
        <v>15157.084194356874</v>
      </c>
      <c r="O544" s="37">
        <f t="shared" si="177"/>
        <v>6256.550564175609</v>
      </c>
      <c r="R544" s="37">
        <f t="shared" si="178"/>
        <v>-23390.041063950186</v>
      </c>
      <c r="S544" s="37">
        <f t="shared" si="179"/>
        <v>9129.5853949229258</v>
      </c>
      <c r="V544" s="37">
        <f t="shared" si="180"/>
        <v>-9842.9158056431261</v>
      </c>
      <c r="W544" s="37">
        <f t="shared" si="181"/>
        <v>-16243.44943582439</v>
      </c>
      <c r="Y544" s="37">
        <f t="shared" si="183"/>
        <v>139563.94595472238</v>
      </c>
      <c r="Z544" s="37">
        <f t="shared" si="184"/>
        <v>32267.763095481208</v>
      </c>
      <c r="AA544" s="37">
        <f t="shared" si="185"/>
        <v>-509.04057082703167</v>
      </c>
      <c r="AB544" s="37">
        <f t="shared" si="186"/>
        <v>953.79999033843535</v>
      </c>
      <c r="AC544" s="37">
        <f t="shared" si="187"/>
        <v>-62.254523174709789</v>
      </c>
      <c r="AD544" s="37">
        <f t="shared" si="188"/>
        <v>-14.995225310662022</v>
      </c>
      <c r="AE544" s="39">
        <f t="shared" si="189"/>
        <v>-34.04647278158189</v>
      </c>
      <c r="AF544" s="39">
        <f t="shared" si="190"/>
        <v>-7.0527529461958469</v>
      </c>
      <c r="AG544" s="39">
        <f t="shared" si="191"/>
        <v>-6.8332851550578333</v>
      </c>
      <c r="AH544" s="39">
        <f t="shared" si="192"/>
        <v>-0.95361125651701828</v>
      </c>
      <c r="AI544" s="39">
        <f t="shared" si="193"/>
        <v>-21.374765238070069</v>
      </c>
      <c r="AJ544" s="39">
        <f t="shared" si="194"/>
        <v>-6.9888611079491563</v>
      </c>
      <c r="AK544" s="37">
        <f t="shared" si="195"/>
        <v>122102.33110394599</v>
      </c>
      <c r="AL544" s="37">
        <f t="shared" si="196"/>
        <v>161110.22972461444</v>
      </c>
      <c r="AM544" s="37">
        <f t="shared" si="197"/>
        <v>152095.28558785256</v>
      </c>
    </row>
    <row r="545" spans="12:39">
      <c r="L545">
        <v>541</v>
      </c>
      <c r="M545" s="37">
        <f t="shared" si="182"/>
        <v>3.3992032511841805</v>
      </c>
      <c r="N545" s="37">
        <f t="shared" si="176"/>
        <v>15164.992561187855</v>
      </c>
      <c r="O545" s="37">
        <f t="shared" si="177"/>
        <v>6226.1463715829723</v>
      </c>
      <c r="R545" s="37">
        <f t="shared" si="178"/>
        <v>-23384.505207168502</v>
      </c>
      <c r="S545" s="37">
        <f t="shared" si="179"/>
        <v>9108.3024601080797</v>
      </c>
      <c r="V545" s="37">
        <f t="shared" si="180"/>
        <v>-9835.0074388121448</v>
      </c>
      <c r="W545" s="37">
        <f t="shared" si="181"/>
        <v>-16273.853628417028</v>
      </c>
      <c r="Y545" s="37">
        <f t="shared" si="183"/>
        <v>139301.64385391204</v>
      </c>
      <c r="Z545" s="37">
        <f t="shared" si="184"/>
        <v>32742.788687486591</v>
      </c>
      <c r="AA545" s="37">
        <f t="shared" si="185"/>
        <v>-540.16783241438657</v>
      </c>
      <c r="AB545" s="37">
        <f t="shared" si="186"/>
        <v>946.3023776831044</v>
      </c>
      <c r="AC545" s="37">
        <f t="shared" si="187"/>
        <v>-62.329156327578055</v>
      </c>
      <c r="AD545" s="37">
        <f t="shared" si="188"/>
        <v>-15.266598946090692</v>
      </c>
      <c r="AE545" s="39">
        <f t="shared" si="189"/>
        <v>-34.10427659627787</v>
      </c>
      <c r="AF545" s="39">
        <f t="shared" si="190"/>
        <v>-7.2160535232323815</v>
      </c>
      <c r="AG545" s="39">
        <f t="shared" si="191"/>
        <v>-6.8466239436552758</v>
      </c>
      <c r="AH545" s="39">
        <f t="shared" si="192"/>
        <v>-0.97746211405096051</v>
      </c>
      <c r="AI545" s="39">
        <f t="shared" si="193"/>
        <v>-21.37825578764491</v>
      </c>
      <c r="AJ545" s="39">
        <f t="shared" si="194"/>
        <v>-7.0730833088073508</v>
      </c>
      <c r="AK545" s="37">
        <f t="shared" si="195"/>
        <v>121942.93996360253</v>
      </c>
      <c r="AL545" s="37">
        <f t="shared" si="196"/>
        <v>160916.89834148029</v>
      </c>
      <c r="AM545" s="37">
        <f t="shared" si="197"/>
        <v>151994.53375236646</v>
      </c>
    </row>
    <row r="546" spans="12:39">
      <c r="L546">
        <v>542</v>
      </c>
      <c r="M546" s="37">
        <f t="shared" si="182"/>
        <v>3.4054864364913602</v>
      </c>
      <c r="N546" s="37">
        <f t="shared" si="176"/>
        <v>15173.091805833661</v>
      </c>
      <c r="O546" s="37">
        <f t="shared" si="177"/>
        <v>6195.7924685503976</v>
      </c>
      <c r="R546" s="37">
        <f t="shared" si="178"/>
        <v>-23378.835735916437</v>
      </c>
      <c r="S546" s="37">
        <f t="shared" si="179"/>
        <v>9087.0547279852781</v>
      </c>
      <c r="V546" s="37">
        <f t="shared" si="180"/>
        <v>-9826.9081941663389</v>
      </c>
      <c r="W546" s="37">
        <f t="shared" si="181"/>
        <v>-16304.207531449601</v>
      </c>
      <c r="Y546" s="37">
        <f t="shared" si="183"/>
        <v>139023.76879316391</v>
      </c>
      <c r="Z546" s="37">
        <f t="shared" si="184"/>
        <v>33214.031551459884</v>
      </c>
      <c r="AA546" s="37">
        <f t="shared" si="185"/>
        <v>-571.33241057817554</v>
      </c>
      <c r="AB546" s="37">
        <f t="shared" si="186"/>
        <v>938.66907821005907</v>
      </c>
      <c r="AC546" s="37">
        <f t="shared" si="187"/>
        <v>-62.415745131333004</v>
      </c>
      <c r="AD546" s="37">
        <f t="shared" si="188"/>
        <v>-15.54259201317296</v>
      </c>
      <c r="AE546" s="39">
        <f t="shared" si="189"/>
        <v>-34.169262017236882</v>
      </c>
      <c r="AF546" s="39">
        <f t="shared" si="190"/>
        <v>-7.3819665644110639</v>
      </c>
      <c r="AG546" s="39">
        <f t="shared" si="191"/>
        <v>-6.8611629534084431</v>
      </c>
      <c r="AH546" s="39">
        <f t="shared" si="192"/>
        <v>-1.0015814270336811</v>
      </c>
      <c r="AI546" s="39">
        <f t="shared" si="193"/>
        <v>-21.385320160687677</v>
      </c>
      <c r="AJ546" s="39">
        <f t="shared" si="194"/>
        <v>-7.1590440217282154</v>
      </c>
      <c r="AK546" s="37">
        <f t="shared" si="195"/>
        <v>121769.73744062198</v>
      </c>
      <c r="AL546" s="37">
        <f t="shared" si="196"/>
        <v>160709.21038339348</v>
      </c>
      <c r="AM546" s="37">
        <f t="shared" si="197"/>
        <v>151879.68532964474</v>
      </c>
    </row>
    <row r="547" spans="12:39">
      <c r="L547">
        <v>543</v>
      </c>
      <c r="M547" s="37">
        <f t="shared" si="182"/>
        <v>3.4117696217985398</v>
      </c>
      <c r="N547" s="37">
        <f t="shared" si="176"/>
        <v>15181.381608549984</v>
      </c>
      <c r="O547" s="37">
        <f t="shared" si="177"/>
        <v>6165.4900533980053</v>
      </c>
      <c r="R547" s="37">
        <f t="shared" si="178"/>
        <v>-23373.032874015011</v>
      </c>
      <c r="S547" s="37">
        <f t="shared" si="179"/>
        <v>9065.8430373786032</v>
      </c>
      <c r="V547" s="37">
        <f t="shared" si="180"/>
        <v>-9818.6183914500161</v>
      </c>
      <c r="W547" s="37">
        <f t="shared" si="181"/>
        <v>-16334.509946601995</v>
      </c>
      <c r="Y547" s="37">
        <f t="shared" si="183"/>
        <v>138730.3006197334</v>
      </c>
      <c r="Z547" s="37">
        <f t="shared" si="184"/>
        <v>33681.423266563266</v>
      </c>
      <c r="AA547" s="37">
        <f t="shared" si="185"/>
        <v>-602.54028314384209</v>
      </c>
      <c r="AB547" s="37">
        <f t="shared" si="186"/>
        <v>930.89778220347262</v>
      </c>
      <c r="AC547" s="37">
        <f t="shared" si="187"/>
        <v>-62.514392178608212</v>
      </c>
      <c r="AD547" s="37">
        <f t="shared" si="188"/>
        <v>-15.82345046813148</v>
      </c>
      <c r="AE547" s="39">
        <f t="shared" si="189"/>
        <v>-34.241506661712926</v>
      </c>
      <c r="AF547" s="39">
        <f t="shared" si="190"/>
        <v>-7.5506536622560505</v>
      </c>
      <c r="AG547" s="39">
        <f t="shared" si="191"/>
        <v>-6.8769173295181751</v>
      </c>
      <c r="AH547" s="39">
        <f t="shared" si="192"/>
        <v>-1.0259867801777327</v>
      </c>
      <c r="AI547" s="39">
        <f t="shared" si="193"/>
        <v>-21.395968187377115</v>
      </c>
      <c r="AJ547" s="39">
        <f t="shared" si="194"/>
        <v>-7.2468100256976955</v>
      </c>
      <c r="AK547" s="37">
        <f t="shared" si="195"/>
        <v>121582.69288642691</v>
      </c>
      <c r="AL547" s="37">
        <f t="shared" si="196"/>
        <v>160487.12765440429</v>
      </c>
      <c r="AM547" s="37">
        <f t="shared" si="197"/>
        <v>151750.71758478516</v>
      </c>
    </row>
    <row r="548" spans="12:39">
      <c r="L548">
        <v>544</v>
      </c>
      <c r="M548" s="37">
        <f t="shared" si="182"/>
        <v>3.4180528071057195</v>
      </c>
      <c r="N548" s="37">
        <f t="shared" si="176"/>
        <v>15189.861642069603</v>
      </c>
      <c r="O548" s="37">
        <f t="shared" si="177"/>
        <v>6135.2403224132568</v>
      </c>
      <c r="R548" s="37">
        <f t="shared" si="178"/>
        <v>-23367.096850551279</v>
      </c>
      <c r="S548" s="37">
        <f t="shared" si="179"/>
        <v>9044.66822568928</v>
      </c>
      <c r="V548" s="37">
        <f t="shared" si="180"/>
        <v>-9810.1383579303965</v>
      </c>
      <c r="W548" s="37">
        <f t="shared" si="181"/>
        <v>-16364.759677586744</v>
      </c>
      <c r="Y548" s="37">
        <f t="shared" si="183"/>
        <v>138421.21617913916</v>
      </c>
      <c r="Z548" s="37">
        <f t="shared" si="184"/>
        <v>34144.89422635649</v>
      </c>
      <c r="AA548" s="37">
        <f t="shared" si="185"/>
        <v>-633.79747923314619</v>
      </c>
      <c r="AB548" s="37">
        <f t="shared" si="186"/>
        <v>922.98605696940683</v>
      </c>
      <c r="AC548" s="37">
        <f t="shared" si="187"/>
        <v>-62.625213218428286</v>
      </c>
      <c r="AD548" s="37">
        <f t="shared" si="188"/>
        <v>-16.109428425762953</v>
      </c>
      <c r="AE548" s="39">
        <f t="shared" si="189"/>
        <v>-34.321096608072708</v>
      </c>
      <c r="AF548" s="39">
        <f t="shared" si="190"/>
        <v>-7.7222816853299054</v>
      </c>
      <c r="AG548" s="39">
        <f t="shared" si="191"/>
        <v>-6.8939035222903753</v>
      </c>
      <c r="AH548" s="39">
        <f t="shared" si="192"/>
        <v>-1.0506962095543233</v>
      </c>
      <c r="AI548" s="39">
        <f t="shared" si="193"/>
        <v>-21.410213088065209</v>
      </c>
      <c r="AJ548" s="39">
        <f t="shared" si="194"/>
        <v>-7.336450530878726</v>
      </c>
      <c r="AK548" s="37">
        <f t="shared" si="195"/>
        <v>121381.77305378322</v>
      </c>
      <c r="AL548" s="37">
        <f t="shared" si="196"/>
        <v>160250.60890018323</v>
      </c>
      <c r="AM548" s="37">
        <f t="shared" si="197"/>
        <v>151607.60495048767</v>
      </c>
    </row>
    <row r="549" spans="12:39">
      <c r="L549">
        <v>545</v>
      </c>
      <c r="M549" s="37">
        <f t="shared" si="182"/>
        <v>3.4243359924128991</v>
      </c>
      <c r="N549" s="37">
        <f t="shared" si="176"/>
        <v>15198.531571615318</v>
      </c>
      <c r="O549" s="37">
        <f t="shared" si="177"/>
        <v>6105.0444698037363</v>
      </c>
      <c r="R549" s="37">
        <f t="shared" si="178"/>
        <v>-23361.027899869277</v>
      </c>
      <c r="S549" s="37">
        <f t="shared" si="179"/>
        <v>9023.5311288626144</v>
      </c>
      <c r="V549" s="37">
        <f t="shared" si="180"/>
        <v>-9801.4684283846818</v>
      </c>
      <c r="W549" s="37">
        <f t="shared" si="181"/>
        <v>-16394.955530196265</v>
      </c>
      <c r="Y549" s="37">
        <f t="shared" si="183"/>
        <v>138096.4892878703</v>
      </c>
      <c r="Z549" s="37">
        <f t="shared" si="184"/>
        <v>34604.373576287973</v>
      </c>
      <c r="AA549" s="37">
        <f t="shared" si="185"/>
        <v>-665.11008584236038</v>
      </c>
      <c r="AB549" s="37">
        <f t="shared" si="186"/>
        <v>914.9313427565254</v>
      </c>
      <c r="AC549" s="37">
        <f t="shared" si="187"/>
        <v>-62.748337466467881</v>
      </c>
      <c r="AD549" s="37">
        <f t="shared" si="188"/>
        <v>-16.400788790656033</v>
      </c>
      <c r="AE549" s="39">
        <f t="shared" si="189"/>
        <v>-34.408126630176582</v>
      </c>
      <c r="AF549" s="39">
        <f t="shared" si="190"/>
        <v>-7.8970232211662976</v>
      </c>
      <c r="AG549" s="39">
        <f t="shared" si="191"/>
        <v>-6.9121393289834421</v>
      </c>
      <c r="AH549" s="39">
        <f t="shared" si="192"/>
        <v>-1.0757282405682702</v>
      </c>
      <c r="AI549" s="39">
        <f t="shared" si="193"/>
        <v>-21.428071507307855</v>
      </c>
      <c r="AJ549" s="39">
        <f t="shared" si="194"/>
        <v>-7.428037328921465</v>
      </c>
      <c r="AK549" s="37">
        <f t="shared" si="195"/>
        <v>121166.94206376193</v>
      </c>
      <c r="AL549" s="37">
        <f t="shared" si="196"/>
        <v>159999.6097627467</v>
      </c>
      <c r="AM549" s="37">
        <f t="shared" si="197"/>
        <v>151450.31899738446</v>
      </c>
    </row>
    <row r="550" spans="12:39">
      <c r="L550">
        <v>546</v>
      </c>
      <c r="M550" s="37">
        <f t="shared" si="182"/>
        <v>3.4306191777200787</v>
      </c>
      <c r="N550" s="37">
        <f t="shared" si="176"/>
        <v>15207.391054913154</v>
      </c>
      <c r="O550" s="37">
        <f t="shared" si="177"/>
        <v>6074.9036876500013</v>
      </c>
      <c r="R550" s="37">
        <f t="shared" si="178"/>
        <v>-23354.826261560793</v>
      </c>
      <c r="S550" s="37">
        <f t="shared" si="179"/>
        <v>9002.4325813550022</v>
      </c>
      <c r="V550" s="37">
        <f t="shared" si="180"/>
        <v>-9792.6089450868458</v>
      </c>
      <c r="W550" s="37">
        <f t="shared" si="181"/>
        <v>-16425.096312349997</v>
      </c>
      <c r="Y550" s="37">
        <f t="shared" si="183"/>
        <v>137756.0907027658</v>
      </c>
      <c r="Z550" s="37">
        <f t="shared" si="184"/>
        <v>35059.789149067401</v>
      </c>
      <c r="AA550" s="37">
        <f t="shared" si="185"/>
        <v>-696.48425457559426</v>
      </c>
      <c r="AB550" s="37">
        <f t="shared" si="186"/>
        <v>906.73094836119742</v>
      </c>
      <c r="AC550" s="37">
        <f t="shared" si="187"/>
        <v>-62.883907952134372</v>
      </c>
      <c r="AD550" s="37">
        <f t="shared" si="188"/>
        <v>-16.697803922974966</v>
      </c>
      <c r="AE550" s="39">
        <f t="shared" si="189"/>
        <v>-34.502700456734608</v>
      </c>
      <c r="AF550" s="39">
        <f t="shared" si="190"/>
        <v>-8.0750570436413387</v>
      </c>
      <c r="AG550" s="39">
        <f t="shared" si="191"/>
        <v>-6.9316439394781488</v>
      </c>
      <c r="AH550" s="39">
        <f t="shared" si="192"/>
        <v>-1.1011019277031813</v>
      </c>
      <c r="AI550" s="39">
        <f t="shared" si="193"/>
        <v>-21.449563555921614</v>
      </c>
      <c r="AJ550" s="39">
        <f t="shared" si="194"/>
        <v>-7.5216449516304458</v>
      </c>
      <c r="AK550" s="37">
        <f t="shared" si="195"/>
        <v>120938.16136992929</v>
      </c>
      <c r="AL550" s="37">
        <f t="shared" si="196"/>
        <v>159734.08273131624</v>
      </c>
      <c r="AM550" s="37">
        <f t="shared" si="197"/>
        <v>151278.82840102041</v>
      </c>
    </row>
    <row r="551" spans="12:39">
      <c r="L551">
        <v>547</v>
      </c>
      <c r="M551" s="37">
        <f t="shared" si="182"/>
        <v>3.4369023630272584</v>
      </c>
      <c r="N551" s="37">
        <f t="shared" si="176"/>
        <v>15216.439742205883</v>
      </c>
      <c r="O551" s="37">
        <f t="shared" si="177"/>
        <v>6044.8191658585229</v>
      </c>
      <c r="R551" s="37">
        <f t="shared" si="178"/>
        <v>-23348.492180455883</v>
      </c>
      <c r="S551" s="37">
        <f t="shared" si="179"/>
        <v>8981.373416100967</v>
      </c>
      <c r="V551" s="37">
        <f t="shared" si="180"/>
        <v>-9783.5602577941172</v>
      </c>
      <c r="W551" s="37">
        <f t="shared" si="181"/>
        <v>-16455.180834141476</v>
      </c>
      <c r="Y551" s="37">
        <f t="shared" si="183"/>
        <v>137399.988086984</v>
      </c>
      <c r="Z551" s="37">
        <f t="shared" si="184"/>
        <v>35511.06739775763</v>
      </c>
      <c r="AA551" s="37">
        <f t="shared" si="185"/>
        <v>-727.92620855166149</v>
      </c>
      <c r="AB551" s="37">
        <f t="shared" si="186"/>
        <v>898.38204639970991</v>
      </c>
      <c r="AC551" s="37">
        <f t="shared" si="187"/>
        <v>-63.032081904157721</v>
      </c>
      <c r="AD551" s="37">
        <f t="shared" si="188"/>
        <v>-17.000756342134252</v>
      </c>
      <c r="AE551" s="39">
        <f t="shared" si="189"/>
        <v>-34.604931056911575</v>
      </c>
      <c r="AF551" s="39">
        <f t="shared" si="190"/>
        <v>-8.256568607244807</v>
      </c>
      <c r="AG551" s="39">
        <f t="shared" si="191"/>
        <v>-6.9524379859890759</v>
      </c>
      <c r="AH551" s="39">
        <f t="shared" si="192"/>
        <v>-1.1268368962091717</v>
      </c>
      <c r="AI551" s="39">
        <f t="shared" si="193"/>
        <v>-21.474712861257071</v>
      </c>
      <c r="AJ551" s="39">
        <f t="shared" si="194"/>
        <v>-7.6173508386802729</v>
      </c>
      <c r="AK551" s="37">
        <f t="shared" si="195"/>
        <v>120695.38971968112</v>
      </c>
      <c r="AL551" s="37">
        <f t="shared" si="196"/>
        <v>159453.97708917654</v>
      </c>
      <c r="AM551" s="37">
        <f t="shared" si="197"/>
        <v>151093.0989053901</v>
      </c>
    </row>
    <row r="552" spans="12:39">
      <c r="L552">
        <v>548</v>
      </c>
      <c r="M552" s="37">
        <f t="shared" si="182"/>
        <v>3.443185548334438</v>
      </c>
      <c r="N552" s="37">
        <f t="shared" si="176"/>
        <v>15225.677276266822</v>
      </c>
      <c r="O552" s="37">
        <f t="shared" si="177"/>
        <v>6014.7920921147079</v>
      </c>
      <c r="R552" s="37">
        <f t="shared" si="178"/>
        <v>-23342.025906613224</v>
      </c>
      <c r="S552" s="37">
        <f t="shared" si="179"/>
        <v>8960.3544644802951</v>
      </c>
      <c r="V552" s="37">
        <f t="shared" si="180"/>
        <v>-9774.3227237331776</v>
      </c>
      <c r="W552" s="37">
        <f t="shared" si="181"/>
        <v>-16485.207907885291</v>
      </c>
      <c r="Y552" s="37">
        <f t="shared" si="183"/>
        <v>137028.14597247014</v>
      </c>
      <c r="Z552" s="37">
        <f t="shared" si="184"/>
        <v>35958.133326414718</v>
      </c>
      <c r="AA552" s="37">
        <f t="shared" si="185"/>
        <v>-759.4422495037403</v>
      </c>
      <c r="AB552" s="37">
        <f t="shared" si="186"/>
        <v>889.88166822864275</v>
      </c>
      <c r="AC552" s="37">
        <f t="shared" si="187"/>
        <v>-63.19303117655933</v>
      </c>
      <c r="AD552" s="37">
        <f t="shared" si="188"/>
        <v>-17.309939471953179</v>
      </c>
      <c r="AE552" s="39">
        <f t="shared" si="189"/>
        <v>-34.714940953584069</v>
      </c>
      <c r="AF552" s="39">
        <f t="shared" si="190"/>
        <v>-8.4417505709106084</v>
      </c>
      <c r="AG552" s="39">
        <f t="shared" si="191"/>
        <v>-6.9745435970621035</v>
      </c>
      <c r="AH552" s="39">
        <f t="shared" si="192"/>
        <v>-1.1529533859182852</v>
      </c>
      <c r="AI552" s="39">
        <f t="shared" si="193"/>
        <v>-21.503546625913156</v>
      </c>
      <c r="AJ552" s="39">
        <f t="shared" si="194"/>
        <v>-7.7152355151242862</v>
      </c>
      <c r="AK552" s="37">
        <f t="shared" si="195"/>
        <v>120438.58311262955</v>
      </c>
      <c r="AL552" s="37">
        <f t="shared" si="196"/>
        <v>159159.23885638342</v>
      </c>
      <c r="AM552" s="37">
        <f t="shared" si="197"/>
        <v>150893.09328292645</v>
      </c>
    </row>
    <row r="553" spans="12:39">
      <c r="L553">
        <v>549</v>
      </c>
      <c r="M553" s="37">
        <f t="shared" si="182"/>
        <v>3.4494687336416177</v>
      </c>
      <c r="N553" s="37">
        <f t="shared" si="176"/>
        <v>15235.103292413944</v>
      </c>
      <c r="O553" s="37">
        <f t="shared" si="177"/>
        <v>5984.8236518360127</v>
      </c>
      <c r="R553" s="37">
        <f t="shared" si="178"/>
        <v>-23335.427695310238</v>
      </c>
      <c r="S553" s="37">
        <f t="shared" si="179"/>
        <v>8939.3765562852095</v>
      </c>
      <c r="V553" s="37">
        <f t="shared" si="180"/>
        <v>-9764.8967075860564</v>
      </c>
      <c r="W553" s="37">
        <f t="shared" si="181"/>
        <v>-16515.176348163986</v>
      </c>
      <c r="Y553" s="37">
        <f t="shared" si="183"/>
        <v>136640.52571882121</v>
      </c>
      <c r="Z553" s="37">
        <f t="shared" si="184"/>
        <v>36400.910418095045</v>
      </c>
      <c r="AA553" s="37">
        <f t="shared" si="185"/>
        <v>-791.03876509201996</v>
      </c>
      <c r="AB553" s="37">
        <f t="shared" si="186"/>
        <v>881.22669849266617</v>
      </c>
      <c r="AC553" s="37">
        <f t="shared" si="187"/>
        <v>-63.366942717084846</v>
      </c>
      <c r="AD553" s="37">
        <f t="shared" si="188"/>
        <v>-17.625658431176369</v>
      </c>
      <c r="AE553" s="39">
        <f t="shared" si="189"/>
        <v>-34.832862565804071</v>
      </c>
      <c r="AF553" s="39">
        <f t="shared" si="190"/>
        <v>-8.630803354289732</v>
      </c>
      <c r="AG553" s="39">
        <f t="shared" si="191"/>
        <v>-6.9979844561241427</v>
      </c>
      <c r="AH553" s="39">
        <f t="shared" si="192"/>
        <v>-1.1794722973861671</v>
      </c>
      <c r="AI553" s="39">
        <f t="shared" si="193"/>
        <v>-21.536095695156632</v>
      </c>
      <c r="AJ553" s="39">
        <f t="shared" si="194"/>
        <v>-7.8153827795004673</v>
      </c>
      <c r="AK553" s="37">
        <f t="shared" si="195"/>
        <v>120167.69475594407</v>
      </c>
      <c r="AL553" s="37">
        <f t="shared" si="196"/>
        <v>158849.81072816224</v>
      </c>
      <c r="AM553" s="37">
        <f t="shared" si="197"/>
        <v>150678.77129082612</v>
      </c>
    </row>
    <row r="554" spans="12:39">
      <c r="L554">
        <v>550</v>
      </c>
      <c r="M554" s="37">
        <f t="shared" si="182"/>
        <v>3.4557519189487973</v>
      </c>
      <c r="N554" s="37">
        <f t="shared" si="176"/>
        <v>15244.717418524269</v>
      </c>
      <c r="O554" s="37">
        <f t="shared" si="177"/>
        <v>5954.915028125145</v>
      </c>
      <c r="R554" s="37">
        <f t="shared" si="178"/>
        <v>-23328.697807033011</v>
      </c>
      <c r="S554" s="37">
        <f t="shared" si="179"/>
        <v>8918.4405196876014</v>
      </c>
      <c r="V554" s="37">
        <f t="shared" si="180"/>
        <v>-9755.2825814757307</v>
      </c>
      <c r="W554" s="37">
        <f t="shared" si="181"/>
        <v>-16545.084971874854</v>
      </c>
      <c r="Y554" s="37">
        <f t="shared" si="183"/>
        <v>136237.08546843557</v>
      </c>
      <c r="Z554" s="37">
        <f t="shared" si="184"/>
        <v>36839.320560037486</v>
      </c>
      <c r="AA554" s="37">
        <f t="shared" si="185"/>
        <v>-822.72223645056238</v>
      </c>
      <c r="AB554" s="37">
        <f t="shared" si="186"/>
        <v>872.41386927707799</v>
      </c>
      <c r="AC554" s="37">
        <f t="shared" si="187"/>
        <v>-63.554019080424546</v>
      </c>
      <c r="AD554" s="37">
        <f t="shared" si="188"/>
        <v>-17.948230873578993</v>
      </c>
      <c r="AE554" s="39">
        <f t="shared" si="189"/>
        <v>-34.958838582193714</v>
      </c>
      <c r="AF554" s="39">
        <f t="shared" si="190"/>
        <v>-8.823935729600775</v>
      </c>
      <c r="AG554" s="39">
        <f t="shared" si="191"/>
        <v>-7.0227858648808716</v>
      </c>
      <c r="AH554" s="39">
        <f t="shared" si="192"/>
        <v>-1.2064152405743489</v>
      </c>
      <c r="AI554" s="39">
        <f t="shared" si="193"/>
        <v>-21.572394633349958</v>
      </c>
      <c r="AJ554" s="39">
        <f t="shared" si="194"/>
        <v>-7.91787990340387</v>
      </c>
      <c r="AK554" s="37">
        <f t="shared" si="195"/>
        <v>119882.67501653871</v>
      </c>
      <c r="AL554" s="37">
        <f t="shared" si="196"/>
        <v>158525.63200881961</v>
      </c>
      <c r="AM554" s="37">
        <f t="shared" si="197"/>
        <v>150450.08962358415</v>
      </c>
    </row>
    <row r="555" spans="12:39">
      <c r="L555">
        <v>551</v>
      </c>
      <c r="M555" s="37">
        <f t="shared" si="182"/>
        <v>3.4620351042559769</v>
      </c>
      <c r="N555" s="37">
        <f t="shared" si="176"/>
        <v>15254.519275048566</v>
      </c>
      <c r="O555" s="37">
        <f t="shared" si="177"/>
        <v>5925.0674017233587</v>
      </c>
      <c r="R555" s="37">
        <f t="shared" si="178"/>
        <v>-23321.836507466003</v>
      </c>
      <c r="S555" s="37">
        <f t="shared" si="179"/>
        <v>8897.5471812063515</v>
      </c>
      <c r="V555" s="37">
        <f t="shared" si="180"/>
        <v>-9745.4807249514342</v>
      </c>
      <c r="W555" s="37">
        <f t="shared" si="181"/>
        <v>-16574.932598276642</v>
      </c>
      <c r="Y555" s="37">
        <f t="shared" si="183"/>
        <v>135817.78009782522</v>
      </c>
      <c r="Z555" s="37">
        <f t="shared" si="184"/>
        <v>37273.28396581683</v>
      </c>
      <c r="AA555" s="37">
        <f t="shared" si="185"/>
        <v>-854.49924599077463</v>
      </c>
      <c r="AB555" s="37">
        <f t="shared" si="186"/>
        <v>863.43975384028852</v>
      </c>
      <c r="AC555" s="37">
        <f t="shared" si="187"/>
        <v>-63.754478988783596</v>
      </c>
      <c r="AD555" s="37">
        <f t="shared" si="188"/>
        <v>-18.27798788224159</v>
      </c>
      <c r="AE555" s="39">
        <f t="shared" si="189"/>
        <v>-35.093022367167947</v>
      </c>
      <c r="AF555" s="39">
        <f t="shared" si="190"/>
        <v>-9.0213654524714251</v>
      </c>
      <c r="AG555" s="39">
        <f t="shared" si="191"/>
        <v>-7.0489748118848938</v>
      </c>
      <c r="AH555" s="39">
        <f t="shared" si="192"/>
        <v>-1.2338045863041418</v>
      </c>
      <c r="AI555" s="39">
        <f t="shared" si="193"/>
        <v>-21.612481809730753</v>
      </c>
      <c r="AJ555" s="39">
        <f t="shared" si="194"/>
        <v>-8.0228178434660222</v>
      </c>
      <c r="AK555" s="37">
        <f t="shared" si="195"/>
        <v>119583.47136999061</v>
      </c>
      <c r="AL555" s="37">
        <f t="shared" si="196"/>
        <v>158186.63854097886</v>
      </c>
      <c r="AM555" s="37">
        <f t="shared" si="197"/>
        <v>150207.00186159892</v>
      </c>
    </row>
    <row r="556" spans="12:39">
      <c r="L556">
        <v>552</v>
      </c>
      <c r="M556" s="37">
        <f t="shared" si="182"/>
        <v>3.4683182895631566</v>
      </c>
      <c r="N556" s="37">
        <f t="shared" si="176"/>
        <v>15264.50847502632</v>
      </c>
      <c r="O556" s="37">
        <f t="shared" si="177"/>
        <v>5895.2819509638348</v>
      </c>
      <c r="R556" s="37">
        <f t="shared" si="178"/>
        <v>-23314.844067481579</v>
      </c>
      <c r="S556" s="37">
        <f t="shared" si="179"/>
        <v>8876.697365674685</v>
      </c>
      <c r="V556" s="37">
        <f t="shared" si="180"/>
        <v>-9735.4915249736805</v>
      </c>
      <c r="W556" s="37">
        <f t="shared" si="181"/>
        <v>-16604.718049036164</v>
      </c>
      <c r="Y556" s="37">
        <f t="shared" si="183"/>
        <v>135382.56116495625</v>
      </c>
      <c r="Z556" s="37">
        <f t="shared" si="184"/>
        <v>37702.71909425169</v>
      </c>
      <c r="AA556" s="37">
        <f t="shared" si="185"/>
        <v>-886.37648548516643</v>
      </c>
      <c r="AB556" s="37">
        <f t="shared" si="186"/>
        <v>854.3007598991677</v>
      </c>
      <c r="AC556" s="37">
        <f t="shared" si="187"/>
        <v>-63.968557942633794</v>
      </c>
      <c r="AD556" s="37">
        <f t="shared" si="188"/>
        <v>-18.615274922989503</v>
      </c>
      <c r="AE556" s="39">
        <f t="shared" si="189"/>
        <v>-35.23557840207026</v>
      </c>
      <c r="AF556" s="39">
        <f t="shared" si="190"/>
        <v>-9.2233199354949811</v>
      </c>
      <c r="AG556" s="39">
        <f t="shared" si="191"/>
        <v>-7.0765800466300401</v>
      </c>
      <c r="AH556" s="39">
        <f t="shared" si="192"/>
        <v>-1.2616635207322864</v>
      </c>
      <c r="AI556" s="39">
        <f t="shared" si="193"/>
        <v>-21.656399493933495</v>
      </c>
      <c r="AJ556" s="39">
        <f t="shared" si="194"/>
        <v>-8.1302914667622357</v>
      </c>
      <c r="AK556" s="37">
        <f t="shared" si="195"/>
        <v>119270.02834606498</v>
      </c>
      <c r="AL556" s="37">
        <f t="shared" si="196"/>
        <v>157832.76262993176</v>
      </c>
      <c r="AM556" s="37">
        <f t="shared" si="197"/>
        <v>149949.45841569512</v>
      </c>
    </row>
    <row r="557" spans="12:39">
      <c r="L557">
        <v>553</v>
      </c>
      <c r="M557" s="37">
        <f t="shared" si="182"/>
        <v>3.4746014748703362</v>
      </c>
      <c r="N557" s="37">
        <f t="shared" si="176"/>
        <v>15274.684624101017</v>
      </c>
      <c r="O557" s="37">
        <f t="shared" si="177"/>
        <v>5865.5598517251701</v>
      </c>
      <c r="R557" s="37">
        <f t="shared" si="178"/>
        <v>-23307.720763129288</v>
      </c>
      <c r="S557" s="37">
        <f t="shared" si="179"/>
        <v>8855.8918962076186</v>
      </c>
      <c r="V557" s="37">
        <f t="shared" si="180"/>
        <v>-9725.3153758989829</v>
      </c>
      <c r="W557" s="37">
        <f t="shared" si="181"/>
        <v>-16634.440148274829</v>
      </c>
      <c r="Y557" s="37">
        <f t="shared" si="183"/>
        <v>134931.37685247083</v>
      </c>
      <c r="Z557" s="37">
        <f t="shared" si="184"/>
        <v>38127.542564835901</v>
      </c>
      <c r="AA557" s="37">
        <f t="shared" si="185"/>
        <v>-918.36076445648337</v>
      </c>
      <c r="AB557" s="37">
        <f t="shared" si="186"/>
        <v>844.99312243767292</v>
      </c>
      <c r="AC557" s="37">
        <f t="shared" si="187"/>
        <v>-64.196508884779519</v>
      </c>
      <c r="AD557" s="37">
        <f t="shared" si="188"/>
        <v>-18.960452862451852</v>
      </c>
      <c r="AE557" s="39">
        <f t="shared" si="189"/>
        <v>-35.386682763524128</v>
      </c>
      <c r="AF557" s="39">
        <f t="shared" si="190"/>
        <v>-9.4300369685763492</v>
      </c>
      <c r="AG557" s="39">
        <f t="shared" si="191"/>
        <v>-7.1056321595621998</v>
      </c>
      <c r="AH557" s="39">
        <f t="shared" si="192"/>
        <v>-1.2900161031194322</v>
      </c>
      <c r="AI557" s="39">
        <f t="shared" si="193"/>
        <v>-21.704193961693186</v>
      </c>
      <c r="AJ557" s="39">
        <f t="shared" si="194"/>
        <v>-8.2403997907560687</v>
      </c>
      <c r="AK557" s="37">
        <f t="shared" si="195"/>
        <v>118942.28747071204</v>
      </c>
      <c r="AL557" s="37">
        <f t="shared" si="196"/>
        <v>157463.93296288198</v>
      </c>
      <c r="AM557" s="37">
        <f t="shared" si="197"/>
        <v>149677.40646739793</v>
      </c>
    </row>
    <row r="558" spans="12:39">
      <c r="L558">
        <v>554</v>
      </c>
      <c r="M558" s="37">
        <f t="shared" si="182"/>
        <v>3.4808846601775159</v>
      </c>
      <c r="N558" s="37">
        <f t="shared" si="176"/>
        <v>15285.047320535719</v>
      </c>
      <c r="O558" s="37">
        <f t="shared" si="177"/>
        <v>5835.9022773849492</v>
      </c>
      <c r="R558" s="37">
        <f t="shared" si="178"/>
        <v>-23300.466875624996</v>
      </c>
      <c r="S558" s="37">
        <f t="shared" si="179"/>
        <v>8835.1315941694647</v>
      </c>
      <c r="V558" s="37">
        <f t="shared" si="180"/>
        <v>-9714.9526794642807</v>
      </c>
      <c r="W558" s="37">
        <f t="shared" si="181"/>
        <v>-16664.09772261505</v>
      </c>
      <c r="Y558" s="37">
        <f t="shared" si="183"/>
        <v>134464.17190663196</v>
      </c>
      <c r="Z558" s="37">
        <f t="shared" si="184"/>
        <v>38547.669069446936</v>
      </c>
      <c r="AA558" s="37">
        <f t="shared" si="185"/>
        <v>-950.45901889887318</v>
      </c>
      <c r="AB558" s="37">
        <f t="shared" si="186"/>
        <v>835.51289600644702</v>
      </c>
      <c r="AC558" s="37">
        <f t="shared" si="187"/>
        <v>-64.438602921166151</v>
      </c>
      <c r="AD558" s="37">
        <f t="shared" si="188"/>
        <v>-19.313899056696407</v>
      </c>
      <c r="AE558" s="39">
        <f t="shared" si="189"/>
        <v>-35.546523641518576</v>
      </c>
      <c r="AF558" s="39">
        <f t="shared" si="190"/>
        <v>-9.6417654905272325</v>
      </c>
      <c r="AG558" s="39">
        <f t="shared" si="191"/>
        <v>-7.1361636684353291</v>
      </c>
      <c r="AH558" s="39">
        <f t="shared" si="192"/>
        <v>-1.3188873271857771</v>
      </c>
      <c r="AI558" s="39">
        <f t="shared" si="193"/>
        <v>-21.755915611212249</v>
      </c>
      <c r="AJ558" s="39">
        <f t="shared" si="194"/>
        <v>-8.3532462389833988</v>
      </c>
      <c r="AK558" s="37">
        <f t="shared" si="195"/>
        <v>118600.18720439225</v>
      </c>
      <c r="AL558" s="37">
        <f t="shared" si="196"/>
        <v>157080.07452283759</v>
      </c>
      <c r="AM558" s="37">
        <f t="shared" si="197"/>
        <v>149390.78990477824</v>
      </c>
    </row>
    <row r="559" spans="12:39">
      <c r="L559">
        <v>555</v>
      </c>
      <c r="M559" s="37">
        <f t="shared" si="182"/>
        <v>3.4871678454846955</v>
      </c>
      <c r="N559" s="37">
        <f t="shared" si="176"/>
        <v>15295.596155228915</v>
      </c>
      <c r="O559" s="37">
        <f t="shared" si="177"/>
        <v>5806.3103987734257</v>
      </c>
      <c r="R559" s="37">
        <f t="shared" si="178"/>
        <v>-23293.082691339761</v>
      </c>
      <c r="S559" s="37">
        <f t="shared" si="179"/>
        <v>8814.4172791413985</v>
      </c>
      <c r="V559" s="37">
        <f t="shared" si="180"/>
        <v>-9704.4038447710846</v>
      </c>
      <c r="W559" s="37">
        <f t="shared" si="181"/>
        <v>-16693.689601226575</v>
      </c>
      <c r="Y559" s="37">
        <f t="shared" si="183"/>
        <v>133980.88757181738</v>
      </c>
      <c r="Z559" s="37">
        <f t="shared" si="184"/>
        <v>38963.011280068073</v>
      </c>
      <c r="AA559" s="37">
        <f t="shared" si="185"/>
        <v>-982.67832035945628</v>
      </c>
      <c r="AB559" s="37">
        <f t="shared" si="186"/>
        <v>825.85594647809887</v>
      </c>
      <c r="AC559" s="37">
        <f t="shared" si="187"/>
        <v>-64.695130102227438</v>
      </c>
      <c r="AD559" s="37">
        <f t="shared" si="188"/>
        <v>-19.676008516971422</v>
      </c>
      <c r="AE559" s="39">
        <f t="shared" si="189"/>
        <v>-35.715301900007582</v>
      </c>
      <c r="AF559" s="39">
        <f t="shared" si="190"/>
        <v>-9.8587664168077698</v>
      </c>
      <c r="AG559" s="39">
        <f t="shared" si="191"/>
        <v>-7.1682091114824162</v>
      </c>
      <c r="AH559" s="39">
        <f t="shared" si="192"/>
        <v>-1.3483031863738306</v>
      </c>
      <c r="AI559" s="39">
        <f t="shared" si="193"/>
        <v>-21.811619090737434</v>
      </c>
      <c r="AJ559" s="39">
        <f t="shared" si="194"/>
        <v>-8.4689389137898221</v>
      </c>
      <c r="AK559" s="37">
        <f t="shared" si="195"/>
        <v>118243.66287657434</v>
      </c>
      <c r="AL559" s="37">
        <f t="shared" si="196"/>
        <v>156681.10849688936</v>
      </c>
      <c r="AM559" s="37">
        <f t="shared" si="197"/>
        <v>149089.54925367134</v>
      </c>
    </row>
    <row r="560" spans="12:39">
      <c r="L560">
        <v>556</v>
      </c>
      <c r="M560" s="37">
        <f t="shared" si="182"/>
        <v>3.4934510307918751</v>
      </c>
      <c r="N560" s="37">
        <f t="shared" si="176"/>
        <v>15306.330711730672</v>
      </c>
      <c r="O560" s="37">
        <f t="shared" si="177"/>
        <v>5776.7853841272972</v>
      </c>
      <c r="R560" s="37">
        <f t="shared" si="178"/>
        <v>-23285.56850178853</v>
      </c>
      <c r="S560" s="37">
        <f t="shared" si="179"/>
        <v>8793.7497688891071</v>
      </c>
      <c r="V560" s="37">
        <f t="shared" si="180"/>
        <v>-9693.6692882693278</v>
      </c>
      <c r="W560" s="37">
        <f t="shared" si="181"/>
        <v>-16723.214615872705</v>
      </c>
      <c r="Y560" s="37">
        <f t="shared" si="183"/>
        <v>133481.46152037487</v>
      </c>
      <c r="Z560" s="37">
        <f t="shared" si="184"/>
        <v>39373.4797522425</v>
      </c>
      <c r="AA560" s="37">
        <f t="shared" si="185"/>
        <v>-1015.02588541057</v>
      </c>
      <c r="AB560" s="37">
        <f t="shared" si="186"/>
        <v>816.01794221961313</v>
      </c>
      <c r="AC560" s="37">
        <f t="shared" si="187"/>
        <v>-64.966400268922442</v>
      </c>
      <c r="AD560" s="37">
        <f t="shared" si="188"/>
        <v>-20.047195159710071</v>
      </c>
      <c r="AE560" s="39">
        <f t="shared" si="189"/>
        <v>-35.893231683058652</v>
      </c>
      <c r="AF560" s="39">
        <f t="shared" si="190"/>
        <v>-10.081313528792659</v>
      </c>
      <c r="AG560" s="39">
        <f t="shared" si="191"/>
        <v>-7.201805147919532</v>
      </c>
      <c r="AH560" s="39">
        <f t="shared" si="192"/>
        <v>-1.3782907433672549</v>
      </c>
      <c r="AI560" s="39">
        <f t="shared" si="193"/>
        <v>-21.871363437944257</v>
      </c>
      <c r="AJ560" s="39">
        <f t="shared" si="194"/>
        <v>-8.5875908875501565</v>
      </c>
      <c r="AK560" s="37">
        <f t="shared" si="195"/>
        <v>117872.64661623974</v>
      </c>
      <c r="AL560" s="37">
        <f t="shared" si="196"/>
        <v>156266.95217858994</v>
      </c>
      <c r="AM560" s="37">
        <f t="shared" si="197"/>
        <v>148773.62160405517</v>
      </c>
    </row>
    <row r="561" spans="12:39">
      <c r="L561">
        <v>557</v>
      </c>
      <c r="M561" s="37">
        <f t="shared" si="182"/>
        <v>3.4997342160990548</v>
      </c>
      <c r="N561" s="37">
        <f t="shared" si="176"/>
        <v>15317.250566259081</v>
      </c>
      <c r="O561" s="37">
        <f t="shared" si="177"/>
        <v>5747.3283990435875</v>
      </c>
      <c r="R561" s="37">
        <f t="shared" si="178"/>
        <v>-23277.924603618641</v>
      </c>
      <c r="S561" s="37">
        <f t="shared" si="179"/>
        <v>8773.1298793305104</v>
      </c>
      <c r="V561" s="37">
        <f t="shared" si="180"/>
        <v>-9682.7494337409189</v>
      </c>
      <c r="W561" s="37">
        <f t="shared" si="181"/>
        <v>-16752.671600956412</v>
      </c>
      <c r="Y561" s="37">
        <f t="shared" si="183"/>
        <v>132965.82777763598</v>
      </c>
      <c r="Z561" s="37">
        <f t="shared" si="184"/>
        <v>39778.98282395734</v>
      </c>
      <c r="AA561" s="37">
        <f t="shared" si="185"/>
        <v>-1047.5090855450312</v>
      </c>
      <c r="AB561" s="37">
        <f t="shared" si="186"/>
        <v>805.99434463975808</v>
      </c>
      <c r="AC561" s="37">
        <f t="shared" si="187"/>
        <v>-65.252743968038232</v>
      </c>
      <c r="AD561" s="37">
        <f t="shared" si="188"/>
        <v>-20.427893148661994</v>
      </c>
      <c r="AE561" s="39">
        <f t="shared" si="189"/>
        <v>-36.080541069897521</v>
      </c>
      <c r="AF561" s="39">
        <f t="shared" si="190"/>
        <v>-10.309694430485781</v>
      </c>
      <c r="AG561" s="39">
        <f t="shared" si="191"/>
        <v>-7.2369906663503585</v>
      </c>
      <c r="AH561" s="39">
        <f t="shared" si="192"/>
        <v>-1.4088782042461847</v>
      </c>
      <c r="AI561" s="39">
        <f t="shared" si="193"/>
        <v>-21.935212231790345</v>
      </c>
      <c r="AJ561" s="39">
        <f t="shared" si="194"/>
        <v>-8.7093205139300274</v>
      </c>
      <c r="AK561" s="37">
        <f t="shared" si="195"/>
        <v>117487.06727821512</v>
      </c>
      <c r="AL561" s="37">
        <f t="shared" si="196"/>
        <v>155837.51886412635</v>
      </c>
      <c r="AM561" s="37">
        <f t="shared" si="197"/>
        <v>148442.94053135609</v>
      </c>
    </row>
    <row r="562" spans="12:39">
      <c r="L562">
        <v>558</v>
      </c>
      <c r="M562" s="37">
        <f t="shared" si="182"/>
        <v>3.5060174014062344</v>
      </c>
      <c r="N562" s="37">
        <f t="shared" si="176"/>
        <v>15328.355287716986</v>
      </c>
      <c r="O562" s="37">
        <f t="shared" si="177"/>
        <v>5717.940606433629</v>
      </c>
      <c r="R562" s="37">
        <f t="shared" si="178"/>
        <v>-23270.15129859811</v>
      </c>
      <c r="S562" s="37">
        <f t="shared" si="179"/>
        <v>8752.5584245035407</v>
      </c>
      <c r="V562" s="37">
        <f t="shared" si="180"/>
        <v>-9671.6447122830141</v>
      </c>
      <c r="W562" s="37">
        <f t="shared" si="181"/>
        <v>-16782.059393566371</v>
      </c>
      <c r="Y562" s="37">
        <f t="shared" si="183"/>
        <v>132433.91664186746</v>
      </c>
      <c r="Z562" s="37">
        <f t="shared" si="184"/>
        <v>40179.426509633631</v>
      </c>
      <c r="AA562" s="37">
        <f t="shared" si="185"/>
        <v>-1080.1354575290504</v>
      </c>
      <c r="AB562" s="37">
        <f t="shared" si="186"/>
        <v>795.78039806542711</v>
      </c>
      <c r="AC562" s="37">
        <f t="shared" si="187"/>
        <v>-65.554513441777573</v>
      </c>
      <c r="AD562" s="37">
        <f t="shared" si="188"/>
        <v>-20.818558337801978</v>
      </c>
      <c r="AE562" s="39">
        <f t="shared" si="189"/>
        <v>-36.277472782510408</v>
      </c>
      <c r="AF562" s="39">
        <f t="shared" si="190"/>
        <v>-10.544211579211535</v>
      </c>
      <c r="AG562" s="39">
        <f t="shared" si="191"/>
        <v>-7.2738069016961413</v>
      </c>
      <c r="AH562" s="39">
        <f t="shared" si="192"/>
        <v>-1.4400949976949649</v>
      </c>
      <c r="AI562" s="39">
        <f t="shared" si="193"/>
        <v>-22.003233757571021</v>
      </c>
      <c r="AJ562" s="39">
        <f t="shared" si="194"/>
        <v>-8.8342517608954783</v>
      </c>
      <c r="AK562" s="37">
        <f t="shared" si="195"/>
        <v>117086.85036514112</v>
      </c>
      <c r="AL562" s="37">
        <f t="shared" si="196"/>
        <v>155392.71774195269</v>
      </c>
      <c r="AM562" s="37">
        <f t="shared" si="197"/>
        <v>148097.43601243012</v>
      </c>
    </row>
    <row r="563" spans="12:39">
      <c r="L563">
        <v>559</v>
      </c>
      <c r="M563" s="37">
        <f t="shared" si="182"/>
        <v>3.5123005867134141</v>
      </c>
      <c r="N563" s="37">
        <f t="shared" si="176"/>
        <v>15339.64443770899</v>
      </c>
      <c r="O563" s="37">
        <f t="shared" si="177"/>
        <v>5688.623166477154</v>
      </c>
      <c r="R563" s="37">
        <f t="shared" si="178"/>
        <v>-23262.248893603708</v>
      </c>
      <c r="S563" s="37">
        <f t="shared" si="179"/>
        <v>8732.0362165340084</v>
      </c>
      <c r="V563" s="37">
        <f t="shared" si="180"/>
        <v>-9660.3555622910098</v>
      </c>
      <c r="W563" s="37">
        <f t="shared" si="181"/>
        <v>-16811.376833522845</v>
      </c>
      <c r="Y563" s="37">
        <f t="shared" si="183"/>
        <v>131885.6545989227</v>
      </c>
      <c r="Z563" s="37">
        <f t="shared" si="184"/>
        <v>40574.714388874119</v>
      </c>
      <c r="AA563" s="37">
        <f t="shared" si="185"/>
        <v>-1112.9127142499392</v>
      </c>
      <c r="AB563" s="37">
        <f t="shared" si="186"/>
        <v>785.37111889652613</v>
      </c>
      <c r="AC563" s="37">
        <f t="shared" si="187"/>
        <v>-65.872083697143665</v>
      </c>
      <c r="AD563" s="37">
        <f t="shared" si="188"/>
        <v>-21.219669824544063</v>
      </c>
      <c r="AE563" s="39">
        <f t="shared" si="189"/>
        <v>-36.484284949829771</v>
      </c>
      <c r="AF563" s="39">
        <f t="shared" si="190"/>
        <v>-10.78518339749283</v>
      </c>
      <c r="AG563" s="39">
        <f t="shared" si="191"/>
        <v>-7.3122975613376076</v>
      </c>
      <c r="AH563" s="39">
        <f t="shared" si="192"/>
        <v>-1.4719718597173155</v>
      </c>
      <c r="AI563" s="39">
        <f t="shared" si="193"/>
        <v>-22.075501185976286</v>
      </c>
      <c r="AJ563" s="39">
        <f t="shared" si="194"/>
        <v>-8.962514567333919</v>
      </c>
      <c r="AK563" s="37">
        <f t="shared" si="195"/>
        <v>116671.91794487236</v>
      </c>
      <c r="AL563" s="37">
        <f t="shared" si="196"/>
        <v>154932.45377552271</v>
      </c>
      <c r="AM563" s="37">
        <f t="shared" si="197"/>
        <v>147737.03433594605</v>
      </c>
    </row>
    <row r="564" spans="12:39">
      <c r="L564">
        <v>560</v>
      </c>
      <c r="M564" s="37">
        <f t="shared" si="182"/>
        <v>3.5185837720205937</v>
      </c>
      <c r="N564" s="37">
        <f t="shared" si="176"/>
        <v>15351.117570558788</v>
      </c>
      <c r="O564" s="37">
        <f t="shared" si="177"/>
        <v>5659.3772365764926</v>
      </c>
      <c r="R564" s="37">
        <f t="shared" si="178"/>
        <v>-23254.217700608846</v>
      </c>
      <c r="S564" s="37">
        <f t="shared" si="179"/>
        <v>8711.5640656035448</v>
      </c>
      <c r="V564" s="37">
        <f t="shared" si="180"/>
        <v>-9648.8824294412116</v>
      </c>
      <c r="W564" s="37">
        <f t="shared" si="181"/>
        <v>-16840.622763423507</v>
      </c>
      <c r="Y564" s="37">
        <f t="shared" si="183"/>
        <v>131320.96423133559</v>
      </c>
      <c r="Z564" s="37">
        <f t="shared" si="184"/>
        <v>40964.747489594316</v>
      </c>
      <c r="AA564" s="37">
        <f t="shared" si="185"/>
        <v>-1145.8487560985111</v>
      </c>
      <c r="AB564" s="37">
        <f t="shared" si="186"/>
        <v>774.76128398425408</v>
      </c>
      <c r="AC564" s="37">
        <f t="shared" si="187"/>
        <v>-66.205853661181862</v>
      </c>
      <c r="AD564" s="37">
        <f t="shared" si="188"/>
        <v>-21.63173162377554</v>
      </c>
      <c r="AE564" s="39">
        <f t="shared" si="189"/>
        <v>-36.701251932919206</v>
      </c>
      <c r="AF564" s="39">
        <f t="shared" si="190"/>
        <v>-11.032945474087105</v>
      </c>
      <c r="AG564" s="39">
        <f t="shared" si="191"/>
        <v>-7.3525089612258796</v>
      </c>
      <c r="AH564" s="39">
        <f t="shared" si="192"/>
        <v>-1.5045409243578762</v>
      </c>
      <c r="AI564" s="39">
        <f t="shared" si="193"/>
        <v>-22.15209276703677</v>
      </c>
      <c r="AJ564" s="39">
        <f t="shared" si="194"/>
        <v>-9.0942452253305586</v>
      </c>
      <c r="AK564" s="37">
        <f t="shared" si="195"/>
        <v>116242.18856308842</v>
      </c>
      <c r="AL564" s="37">
        <f t="shared" si="196"/>
        <v>154456.6275787332</v>
      </c>
      <c r="AM564" s="37">
        <f t="shared" si="197"/>
        <v>147361.65800687482</v>
      </c>
    </row>
    <row r="565" spans="12:39">
      <c r="L565">
        <v>561</v>
      </c>
      <c r="M565" s="37">
        <f t="shared" si="182"/>
        <v>3.5248669573277733</v>
      </c>
      <c r="N565" s="37">
        <f t="shared" si="176"/>
        <v>15362.774233326742</v>
      </c>
      <c r="O565" s="37">
        <f t="shared" si="177"/>
        <v>5630.2039713108807</v>
      </c>
      <c r="R565" s="37">
        <f t="shared" si="178"/>
        <v>-23246.058036671282</v>
      </c>
      <c r="S565" s="37">
        <f t="shared" si="179"/>
        <v>8691.1427799176163</v>
      </c>
      <c r="V565" s="37">
        <f t="shared" si="180"/>
        <v>-9637.2257666732585</v>
      </c>
      <c r="W565" s="37">
        <f t="shared" si="181"/>
        <v>-16869.796028689121</v>
      </c>
      <c r="Y565" s="37">
        <f t="shared" si="183"/>
        <v>130739.76412157869</v>
      </c>
      <c r="Z565" s="37">
        <f t="shared" si="184"/>
        <v>41349.424165133467</v>
      </c>
      <c r="AA565" s="37">
        <f t="shared" si="185"/>
        <v>-1178.9516829291019</v>
      </c>
      <c r="AB565" s="37">
        <f t="shared" si="186"/>
        <v>763.94541817236632</v>
      </c>
      <c r="AC565" s="37">
        <f t="shared" si="187"/>
        <v>-66.556247428731723</v>
      </c>
      <c r="AD565" s="37">
        <f t="shared" si="188"/>
        <v>-22.055274474325721</v>
      </c>
      <c r="AE565" s="39">
        <f t="shared" si="189"/>
        <v>-36.928665216009058</v>
      </c>
      <c r="AF565" s="39">
        <f t="shared" si="190"/>
        <v>-11.287851863008653</v>
      </c>
      <c r="AG565" s="39">
        <f t="shared" si="191"/>
        <v>-7.3944901727951278</v>
      </c>
      <c r="AH565" s="39">
        <f t="shared" si="192"/>
        <v>-1.5378358209775189</v>
      </c>
      <c r="AI565" s="39">
        <f t="shared" si="193"/>
        <v>-22.233092039927534</v>
      </c>
      <c r="AJ565" s="39">
        <f t="shared" si="194"/>
        <v>-9.2295867903395514</v>
      </c>
      <c r="AK565" s="37">
        <f t="shared" si="195"/>
        <v>115797.57715088001</v>
      </c>
      <c r="AL565" s="37">
        <f t="shared" si="196"/>
        <v>153965.13528365645</v>
      </c>
      <c r="AM565" s="37">
        <f t="shared" si="197"/>
        <v>146971.22564476336</v>
      </c>
    </row>
    <row r="566" spans="12:39">
      <c r="L566">
        <v>562</v>
      </c>
      <c r="M566" s="37">
        <f t="shared" si="182"/>
        <v>3.531150142634953</v>
      </c>
      <c r="N566" s="37">
        <f t="shared" si="176"/>
        <v>15374.613965827757</v>
      </c>
      <c r="O566" s="37">
        <f t="shared" si="177"/>
        <v>5601.1045223908768</v>
      </c>
      <c r="R566" s="37">
        <f t="shared" si="178"/>
        <v>-23237.770223920568</v>
      </c>
      <c r="S566" s="37">
        <f t="shared" si="179"/>
        <v>8670.7731656736141</v>
      </c>
      <c r="V566" s="37">
        <f t="shared" si="180"/>
        <v>-9625.3860341722429</v>
      </c>
      <c r="W566" s="37">
        <f t="shared" si="181"/>
        <v>-16898.895477609123</v>
      </c>
      <c r="Y566" s="37">
        <f t="shared" si="183"/>
        <v>130141.96874918554</v>
      </c>
      <c r="Z566" s="37">
        <f t="shared" si="184"/>
        <v>41728.639964910362</v>
      </c>
      <c r="AA566" s="37">
        <f t="shared" si="185"/>
        <v>-1212.2298066434678</v>
      </c>
      <c r="AB566" s="37">
        <f t="shared" si="186"/>
        <v>752.9177809352035</v>
      </c>
      <c r="AC566" s="37">
        <f t="shared" si="187"/>
        <v>-66.923715610000613</v>
      </c>
      <c r="AD566" s="37">
        <f t="shared" si="188"/>
        <v>-22.490857790719708</v>
      </c>
      <c r="AE566" s="39">
        <f t="shared" si="189"/>
        <v>-37.166834368710965</v>
      </c>
      <c r="AF566" s="39">
        <f t="shared" si="190"/>
        <v>-11.550276490327137</v>
      </c>
      <c r="AG566" s="39">
        <f t="shared" si="191"/>
        <v>-7.4382931815951485</v>
      </c>
      <c r="AH566" s="39">
        <f t="shared" si="192"/>
        <v>-1.5718917786840347</v>
      </c>
      <c r="AI566" s="39">
        <f t="shared" si="193"/>
        <v>-22.318588059694505</v>
      </c>
      <c r="AJ566" s="39">
        <f t="shared" si="194"/>
        <v>-9.3686895217085358</v>
      </c>
      <c r="AK566" s="37">
        <f t="shared" si="195"/>
        <v>115337.99492705787</v>
      </c>
      <c r="AL566" s="37">
        <f t="shared" si="196"/>
        <v>153457.86840010624</v>
      </c>
      <c r="AM566" s="37">
        <f t="shared" si="197"/>
        <v>146565.65187544547</v>
      </c>
    </row>
    <row r="567" spans="12:39">
      <c r="L567">
        <v>563</v>
      </c>
      <c r="M567" s="37">
        <f t="shared" si="182"/>
        <v>3.5374333279421326</v>
      </c>
      <c r="N567" s="37">
        <f t="shared" si="176"/>
        <v>15386.636300649476</v>
      </c>
      <c r="O567" s="37">
        <f t="shared" si="177"/>
        <v>5572.0800386128994</v>
      </c>
      <c r="R567" s="37">
        <f t="shared" si="178"/>
        <v>-23229.354589545368</v>
      </c>
      <c r="S567" s="37">
        <f t="shared" si="179"/>
        <v>8650.4560270290294</v>
      </c>
      <c r="V567" s="37">
        <f t="shared" si="180"/>
        <v>-9613.3636993505243</v>
      </c>
      <c r="W567" s="37">
        <f t="shared" si="181"/>
        <v>-16927.919961387099</v>
      </c>
      <c r="Y567" s="37">
        <f t="shared" si="183"/>
        <v>129527.48838141255</v>
      </c>
      <c r="Z567" s="37">
        <f t="shared" si="184"/>
        <v>42102.287498154117</v>
      </c>
      <c r="AA567" s="37">
        <f t="shared" si="185"/>
        <v>-1245.6916644484681</v>
      </c>
      <c r="AB567" s="37">
        <f t="shared" si="186"/>
        <v>741.67235203984364</v>
      </c>
      <c r="AC567" s="37">
        <f t="shared" si="187"/>
        <v>-67.308736785996274</v>
      </c>
      <c r="AD567" s="37">
        <f t="shared" si="188"/>
        <v>-22.939071774454234</v>
      </c>
      <c r="AE567" s="39">
        <f t="shared" si="189"/>
        <v>-37.416088085264256</v>
      </c>
      <c r="AF567" s="39">
        <f t="shared" si="190"/>
        <v>-11.820614679613959</v>
      </c>
      <c r="AG567" s="39">
        <f t="shared" si="191"/>
        <v>-7.4839730586582371</v>
      </c>
      <c r="AH567" s="39">
        <f t="shared" si="192"/>
        <v>-1.6067457385805448</v>
      </c>
      <c r="AI567" s="39">
        <f t="shared" si="193"/>
        <v>-22.408675642073788</v>
      </c>
      <c r="AJ567" s="39">
        <f t="shared" si="194"/>
        <v>-9.5117113562597311</v>
      </c>
      <c r="AK567" s="37">
        <f t="shared" si="195"/>
        <v>114863.34929491379</v>
      </c>
      <c r="AL567" s="37">
        <f t="shared" si="196"/>
        <v>152934.71366654336</v>
      </c>
      <c r="AM567" s="37">
        <f t="shared" si="197"/>
        <v>146144.84721581166</v>
      </c>
    </row>
    <row r="568" spans="12:39">
      <c r="L568">
        <v>564</v>
      </c>
      <c r="M568" s="37">
        <f t="shared" si="182"/>
        <v>3.5437165132493122</v>
      </c>
      <c r="N568" s="37">
        <f t="shared" si="176"/>
        <v>15398.840763170698</v>
      </c>
      <c r="O568" s="37">
        <f t="shared" si="177"/>
        <v>5543.1316658138712</v>
      </c>
      <c r="R568" s="37">
        <f t="shared" si="178"/>
        <v>-23220.811465780513</v>
      </c>
      <c r="S568" s="37">
        <f t="shared" si="179"/>
        <v>8630.1921660697099</v>
      </c>
      <c r="V568" s="37">
        <f t="shared" si="180"/>
        <v>-9601.1592368293022</v>
      </c>
      <c r="W568" s="37">
        <f t="shared" si="181"/>
        <v>-16956.868334186129</v>
      </c>
      <c r="Y568" s="37">
        <f t="shared" si="183"/>
        <v>128896.22895709006</v>
      </c>
      <c r="Z568" s="37">
        <f t="shared" si="184"/>
        <v>42470.256290202226</v>
      </c>
      <c r="AA568" s="37">
        <f t="shared" si="185"/>
        <v>-1279.3460328414662</v>
      </c>
      <c r="AB568" s="37">
        <f t="shared" si="186"/>
        <v>730.20281615261649</v>
      </c>
      <c r="AC568" s="37">
        <f t="shared" si="187"/>
        <v>-67.71181908066292</v>
      </c>
      <c r="AD568" s="37">
        <f t="shared" si="188"/>
        <v>-23.400539700593015</v>
      </c>
      <c r="AE568" s="39">
        <f t="shared" si="189"/>
        <v>-37.676775307257273</v>
      </c>
      <c r="AF568" s="39">
        <f t="shared" si="190"/>
        <v>-12.09928480812985</v>
      </c>
      <c r="AG568" s="39">
        <f t="shared" si="191"/>
        <v>-7.5315881457186284</v>
      </c>
      <c r="AH568" s="39">
        <f t="shared" si="192"/>
        <v>-1.6424364745611499</v>
      </c>
      <c r="AI568" s="39">
        <f t="shared" si="193"/>
        <v>-22.503455627687018</v>
      </c>
      <c r="AJ568" s="39">
        <f t="shared" si="194"/>
        <v>-9.6588184179020136</v>
      </c>
      <c r="AK568" s="37">
        <f t="shared" si="195"/>
        <v>114373.54373314402</v>
      </c>
      <c r="AL568" s="37">
        <f t="shared" si="196"/>
        <v>152395.55289178752</v>
      </c>
      <c r="AM568" s="37">
        <f t="shared" si="197"/>
        <v>145708.71795122972</v>
      </c>
    </row>
    <row r="569" spans="12:39">
      <c r="L569">
        <v>565</v>
      </c>
      <c r="M569" s="37">
        <f t="shared" si="182"/>
        <v>3.5499996985564919</v>
      </c>
      <c r="N569" s="37">
        <f t="shared" si="176"/>
        <v>15411.226871580144</v>
      </c>
      <c r="O569" s="37">
        <f t="shared" si="177"/>
        <v>5514.2605468259799</v>
      </c>
      <c r="R569" s="37">
        <f t="shared" si="178"/>
        <v>-23212.141189893897</v>
      </c>
      <c r="S569" s="37">
        <f t="shared" si="179"/>
        <v>8609.9823827781856</v>
      </c>
      <c r="V569" s="37">
        <f t="shared" si="180"/>
        <v>-9588.7731284198562</v>
      </c>
      <c r="W569" s="37">
        <f t="shared" si="181"/>
        <v>-16985.739453174021</v>
      </c>
      <c r="Y569" s="37">
        <f t="shared" si="183"/>
        <v>128248.09196328424</v>
      </c>
      <c r="Z569" s="37">
        <f t="shared" si="184"/>
        <v>42832.432630815958</v>
      </c>
      <c r="AA569" s="37">
        <f t="shared" si="185"/>
        <v>-1313.2019423817976</v>
      </c>
      <c r="AB569" s="37">
        <f t="shared" si="186"/>
        <v>718.50254630231996</v>
      </c>
      <c r="AC569" s="37">
        <f t="shared" si="187"/>
        <v>-68.133501859447648</v>
      </c>
      <c r="AD569" s="37">
        <f t="shared" si="188"/>
        <v>-23.875920397230693</v>
      </c>
      <c r="AE569" s="39">
        <f t="shared" si="189"/>
        <v>-37.949266436905717</v>
      </c>
      <c r="AF569" s="39">
        <f t="shared" si="190"/>
        <v>-12.386730107221148</v>
      </c>
      <c r="AG569" s="39">
        <f t="shared" si="191"/>
        <v>-7.5812002555235614</v>
      </c>
      <c r="AH569" s="39">
        <f t="shared" si="192"/>
        <v>-1.6790047234594292</v>
      </c>
      <c r="AI569" s="39">
        <f t="shared" si="193"/>
        <v>-22.603035167018373</v>
      </c>
      <c r="AJ569" s="39">
        <f t="shared" si="194"/>
        <v>-9.8101855665501194</v>
      </c>
      <c r="AK569" s="37">
        <f t="shared" si="195"/>
        <v>113868.47768062411</v>
      </c>
      <c r="AL569" s="37">
        <f t="shared" si="196"/>
        <v>151840.26278695467</v>
      </c>
      <c r="AM569" s="37">
        <f t="shared" si="197"/>
        <v>145257.1660051707</v>
      </c>
    </row>
    <row r="570" spans="12:39">
      <c r="L570">
        <v>566</v>
      </c>
      <c r="M570" s="37">
        <f t="shared" si="182"/>
        <v>3.5562828838636715</v>
      </c>
      <c r="N570" s="37">
        <f t="shared" si="176"/>
        <v>15423.794136895463</v>
      </c>
      <c r="O570" s="37">
        <f t="shared" si="177"/>
        <v>5485.46782143157</v>
      </c>
      <c r="R570" s="37">
        <f t="shared" si="178"/>
        <v>-23203.344104173175</v>
      </c>
      <c r="S570" s="37">
        <f t="shared" si="179"/>
        <v>8589.8274750020992</v>
      </c>
      <c r="V570" s="37">
        <f t="shared" si="180"/>
        <v>-9576.2058631045365</v>
      </c>
      <c r="W570" s="37">
        <f t="shared" si="181"/>
        <v>-17014.532178568432</v>
      </c>
      <c r="Y570" s="37">
        <f t="shared" si="183"/>
        <v>127582.97430436091</v>
      </c>
      <c r="Z570" s="37">
        <f t="shared" si="184"/>
        <v>43188.699413917464</v>
      </c>
      <c r="AA570" s="37">
        <f t="shared" si="185"/>
        <v>-1347.2686933115215</v>
      </c>
      <c r="AB570" s="37">
        <f t="shared" si="186"/>
        <v>706.56458610370464</v>
      </c>
      <c r="AC570" s="37">
        <f t="shared" si="187"/>
        <v>-68.574357565012747</v>
      </c>
      <c r="AD570" s="37">
        <f t="shared" si="188"/>
        <v>-24.365910937354016</v>
      </c>
      <c r="AE570" s="39">
        <f t="shared" si="189"/>
        <v>-38.233954648686044</v>
      </c>
      <c r="AF570" s="39">
        <f t="shared" si="190"/>
        <v>-12.683420621946844</v>
      </c>
      <c r="AG570" s="39">
        <f t="shared" si="191"/>
        <v>-7.6328748886045217</v>
      </c>
      <c r="AH570" s="39">
        <f t="shared" si="192"/>
        <v>-1.7164933254394283</v>
      </c>
      <c r="AI570" s="39">
        <f t="shared" si="193"/>
        <v>-22.70752802772218</v>
      </c>
      <c r="AJ570" s="39">
        <f t="shared" si="194"/>
        <v>-9.9659969899677456</v>
      </c>
      <c r="AK570" s="37">
        <f t="shared" si="195"/>
        <v>113348.04641470329</v>
      </c>
      <c r="AL570" s="37">
        <f t="shared" si="196"/>
        <v>151268.71478699427</v>
      </c>
      <c r="AM570" s="37">
        <f t="shared" si="197"/>
        <v>144790.08880056004</v>
      </c>
    </row>
    <row r="571" spans="12:39">
      <c r="L571">
        <v>567</v>
      </c>
      <c r="M571" s="37">
        <f t="shared" si="182"/>
        <v>3.5625660691708512</v>
      </c>
      <c r="N571" s="37">
        <f t="shared" si="176"/>
        <v>15436.542062982538</v>
      </c>
      <c r="O571" s="37">
        <f t="shared" si="177"/>
        <v>5456.7546263181375</v>
      </c>
      <c r="R571" s="37">
        <f t="shared" si="178"/>
        <v>-23194.420555912224</v>
      </c>
      <c r="S571" s="37">
        <f t="shared" si="179"/>
        <v>8569.7282384226964</v>
      </c>
      <c r="V571" s="37">
        <f t="shared" si="180"/>
        <v>-9563.4579370174615</v>
      </c>
      <c r="W571" s="37">
        <f t="shared" si="181"/>
        <v>-17043.245373681861</v>
      </c>
      <c r="Y571" s="37">
        <f t="shared" si="183"/>
        <v>126900.76816300952</v>
      </c>
      <c r="Z571" s="37">
        <f t="shared" si="184"/>
        <v>43538.935968102145</v>
      </c>
      <c r="AA571" s="37">
        <f t="shared" si="185"/>
        <v>-1381.5558720940278</v>
      </c>
      <c r="AB571" s="37">
        <f t="shared" si="186"/>
        <v>694.38163063502759</v>
      </c>
      <c r="AC571" s="37">
        <f t="shared" si="187"/>
        <v>-69.034993701893967</v>
      </c>
      <c r="AD571" s="37">
        <f t="shared" si="188"/>
        <v>-24.871249564856232</v>
      </c>
      <c r="AE571" s="39">
        <f t="shared" si="189"/>
        <v>-38.531257307915617</v>
      </c>
      <c r="AF571" s="39">
        <f t="shared" si="190"/>
        <v>-12.989855346717141</v>
      </c>
      <c r="AG571" s="39">
        <f t="shared" si="191"/>
        <v>-7.6866814680268227</v>
      </c>
      <c r="AH571" s="39">
        <f t="shared" si="192"/>
        <v>-1.7549473756139649</v>
      </c>
      <c r="AI571" s="39">
        <f t="shared" si="193"/>
        <v>-22.817054925951531</v>
      </c>
      <c r="AJ571" s="39">
        <f t="shared" si="194"/>
        <v>-10.126446842525127</v>
      </c>
      <c r="AK571" s="37">
        <f t="shared" si="195"/>
        <v>112812.14092266167</v>
      </c>
      <c r="AL571" s="37">
        <f t="shared" si="196"/>
        <v>150680.77486114387</v>
      </c>
      <c r="AM571" s="37">
        <f t="shared" si="197"/>
        <v>144307.37911232933</v>
      </c>
    </row>
    <row r="572" spans="12:39">
      <c r="L572">
        <v>568</v>
      </c>
      <c r="M572" s="37">
        <f t="shared" si="182"/>
        <v>3.5688492544780308</v>
      </c>
      <c r="N572" s="37">
        <f t="shared" si="176"/>
        <v>15449.470146575075</v>
      </c>
      <c r="O572" s="37">
        <f t="shared" si="177"/>
        <v>5428.1220950334628</v>
      </c>
      <c r="R572" s="37">
        <f t="shared" si="178"/>
        <v>-23185.370897397446</v>
      </c>
      <c r="S572" s="37">
        <f t="shared" si="179"/>
        <v>8549.6854665234241</v>
      </c>
      <c r="V572" s="37">
        <f t="shared" si="180"/>
        <v>-9550.529853424925</v>
      </c>
      <c r="W572" s="37">
        <f t="shared" si="181"/>
        <v>-17071.877904966539</v>
      </c>
      <c r="Y572" s="37">
        <f t="shared" si="183"/>
        <v>126201.36085274977</v>
      </c>
      <c r="Z572" s="37">
        <f t="shared" si="184"/>
        <v>43883.017877224054</v>
      </c>
      <c r="AA572" s="37">
        <f t="shared" si="185"/>
        <v>-1416.0733689449748</v>
      </c>
      <c r="AB572" s="37">
        <f t="shared" si="186"/>
        <v>681.94600585259946</v>
      </c>
      <c r="AC572" s="37">
        <f t="shared" si="187"/>
        <v>-69.51605498312729</v>
      </c>
      <c r="AD572" s="37">
        <f t="shared" si="188"/>
        <v>-25.392718878986223</v>
      </c>
      <c r="AE572" s="39">
        <f t="shared" si="189"/>
        <v>-38.841617505751302</v>
      </c>
      <c r="AF572" s="39">
        <f t="shared" si="190"/>
        <v>-13.306564555716408</v>
      </c>
      <c r="AG572" s="39">
        <f t="shared" si="191"/>
        <v>-7.7426935938021151</v>
      </c>
      <c r="AH572" s="39">
        <f t="shared" si="192"/>
        <v>-1.7944143879816081</v>
      </c>
      <c r="AI572" s="39">
        <f t="shared" si="193"/>
        <v>-22.931743883573876</v>
      </c>
      <c r="AJ572" s="39">
        <f t="shared" si="194"/>
        <v>-10.291739935288209</v>
      </c>
      <c r="AK572" s="37">
        <f t="shared" si="195"/>
        <v>112260.64776594858</v>
      </c>
      <c r="AL572" s="37">
        <f t="shared" si="196"/>
        <v>150076.30331156295</v>
      </c>
      <c r="AM572" s="37">
        <f t="shared" si="197"/>
        <v>143808.92491060126</v>
      </c>
    </row>
    <row r="573" spans="12:39">
      <c r="L573">
        <v>569</v>
      </c>
      <c r="M573" s="37">
        <f t="shared" si="182"/>
        <v>3.5751324397852104</v>
      </c>
      <c r="N573" s="37">
        <f t="shared" si="176"/>
        <v>15462.577877294469</v>
      </c>
      <c r="O573" s="37">
        <f t="shared" si="177"/>
        <v>5399.5713579408521</v>
      </c>
      <c r="R573" s="37">
        <f t="shared" si="178"/>
        <v>-23176.19548589387</v>
      </c>
      <c r="S573" s="37">
        <f t="shared" si="179"/>
        <v>8529.6999505585954</v>
      </c>
      <c r="V573" s="37">
        <f t="shared" si="180"/>
        <v>-9537.4221227055314</v>
      </c>
      <c r="W573" s="37">
        <f t="shared" si="181"/>
        <v>-17100.428642059149</v>
      </c>
      <c r="Y573" s="37">
        <f t="shared" si="183"/>
        <v>125484.63466140439</v>
      </c>
      <c r="Z573" s="37">
        <f t="shared" si="184"/>
        <v>44220.816790290482</v>
      </c>
      <c r="AA573" s="37">
        <f t="shared" si="185"/>
        <v>-1450.8313964365384</v>
      </c>
      <c r="AB573" s="37">
        <f t="shared" si="186"/>
        <v>669.24964641310635</v>
      </c>
      <c r="AC573" s="37">
        <f t="shared" si="187"/>
        <v>-70.018225653203771</v>
      </c>
      <c r="AD573" s="37">
        <f t="shared" si="188"/>
        <v>-25.931149304364048</v>
      </c>
      <c r="AE573" s="39">
        <f t="shared" si="189"/>
        <v>-39.165505721052739</v>
      </c>
      <c r="AF573" s="39">
        <f t="shared" si="190"/>
        <v>-13.634112349142624</v>
      </c>
      <c r="AG573" s="39">
        <f t="shared" si="191"/>
        <v>-7.8009893188324364</v>
      </c>
      <c r="AH573" s="39">
        <f t="shared" si="192"/>
        <v>-1.8349444728928377</v>
      </c>
      <c r="AI573" s="39">
        <f t="shared" si="193"/>
        <v>-23.051730613318593</v>
      </c>
      <c r="AJ573" s="39">
        <f t="shared" si="194"/>
        <v>-10.462092482328586</v>
      </c>
      <c r="AK573" s="37">
        <f t="shared" si="195"/>
        <v>111693.44893679323</v>
      </c>
      <c r="AL573" s="37">
        <f t="shared" si="196"/>
        <v>149455.15455934242</v>
      </c>
      <c r="AM573" s="37">
        <f t="shared" si="197"/>
        <v>143294.60919388881</v>
      </c>
    </row>
    <row r="574" spans="12:39">
      <c r="L574">
        <v>570</v>
      </c>
      <c r="M574" s="37">
        <f t="shared" si="182"/>
        <v>3.5814156250923901</v>
      </c>
      <c r="N574" s="37">
        <f t="shared" si="176"/>
        <v>15475.864737669957</v>
      </c>
      <c r="O574" s="37">
        <f t="shared" si="177"/>
        <v>5371.10354217452</v>
      </c>
      <c r="R574" s="37">
        <f t="shared" si="178"/>
        <v>-23166.894683631032</v>
      </c>
      <c r="S574" s="37">
        <f t="shared" si="179"/>
        <v>8509.7724795221638</v>
      </c>
      <c r="V574" s="37">
        <f t="shared" si="180"/>
        <v>-9524.1352623300427</v>
      </c>
      <c r="W574" s="37">
        <f t="shared" si="181"/>
        <v>-17128.896457825482</v>
      </c>
      <c r="Y574" s="37">
        <f t="shared" si="183"/>
        <v>124750.46668497946</v>
      </c>
      <c r="Z574" s="37">
        <f t="shared" si="184"/>
        <v>44552.200219833991</v>
      </c>
      <c r="AA574" s="37">
        <f t="shared" si="185"/>
        <v>-1485.8405092631403</v>
      </c>
      <c r="AB574" s="37">
        <f t="shared" si="186"/>
        <v>656.28407176092435</v>
      </c>
      <c r="AC574" s="37">
        <f t="shared" si="187"/>
        <v>-70.542232003214565</v>
      </c>
      <c r="AD574" s="37">
        <f t="shared" si="188"/>
        <v>-26.487422876929507</v>
      </c>
      <c r="AE574" s="39">
        <f t="shared" si="189"/>
        <v>-39.503421620643635</v>
      </c>
      <c r="AF574" s="39">
        <f t="shared" si="190"/>
        <v>-13.973099438863793</v>
      </c>
      <c r="AG574" s="39">
        <f t="shared" si="191"/>
        <v>-7.8616514484663309</v>
      </c>
      <c r="AH574" s="39">
        <f t="shared" si="192"/>
        <v>-1.8765905293909775</v>
      </c>
      <c r="AI574" s="39">
        <f t="shared" si="193"/>
        <v>-23.17715893410459</v>
      </c>
      <c r="AJ574" s="39">
        <f t="shared" si="194"/>
        <v>-10.637732908674735</v>
      </c>
      <c r="AK574" s="37">
        <f t="shared" si="195"/>
        <v>111110.42170674926</v>
      </c>
      <c r="AL574" s="37">
        <f t="shared" si="196"/>
        <v>148817.17691701735</v>
      </c>
      <c r="AM574" s="37">
        <f t="shared" si="197"/>
        <v>142764.3098116373</v>
      </c>
    </row>
    <row r="575" spans="12:39">
      <c r="L575">
        <v>571</v>
      </c>
      <c r="M575" s="37">
        <f t="shared" si="182"/>
        <v>3.5876988103995697</v>
      </c>
      <c r="N575" s="37">
        <f t="shared" si="176"/>
        <v>15489.330203159043</v>
      </c>
      <c r="O575" s="37">
        <f t="shared" si="177"/>
        <v>5342.7197715950888</v>
      </c>
      <c r="R575" s="37">
        <f t="shared" si="178"/>
        <v>-23157.46885778867</v>
      </c>
      <c r="S575" s="37">
        <f t="shared" si="179"/>
        <v>8489.9038401165617</v>
      </c>
      <c r="V575" s="37">
        <f t="shared" si="180"/>
        <v>-9510.6697968409571</v>
      </c>
      <c r="W575" s="37">
        <f t="shared" si="181"/>
        <v>-17157.28022840491</v>
      </c>
      <c r="Y575" s="37">
        <f t="shared" si="183"/>
        <v>123998.7286513475</v>
      </c>
      <c r="Z575" s="37">
        <f t="shared" si="184"/>
        <v>44877.031327854835</v>
      </c>
      <c r="AA575" s="37">
        <f t="shared" si="185"/>
        <v>-1521.1116252647475</v>
      </c>
      <c r="AB575" s="37">
        <f t="shared" si="186"/>
        <v>643.04036032245961</v>
      </c>
      <c r="AC575" s="37">
        <f t="shared" si="187"/>
        <v>-71.088845095725461</v>
      </c>
      <c r="AD575" s="37">
        <f t="shared" si="188"/>
        <v>-27.062477379865939</v>
      </c>
      <c r="AE575" s="39">
        <f t="shared" si="189"/>
        <v>-39.855896010719484</v>
      </c>
      <c r="AF575" s="39">
        <f t="shared" si="190"/>
        <v>-14.324166200017146</v>
      </c>
      <c r="AG575" s="39">
        <f t="shared" si="191"/>
        <v>-7.9247678659831742</v>
      </c>
      <c r="AH575" s="39">
        <f t="shared" si="192"/>
        <v>-1.9194084539251663</v>
      </c>
      <c r="AI575" s="39">
        <f t="shared" si="193"/>
        <v>-23.308181219022803</v>
      </c>
      <c r="AJ575" s="39">
        <f t="shared" si="194"/>
        <v>-10.81890272592363</v>
      </c>
      <c r="AK575" s="37">
        <f t="shared" si="195"/>
        <v>110511.43846670375</v>
      </c>
      <c r="AL575" s="37">
        <f t="shared" si="196"/>
        <v>148162.21234663235</v>
      </c>
      <c r="AM575" s="37">
        <f t="shared" si="197"/>
        <v>142217.89927537565</v>
      </c>
    </row>
    <row r="576" spans="12:39">
      <c r="L576">
        <v>572</v>
      </c>
      <c r="M576" s="37">
        <f t="shared" si="182"/>
        <v>3.5939819957067494</v>
      </c>
      <c r="N576" s="37">
        <f t="shared" si="176"/>
        <v>15502.9737421682</v>
      </c>
      <c r="O576" s="37">
        <f t="shared" si="177"/>
        <v>5314.4211667452191</v>
      </c>
      <c r="R576" s="37">
        <f t="shared" si="178"/>
        <v>-23147.918380482261</v>
      </c>
      <c r="S576" s="37">
        <f t="shared" si="179"/>
        <v>8470.0948167216538</v>
      </c>
      <c r="V576" s="37">
        <f t="shared" si="180"/>
        <v>-9497.0262578317997</v>
      </c>
      <c r="W576" s="37">
        <f t="shared" si="181"/>
        <v>-17185.578833254782</v>
      </c>
      <c r="Y576" s="37">
        <f t="shared" si="183"/>
        <v>123229.28673307816</v>
      </c>
      <c r="Z576" s="37">
        <f t="shared" si="184"/>
        <v>45195.168698343579</v>
      </c>
      <c r="AA576" s="37">
        <f t="shared" si="185"/>
        <v>-1556.6560478126103</v>
      </c>
      <c r="AB576" s="37">
        <f t="shared" si="186"/>
        <v>629.50912163252667</v>
      </c>
      <c r="AC576" s="37">
        <f t="shared" si="187"/>
        <v>-71.658883718768138</v>
      </c>
      <c r="AD576" s="37">
        <f t="shared" si="188"/>
        <v>-27.65731086771212</v>
      </c>
      <c r="AE576" s="39">
        <f t="shared" si="189"/>
        <v>-40.223492953484005</v>
      </c>
      <c r="AF576" s="39">
        <f t="shared" si="190"/>
        <v>-14.687996018404743</v>
      </c>
      <c r="AG576" s="39">
        <f t="shared" si="191"/>
        <v>-7.9904318865869035</v>
      </c>
      <c r="AH576" s="39">
        <f t="shared" si="192"/>
        <v>-1.9634573671035553</v>
      </c>
      <c r="AI576" s="39">
        <f t="shared" si="193"/>
        <v>-23.444958878697228</v>
      </c>
      <c r="AJ576" s="39">
        <f t="shared" si="194"/>
        <v>-11.005857482203822</v>
      </c>
      <c r="AK576" s="37">
        <f t="shared" si="195"/>
        <v>109896.36655784689</v>
      </c>
      <c r="AL576" s="37">
        <f t="shared" si="196"/>
        <v>147490.09620232534</v>
      </c>
      <c r="AM576" s="37">
        <f t="shared" si="197"/>
        <v>141655.2445576796</v>
      </c>
    </row>
    <row r="577" spans="12:39">
      <c r="L577">
        <v>573</v>
      </c>
      <c r="M577" s="37">
        <f t="shared" si="182"/>
        <v>3.600265181013929</v>
      </c>
      <c r="N577" s="37">
        <f t="shared" si="176"/>
        <v>15516.794816073878</v>
      </c>
      <c r="O577" s="37">
        <f t="shared" si="177"/>
        <v>5286.2088448053764</v>
      </c>
      <c r="R577" s="37">
        <f t="shared" si="178"/>
        <v>-23138.243628748285</v>
      </c>
      <c r="S577" s="37">
        <f t="shared" si="179"/>
        <v>8450.3461913637639</v>
      </c>
      <c r="V577" s="37">
        <f t="shared" si="180"/>
        <v>-9483.2051839261221</v>
      </c>
      <c r="W577" s="37">
        <f t="shared" si="181"/>
        <v>-17213.791155194624</v>
      </c>
      <c r="Y577" s="37">
        <f t="shared" si="183"/>
        <v>122442.00134870701</v>
      </c>
      <c r="Z577" s="37">
        <f t="shared" si="184"/>
        <v>45506.466095301374</v>
      </c>
      <c r="AA577" s="37">
        <f t="shared" si="185"/>
        <v>-1592.4854896719944</v>
      </c>
      <c r="AB577" s="37">
        <f t="shared" si="186"/>
        <v>615.68046619867062</v>
      </c>
      <c r="AC577" s="37">
        <f t="shared" si="187"/>
        <v>-72.253217590435298</v>
      </c>
      <c r="AD577" s="37">
        <f t="shared" si="188"/>
        <v>-28.27298662163939</v>
      </c>
      <c r="AE577" s="39">
        <f t="shared" si="189"/>
        <v>-40.606812064615539</v>
      </c>
      <c r="AF577" s="39">
        <f t="shared" si="190"/>
        <v>-15.065318967351127</v>
      </c>
      <c r="AG577" s="39">
        <f t="shared" si="191"/>
        <v>-8.0587426427942148</v>
      </c>
      <c r="AH577" s="39">
        <f t="shared" si="192"/>
        <v>-2.0087998603491224</v>
      </c>
      <c r="AI577" s="39">
        <f t="shared" si="193"/>
        <v>-23.587662883025541</v>
      </c>
      <c r="AJ577" s="39">
        <f t="shared" si="194"/>
        <v>-11.198867793939142</v>
      </c>
      <c r="AK577" s="37">
        <f t="shared" si="195"/>
        <v>109265.06809306341</v>
      </c>
      <c r="AL577" s="37">
        <f t="shared" si="196"/>
        <v>146800.65695630191</v>
      </c>
      <c r="AM577" s="37">
        <f t="shared" si="197"/>
        <v>141076.20687807599</v>
      </c>
    </row>
    <row r="578" spans="12:39">
      <c r="L578">
        <v>574</v>
      </c>
      <c r="M578" s="37">
        <f t="shared" si="182"/>
        <v>3.6065483663211086</v>
      </c>
      <c r="N578" s="37">
        <f t="shared" si="176"/>
        <v>15530.79287924374</v>
      </c>
      <c r="O578" s="37">
        <f t="shared" si="177"/>
        <v>5258.0839195497229</v>
      </c>
      <c r="R578" s="37">
        <f t="shared" si="178"/>
        <v>-23128.444984529382</v>
      </c>
      <c r="S578" s="37">
        <f t="shared" si="179"/>
        <v>8430.6587436848058</v>
      </c>
      <c r="V578" s="37">
        <f t="shared" si="180"/>
        <v>-9469.2071207562603</v>
      </c>
      <c r="W578" s="37">
        <f t="shared" si="181"/>
        <v>-17241.916080450279</v>
      </c>
      <c r="Y578" s="37">
        <f t="shared" si="183"/>
        <v>121636.72695167222</v>
      </c>
      <c r="Z578" s="37">
        <f t="shared" si="184"/>
        <v>45810.772205073001</v>
      </c>
      <c r="AA578" s="37">
        <f t="shared" si="185"/>
        <v>-1628.612098467212</v>
      </c>
      <c r="AB578" s="37">
        <f t="shared" si="186"/>
        <v>601.54397288785094</v>
      </c>
      <c r="AC578" s="37">
        <f t="shared" si="187"/>
        <v>-72.872770837873148</v>
      </c>
      <c r="AD578" s="37">
        <f t="shared" si="188"/>
        <v>-28.910638584293487</v>
      </c>
      <c r="AE578" s="39">
        <f t="shared" si="189"/>
        <v>-41.00649100882476</v>
      </c>
      <c r="AF578" s="39">
        <f t="shared" si="190"/>
        <v>-15.456915852037012</v>
      </c>
      <c r="AG578" s="39">
        <f t="shared" si="191"/>
        <v>-8.1298055044407196</v>
      </c>
      <c r="AH578" s="39">
        <f t="shared" si="192"/>
        <v>-2.0555022645391476</v>
      </c>
      <c r="AI578" s="39">
        <f t="shared" si="193"/>
        <v>-23.736474324607666</v>
      </c>
      <c r="AJ578" s="39">
        <f t="shared" si="194"/>
        <v>-11.398220467717326</v>
      </c>
      <c r="AK578" s="37">
        <f t="shared" si="195"/>
        <v>108617.39976816683</v>
      </c>
      <c r="AL578" s="37">
        <f t="shared" si="196"/>
        <v>146093.71590696907</v>
      </c>
      <c r="AM578" s="37">
        <f t="shared" si="197"/>
        <v>140480.64147493656</v>
      </c>
    </row>
    <row r="579" spans="12:39">
      <c r="L579">
        <v>575</v>
      </c>
      <c r="M579" s="37">
        <f t="shared" si="182"/>
        <v>3.6128315516282883</v>
      </c>
      <c r="N579" s="37">
        <f t="shared" si="176"/>
        <v>15544.96737905822</v>
      </c>
      <c r="O579" s="37">
        <f t="shared" si="177"/>
        <v>5230.0475013021496</v>
      </c>
      <c r="R579" s="37">
        <f t="shared" si="178"/>
        <v>-23118.522834659245</v>
      </c>
      <c r="S579" s="37">
        <f t="shared" si="179"/>
        <v>8411.0332509115051</v>
      </c>
      <c r="V579" s="37">
        <f t="shared" si="180"/>
        <v>-9455.0326209417799</v>
      </c>
      <c r="W579" s="37">
        <f t="shared" si="181"/>
        <v>-17269.95249869785</v>
      </c>
      <c r="Y579" s="37">
        <f t="shared" si="183"/>
        <v>120813.31180608388</v>
      </c>
      <c r="Z579" s="37">
        <f t="shared" si="184"/>
        <v>46107.930361693892</v>
      </c>
      <c r="AA579" s="37">
        <f t="shared" si="185"/>
        <v>-1665.0484838861487</v>
      </c>
      <c r="AB579" s="37">
        <f t="shared" si="186"/>
        <v>587.08865359570416</v>
      </c>
      <c r="AC579" s="37">
        <f t="shared" si="187"/>
        <v>-73.518525777080654</v>
      </c>
      <c r="AD579" s="37">
        <f t="shared" si="188"/>
        <v>-29.571477328811326</v>
      </c>
      <c r="AE579" s="39">
        <f t="shared" si="189"/>
        <v>-41.423208212648341</v>
      </c>
      <c r="AF579" s="39">
        <f t="shared" si="190"/>
        <v>-15.863622664317246</v>
      </c>
      <c r="AG579" s="39">
        <f t="shared" si="191"/>
        <v>-8.2037325369172116</v>
      </c>
      <c r="AH579" s="39">
        <f t="shared" si="192"/>
        <v>-2.1036349429583598</v>
      </c>
      <c r="AI579" s="39">
        <f t="shared" si="193"/>
        <v>-23.891585027515109</v>
      </c>
      <c r="AJ579" s="39">
        <f t="shared" si="194"/>
        <v>-11.604219721535722</v>
      </c>
      <c r="AK579" s="37">
        <f t="shared" si="195"/>
        <v>107953.21266235709</v>
      </c>
      <c r="AL579" s="37">
        <f t="shared" si="196"/>
        <v>145369.08686788377</v>
      </c>
      <c r="AM579" s="37">
        <f t="shared" si="197"/>
        <v>139868.3973623224</v>
      </c>
    </row>
    <row r="580" spans="12:39">
      <c r="L580">
        <v>576</v>
      </c>
      <c r="M580" s="37">
        <f t="shared" si="182"/>
        <v>3.6191147369354679</v>
      </c>
      <c r="N580" s="37">
        <f t="shared" si="176"/>
        <v>15559.317755932338</v>
      </c>
      <c r="O580" s="37">
        <f t="shared" si="177"/>
        <v>5202.1006968924448</v>
      </c>
      <c r="R580" s="37">
        <f t="shared" si="178"/>
        <v>-23108.477570847364</v>
      </c>
      <c r="S580" s="37">
        <f t="shared" si="179"/>
        <v>8391.4704878247103</v>
      </c>
      <c r="V580" s="37">
        <f t="shared" si="180"/>
        <v>-9440.6822440676624</v>
      </c>
      <c r="W580" s="37">
        <f t="shared" si="181"/>
        <v>-17297.899303107555</v>
      </c>
      <c r="Y580" s="37">
        <f t="shared" si="183"/>
        <v>119971.59774841867</v>
      </c>
      <c r="Z580" s="37">
        <f t="shared" si="184"/>
        <v>46397.778253825643</v>
      </c>
      <c r="AA580" s="37">
        <f t="shared" si="185"/>
        <v>-1701.8077467746891</v>
      </c>
      <c r="AB580" s="37">
        <f t="shared" si="186"/>
        <v>572.30291493129846</v>
      </c>
      <c r="AC580" s="37">
        <f t="shared" si="187"/>
        <v>-74.191527022829987</v>
      </c>
      <c r="AD580" s="37">
        <f t="shared" si="188"/>
        <v>-30.256796623726935</v>
      </c>
      <c r="AE580" s="39">
        <f t="shared" si="189"/>
        <v>-41.857685815704947</v>
      </c>
      <c r="AF580" s="39">
        <f t="shared" si="190"/>
        <v>-16.286335496757108</v>
      </c>
      <c r="AG580" s="39">
        <f t="shared" si="191"/>
        <v>-8.2806430016881976</v>
      </c>
      <c r="AH580" s="39">
        <f t="shared" si="192"/>
        <v>-2.1532726111783287</v>
      </c>
      <c r="AI580" s="39">
        <f t="shared" si="193"/>
        <v>-24.053198205436843</v>
      </c>
      <c r="AJ580" s="39">
        <f t="shared" si="194"/>
        <v>-11.8171885157915</v>
      </c>
      <c r="AK580" s="37">
        <f t="shared" si="195"/>
        <v>107272.35202723683</v>
      </c>
      <c r="AL580" s="37">
        <f t="shared" si="196"/>
        <v>144626.57583604677</v>
      </c>
      <c r="AM580" s="37">
        <f t="shared" si="197"/>
        <v>139239.31707064103</v>
      </c>
    </row>
    <row r="581" spans="12:39">
      <c r="L581">
        <v>577</v>
      </c>
      <c r="M581" s="37">
        <f t="shared" si="182"/>
        <v>3.6253979222426476</v>
      </c>
      <c r="N581" s="37">
        <f t="shared" ref="N581:N644" si="198">COS(M581)*$D$37+$D$36</f>
        <v>15573.843443337784</v>
      </c>
      <c r="O581" s="37">
        <f t="shared" ref="O581:O644" si="199">SIN(M581)*$D$37+$E$36</f>
        <v>5174.2446096125923</v>
      </c>
      <c r="R581" s="37">
        <f t="shared" ref="R581:R644" si="200">COS(M581)*$D$48+$D$47</f>
        <v>-23098.30958966355</v>
      </c>
      <c r="S581" s="37">
        <f t="shared" ref="S581:S644" si="201">SIN(M581)*$D$48+$E$47</f>
        <v>8371.9712267288141</v>
      </c>
      <c r="V581" s="37">
        <f t="shared" ref="V581:V644" si="202">COS(M581)*$D$57+$D$56</f>
        <v>-9426.1565566622157</v>
      </c>
      <c r="W581" s="37">
        <f t="shared" ref="W581:W644" si="203">SIN(M581)*$D$57+$E$56</f>
        <v>-17325.755390387407</v>
      </c>
      <c r="Y581" s="37">
        <f t="shared" si="183"/>
        <v>119111.41993415347</v>
      </c>
      <c r="Z581" s="37">
        <f t="shared" si="184"/>
        <v>46680.147611713321</v>
      </c>
      <c r="AA581" s="37">
        <f t="shared" si="185"/>
        <v>-1738.9035102861042</v>
      </c>
      <c r="AB581" s="37">
        <f t="shared" si="186"/>
        <v>557.17451661943494</v>
      </c>
      <c r="AC581" s="37">
        <f t="shared" si="187"/>
        <v>-74.892885961294397</v>
      </c>
      <c r="AD581" s="37">
        <f t="shared" si="188"/>
        <v>-30.967980663637796</v>
      </c>
      <c r="AE581" s="39">
        <f t="shared" si="189"/>
        <v>-42.310692883986988</v>
      </c>
      <c r="AF581" s="39">
        <f t="shared" si="190"/>
        <v>-16.726015971215311</v>
      </c>
      <c r="AG581" s="39">
        <f t="shared" si="191"/>
        <v>-8.3606639036433155</v>
      </c>
      <c r="AH581" s="39">
        <f t="shared" si="192"/>
        <v>-2.2044946867965147</v>
      </c>
      <c r="AI581" s="39">
        <f t="shared" si="193"/>
        <v>-24.221529173664091</v>
      </c>
      <c r="AJ581" s="39">
        <f t="shared" si="194"/>
        <v>-12.037470005625972</v>
      </c>
      <c r="AK581" s="37">
        <f t="shared" si="195"/>
        <v>106574.65706367418</v>
      </c>
      <c r="AL581" s="37">
        <f t="shared" si="196"/>
        <v>143865.98063793077</v>
      </c>
      <c r="AM581" s="37">
        <f t="shared" si="197"/>
        <v>138593.23636986956</v>
      </c>
    </row>
    <row r="582" spans="12:39">
      <c r="L582">
        <v>578</v>
      </c>
      <c r="M582" s="37">
        <f t="shared" ref="M582:M645" si="204">M581+$J$3</f>
        <v>3.6316811075498272</v>
      </c>
      <c r="N582" s="37">
        <f t="shared" si="198"/>
        <v>15588.543867825294</v>
      </c>
      <c r="O582" s="37">
        <f t="shared" si="199"/>
        <v>5146.4803391732212</v>
      </c>
      <c r="R582" s="37">
        <f t="shared" si="200"/>
        <v>-23088.019292522295</v>
      </c>
      <c r="S582" s="37">
        <f t="shared" si="201"/>
        <v>8352.5362374212546</v>
      </c>
      <c r="V582" s="37">
        <f t="shared" si="202"/>
        <v>-9411.456132174706</v>
      </c>
      <c r="W582" s="37">
        <f t="shared" si="203"/>
        <v>-17353.51966082678</v>
      </c>
      <c r="Y582" s="37">
        <f t="shared" ref="Y582:Y645" si="205">Y581+(AA581*$D$14)+((1/2)*AC581)*$D$14^2</f>
        <v>118232.60656826526</v>
      </c>
      <c r="Z582" s="37">
        <f t="shared" ref="Z582:Z645" si="206">Z581+(AB581*$D$14)+((1/2)*AD581)*$D$14^2</f>
        <v>46954.863872440081</v>
      </c>
      <c r="AA582" s="37">
        <f t="shared" ref="AA582:AA645" si="207">AA581+(AC581*$D$14)</f>
        <v>-1776.3499532667513</v>
      </c>
      <c r="AB582" s="37">
        <f t="shared" ref="AB582:AB645" si="208">AB581+(AD581*$D$14)</f>
        <v>541.69052628761608</v>
      </c>
      <c r="AC582" s="37">
        <f t="shared" ref="AC582:AC645" si="209">AE582+AG582+AI582</f>
        <v>-75.6237856216284</v>
      </c>
      <c r="AD582" s="37">
        <f t="shared" ref="AD582:AD645" si="210">AF582+AH582+AJ582</f>
        <v>-31.706512044874771</v>
      </c>
      <c r="AE582" s="39">
        <f t="shared" ref="AE582:AE645" si="211">$D$40*($D$36-Y582)/(AK582^2+$D$41^2)^(3/2)</f>
        <v>-42.783048911365562</v>
      </c>
      <c r="AF582" s="39">
        <f t="shared" ref="AF582:AF645" si="212">$D$40*($E$36-Z582)/(AK582^2+$D$41^2)^(3/2)</f>
        <v>-17.183697244894184</v>
      </c>
      <c r="AG582" s="39">
        <f t="shared" ref="AG582:AG645" si="213">$D$51*($D$47-Y582)/(AL582^2+$D$52^2)^(3/2)</f>
        <v>-8.4439305904063726</v>
      </c>
      <c r="AH582" s="39">
        <f t="shared" ref="AH582:AH645" si="214">$D$51*($E$47-Z582)/(AL582^2+$D$52^2)^(3/2)</f>
        <v>-2.2573856723355581</v>
      </c>
      <c r="AI582" s="39">
        <f t="shared" ref="AI582:AI645" si="215">$D$60*($D$56-Y582)/(AM582^2+$D$61^2)^(3/2)</f>
        <v>-24.396806119856468</v>
      </c>
      <c r="AJ582" s="39">
        <f t="shared" ref="AJ582:AJ645" si="216">$D$60*($E$56-Z582)/(AM582^2+$D$61^2)^(3/2)</f>
        <v>-12.265429127645026</v>
      </c>
      <c r="AK582" s="37">
        <f t="shared" ref="AK582:AK645" si="217">SQRT(($D$36-Y582)^2+($E$36-Z582)^2)</f>
        <v>105859.96068574922</v>
      </c>
      <c r="AL582" s="37">
        <f t="shared" ref="AL582:AL645" si="218">SQRT(($D$47-Y582)^2+($E$47-Z582)^2)</f>
        <v>143087.09055147981</v>
      </c>
      <c r="AM582" s="37">
        <f t="shared" ref="AM582:AM645" si="219">SQRT(($D$56-Y582)^2+($E$56-Z582)^2)</f>
        <v>137929.98397397657</v>
      </c>
    </row>
    <row r="583" spans="12:39">
      <c r="L583">
        <v>579</v>
      </c>
      <c r="M583" s="37">
        <f t="shared" si="204"/>
        <v>3.6379642928570068</v>
      </c>
      <c r="N583" s="37">
        <f t="shared" si="198"/>
        <v>15603.41844904728</v>
      </c>
      <c r="O583" s="37">
        <f t="shared" si="199"/>
        <v>5118.8089816601896</v>
      </c>
      <c r="R583" s="37">
        <f t="shared" si="200"/>
        <v>-23077.607085666903</v>
      </c>
      <c r="S583" s="37">
        <f t="shared" si="201"/>
        <v>8333.166287162132</v>
      </c>
      <c r="V583" s="37">
        <f t="shared" si="202"/>
        <v>-9396.5815509527201</v>
      </c>
      <c r="W583" s="37">
        <f t="shared" si="203"/>
        <v>-17381.19101833981</v>
      </c>
      <c r="Y583" s="37">
        <f t="shared" si="205"/>
        <v>117334.97861842917</v>
      </c>
      <c r="Z583" s="37">
        <f t="shared" si="206"/>
        <v>47221.745821578275</v>
      </c>
      <c r="AA583" s="37">
        <f t="shared" si="207"/>
        <v>-1814.1618460775655</v>
      </c>
      <c r="AB583" s="37">
        <f t="shared" si="208"/>
        <v>525.83727026517874</v>
      </c>
      <c r="AC583" s="37">
        <f t="shared" si="209"/>
        <v>-76.385485986866584</v>
      </c>
      <c r="AD583" s="37">
        <f t="shared" si="210"/>
        <v>-32.473980576219844</v>
      </c>
      <c r="AE583" s="39">
        <f t="shared" si="211"/>
        <v>-43.275627638424119</v>
      </c>
      <c r="AF583" s="39">
        <f t="shared" si="212"/>
        <v>-17.66049066555486</v>
      </c>
      <c r="AG583" s="39">
        <f t="shared" si="213"/>
        <v>-8.5305874093766043</v>
      </c>
      <c r="AH583" s="39">
        <f t="shared" si="214"/>
        <v>-2.312035575021111</v>
      </c>
      <c r="AI583" s="39">
        <f t="shared" si="215"/>
        <v>-24.579270939065868</v>
      </c>
      <c r="AJ583" s="39">
        <f t="shared" si="216"/>
        <v>-12.501454335643874</v>
      </c>
      <c r="AK583" s="37">
        <f t="shared" si="217"/>
        <v>105128.08927096571</v>
      </c>
      <c r="AL583" s="37">
        <f t="shared" si="218"/>
        <v>142289.68590214322</v>
      </c>
      <c r="AM583" s="37">
        <f t="shared" si="219"/>
        <v>137249.38122504091</v>
      </c>
    </row>
    <row r="584" spans="12:39">
      <c r="L584">
        <v>580</v>
      </c>
      <c r="M584" s="37">
        <f t="shared" si="204"/>
        <v>3.6442474781641865</v>
      </c>
      <c r="N584" s="37">
        <f t="shared" si="198"/>
        <v>15618.466599780746</v>
      </c>
      <c r="O584" s="37">
        <f t="shared" si="199"/>
        <v>5091.231629491308</v>
      </c>
      <c r="R584" s="37">
        <f t="shared" si="200"/>
        <v>-23067.073380153477</v>
      </c>
      <c r="S584" s="37">
        <f t="shared" si="201"/>
        <v>8313.8621406439161</v>
      </c>
      <c r="V584" s="37">
        <f t="shared" si="202"/>
        <v>-9381.533400219254</v>
      </c>
      <c r="W584" s="37">
        <f t="shared" si="203"/>
        <v>-17408.768370508693</v>
      </c>
      <c r="Y584" s="37">
        <f t="shared" si="205"/>
        <v>116418.34950964204</v>
      </c>
      <c r="Z584" s="37">
        <f t="shared" si="206"/>
        <v>47480.605209138841</v>
      </c>
      <c r="AA584" s="37">
        <f t="shared" si="207"/>
        <v>-1852.3545890709988</v>
      </c>
      <c r="AB584" s="37">
        <f t="shared" si="208"/>
        <v>509.60027997706879</v>
      </c>
      <c r="AC584" s="37">
        <f t="shared" si="209"/>
        <v>-77.179329789134997</v>
      </c>
      <c r="AD584" s="37">
        <f t="shared" si="210"/>
        <v>-33.27209302718142</v>
      </c>
      <c r="AE584" s="39">
        <f t="shared" si="211"/>
        <v>-43.789361221009649</v>
      </c>
      <c r="AF584" s="39">
        <f t="shared" si="212"/>
        <v>-18.157593157747264</v>
      </c>
      <c r="AG584" s="39">
        <f t="shared" si="213"/>
        <v>-8.6207884290264118</v>
      </c>
      <c r="AH584" s="39">
        <f t="shared" si="214"/>
        <v>-2.3685403676359065</v>
      </c>
      <c r="AI584" s="39">
        <f t="shared" si="215"/>
        <v>-24.769180139098932</v>
      </c>
      <c r="AJ584" s="39">
        <f t="shared" si="216"/>
        <v>-12.74595950179825</v>
      </c>
      <c r="AK584" s="37">
        <f t="shared" si="217"/>
        <v>104378.86239585344</v>
      </c>
      <c r="AL584" s="37">
        <f t="shared" si="218"/>
        <v>141473.53763081695</v>
      </c>
      <c r="AM584" s="37">
        <f t="shared" si="219"/>
        <v>136551.24175541525</v>
      </c>
    </row>
    <row r="585" spans="12:39">
      <c r="L585">
        <v>581</v>
      </c>
      <c r="M585" s="37">
        <f t="shared" si="204"/>
        <v>3.6505306634713661</v>
      </c>
      <c r="N585" s="37">
        <f t="shared" si="198"/>
        <v>15633.687725950464</v>
      </c>
      <c r="O585" s="37">
        <f t="shared" si="199"/>
        <v>5063.7493713732238</v>
      </c>
      <c r="R585" s="37">
        <f t="shared" si="200"/>
        <v>-23056.418591834677</v>
      </c>
      <c r="S585" s="37">
        <f t="shared" si="201"/>
        <v>8294.6245599612557</v>
      </c>
      <c r="V585" s="37">
        <f t="shared" si="202"/>
        <v>-9366.3122740495364</v>
      </c>
      <c r="W585" s="37">
        <f t="shared" si="203"/>
        <v>-17436.250628626778</v>
      </c>
      <c r="Y585" s="37">
        <f t="shared" si="205"/>
        <v>115482.52479888289</v>
      </c>
      <c r="Z585" s="37">
        <f t="shared" si="206"/>
        <v>47731.246337498975</v>
      </c>
      <c r="AA585" s="37">
        <f t="shared" si="207"/>
        <v>-1890.9442539655663</v>
      </c>
      <c r="AB585" s="37">
        <f t="shared" si="208"/>
        <v>492.96423346347808</v>
      </c>
      <c r="AC585" s="37">
        <f t="shared" si="209"/>
        <v>-78.006748839360625</v>
      </c>
      <c r="AD585" s="37">
        <f t="shared" si="210"/>
        <v>-34.102683930749336</v>
      </c>
      <c r="AE585" s="39">
        <f t="shared" si="211"/>
        <v>-44.325244784554584</v>
      </c>
      <c r="AF585" s="39">
        <f t="shared" si="212"/>
        <v>-18.676295433677311</v>
      </c>
      <c r="AG585" s="39">
        <f t="shared" si="213"/>
        <v>-8.7146982318354436</v>
      </c>
      <c r="AH585" s="39">
        <f t="shared" si="214"/>
        <v>-2.4270024951960525</v>
      </c>
      <c r="AI585" s="39">
        <f t="shared" si="215"/>
        <v>-24.966805822970603</v>
      </c>
      <c r="AJ585" s="39">
        <f t="shared" si="216"/>
        <v>-12.999386001875971</v>
      </c>
      <c r="AK585" s="37">
        <f t="shared" si="217"/>
        <v>103612.09255602268</v>
      </c>
      <c r="AL585" s="37">
        <f t="shared" si="218"/>
        <v>140638.40683135224</v>
      </c>
      <c r="AM585" s="37">
        <f t="shared" si="219"/>
        <v>135835.37112611506</v>
      </c>
    </row>
    <row r="586" spans="12:39">
      <c r="L586">
        <v>582</v>
      </c>
      <c r="M586" s="37">
        <f t="shared" si="204"/>
        <v>3.6568138487785458</v>
      </c>
      <c r="N586" s="37">
        <f t="shared" si="198"/>
        <v>15649.081226652437</v>
      </c>
      <c r="O586" s="37">
        <f t="shared" si="199"/>
        <v>5036.3632922584275</v>
      </c>
      <c r="R586" s="37">
        <f t="shared" si="200"/>
        <v>-23045.643141343295</v>
      </c>
      <c r="S586" s="37">
        <f t="shared" si="201"/>
        <v>8275.4543045808987</v>
      </c>
      <c r="V586" s="37">
        <f t="shared" si="202"/>
        <v>-9350.9187733475628</v>
      </c>
      <c r="W586" s="37">
        <f t="shared" si="203"/>
        <v>-17463.636707741571</v>
      </c>
      <c r="Y586" s="37">
        <f t="shared" si="205"/>
        <v>114527.30182829518</v>
      </c>
      <c r="Z586" s="37">
        <f t="shared" si="206"/>
        <v>47973.46561873937</v>
      </c>
      <c r="AA586" s="37">
        <f t="shared" si="207"/>
        <v>-1929.9476283852466</v>
      </c>
      <c r="AB586" s="37">
        <f t="shared" si="208"/>
        <v>475.91289149810342</v>
      </c>
      <c r="AC586" s="37">
        <f t="shared" si="209"/>
        <v>-78.869270947540997</v>
      </c>
      <c r="AD586" s="37">
        <f t="shared" si="210"/>
        <v>-34.96772757427302</v>
      </c>
      <c r="AE586" s="39">
        <f t="shared" si="211"/>
        <v>-44.884341404344973</v>
      </c>
      <c r="AF586" s="39">
        <f t="shared" si="212"/>
        <v>-19.217991136024786</v>
      </c>
      <c r="AG586" s="39">
        <f t="shared" si="213"/>
        <v>-8.8124927872295498</v>
      </c>
      <c r="AH586" s="39">
        <f t="shared" si="214"/>
        <v>-2.4875314328267071</v>
      </c>
      <c r="AI586" s="39">
        <f t="shared" si="215"/>
        <v>-25.172436755966473</v>
      </c>
      <c r="AJ586" s="39">
        <f t="shared" si="216"/>
        <v>-13.262205005421526</v>
      </c>
      <c r="AK586" s="37">
        <f t="shared" si="217"/>
        <v>102827.58486966859</v>
      </c>
      <c r="AL586" s="37">
        <f t="shared" si="218"/>
        <v>139784.04425505368</v>
      </c>
      <c r="AM586" s="37">
        <f t="shared" si="219"/>
        <v>135101.56643942706</v>
      </c>
    </row>
    <row r="587" spans="12:39">
      <c r="L587">
        <v>583</v>
      </c>
      <c r="M587" s="37">
        <f t="shared" si="204"/>
        <v>3.6630970340857254</v>
      </c>
      <c r="N587" s="37">
        <f t="shared" si="198"/>
        <v>15664.646494177616</v>
      </c>
      <c r="O587" s="37">
        <f t="shared" si="199"/>
        <v>5009.0744733024312</v>
      </c>
      <c r="R587" s="37">
        <f t="shared" si="200"/>
        <v>-23034.74745407567</v>
      </c>
      <c r="S587" s="37">
        <f t="shared" si="201"/>
        <v>8256.3521313117017</v>
      </c>
      <c r="V587" s="37">
        <f t="shared" si="202"/>
        <v>-9335.3535058223842</v>
      </c>
      <c r="W587" s="37">
        <f t="shared" si="203"/>
        <v>-17490.925526697571</v>
      </c>
      <c r="Y587" s="37">
        <f t="shared" si="205"/>
        <v>113552.46935523412</v>
      </c>
      <c r="Z587" s="37">
        <f t="shared" si="206"/>
        <v>48207.051098541633</v>
      </c>
      <c r="AA587" s="37">
        <f t="shared" si="207"/>
        <v>-1969.382263859017</v>
      </c>
      <c r="AB587" s="37">
        <f t="shared" si="208"/>
        <v>458.42902771096692</v>
      </c>
      <c r="AC587" s="37">
        <f t="shared" si="209"/>
        <v>-79.768527496219178</v>
      </c>
      <c r="AD587" s="37">
        <f t="shared" si="210"/>
        <v>-35.869351331517741</v>
      </c>
      <c r="AE587" s="39">
        <f t="shared" si="211"/>
        <v>-45.467787556508</v>
      </c>
      <c r="AF587" s="39">
        <f t="shared" si="212"/>
        <v>-19.784187035965754</v>
      </c>
      <c r="AG587" s="39">
        <f t="shared" si="213"/>
        <v>-8.9143604140275396</v>
      </c>
      <c r="AH587" s="39">
        <f t="shared" si="214"/>
        <v>-2.5502443009393794</v>
      </c>
      <c r="AI587" s="39">
        <f t="shared" si="215"/>
        <v>-25.386379525683637</v>
      </c>
      <c r="AJ587" s="39">
        <f t="shared" si="216"/>
        <v>-13.534919994612608</v>
      </c>
      <c r="AK587" s="37">
        <f t="shared" si="217"/>
        <v>102025.13676345305</v>
      </c>
      <c r="AL587" s="37">
        <f t="shared" si="218"/>
        <v>138910.18977932225</v>
      </c>
      <c r="AM587" s="37">
        <f t="shared" si="219"/>
        <v>134349.61592352015</v>
      </c>
    </row>
    <row r="588" spans="12:39">
      <c r="L588">
        <v>584</v>
      </c>
      <c r="M588" s="37">
        <f t="shared" si="204"/>
        <v>3.669380219392905</v>
      </c>
      <c r="N588" s="37">
        <f t="shared" si="198"/>
        <v>15680.38291403589</v>
      </c>
      <c r="O588" s="37">
        <f t="shared" si="199"/>
        <v>4981.8839918210815</v>
      </c>
      <c r="R588" s="37">
        <f t="shared" si="200"/>
        <v>-23023.731960174875</v>
      </c>
      <c r="S588" s="37">
        <f t="shared" si="201"/>
        <v>8237.3187942747572</v>
      </c>
      <c r="V588" s="37">
        <f t="shared" si="202"/>
        <v>-9319.6170859641097</v>
      </c>
      <c r="W588" s="37">
        <f t="shared" si="203"/>
        <v>-17518.11600817892</v>
      </c>
      <c r="Y588" s="37">
        <f t="shared" si="205"/>
        <v>112557.80715736758</v>
      </c>
      <c r="Z588" s="37">
        <f t="shared" si="206"/>
        <v>48431.781943480681</v>
      </c>
      <c r="AA588" s="37">
        <f t="shared" si="207"/>
        <v>-2009.2665276071266</v>
      </c>
      <c r="AB588" s="37">
        <f t="shared" si="208"/>
        <v>440.49435204520807</v>
      </c>
      <c r="AC588" s="37">
        <f t="shared" si="209"/>
        <v>-80.706261737239515</v>
      </c>
      <c r="AD588" s="37">
        <f t="shared" si="210"/>
        <v>-36.809850511562217</v>
      </c>
      <c r="AE588" s="39">
        <f t="shared" si="211"/>
        <v>-46.076799089634186</v>
      </c>
      <c r="AF588" s="39">
        <f t="shared" si="212"/>
        <v>-20.376514428262901</v>
      </c>
      <c r="AG588" s="39">
        <f t="shared" si="213"/>
        <v>-9.0205028432134764</v>
      </c>
      <c r="AH588" s="39">
        <f t="shared" si="214"/>
        <v>-2.6152665446507402</v>
      </c>
      <c r="AI588" s="39">
        <f t="shared" si="215"/>
        <v>-25.608959804391844</v>
      </c>
      <c r="AJ588" s="39">
        <f t="shared" si="216"/>
        <v>-13.818069538648579</v>
      </c>
      <c r="AK588" s="37">
        <f t="shared" si="217"/>
        <v>101204.5376396192</v>
      </c>
      <c r="AL588" s="37">
        <f t="shared" si="218"/>
        <v>138016.57183730183</v>
      </c>
      <c r="AM588" s="37">
        <f t="shared" si="219"/>
        <v>133579.29848660724</v>
      </c>
    </row>
    <row r="589" spans="12:39">
      <c r="L589">
        <v>585</v>
      </c>
      <c r="M589" s="37">
        <f t="shared" si="204"/>
        <v>3.6756634047000847</v>
      </c>
      <c r="N589" s="37">
        <f t="shared" si="198"/>
        <v>15696.28986498035</v>
      </c>
      <c r="O589" s="37">
        <f t="shared" si="199"/>
        <v>4954.7929212480285</v>
      </c>
      <c r="R589" s="37">
        <f t="shared" si="200"/>
        <v>-23012.597094513756</v>
      </c>
      <c r="S589" s="37">
        <f t="shared" si="201"/>
        <v>8218.3550448736205</v>
      </c>
      <c r="V589" s="37">
        <f t="shared" si="202"/>
        <v>-9303.7101350196499</v>
      </c>
      <c r="W589" s="37">
        <f t="shared" si="203"/>
        <v>-17545.20707875197</v>
      </c>
      <c r="Y589" s="37">
        <f t="shared" si="205"/>
        <v>111543.08561084686</v>
      </c>
      <c r="Z589" s="37">
        <f t="shared" si="206"/>
        <v>48647.427888189341</v>
      </c>
      <c r="AA589" s="37">
        <f t="shared" si="207"/>
        <v>-2049.6196584757463</v>
      </c>
      <c r="AB589" s="37">
        <f t="shared" si="208"/>
        <v>422.08942678942697</v>
      </c>
      <c r="AC589" s="37">
        <f t="shared" si="209"/>
        <v>-81.684337890266931</v>
      </c>
      <c r="AD589" s="37">
        <f t="shared" si="210"/>
        <v>-37.791704926603728</v>
      </c>
      <c r="AE589" s="39">
        <f t="shared" si="211"/>
        <v>-46.712677772744804</v>
      </c>
      <c r="AF589" s="39">
        <f t="shared" si="212"/>
        <v>-20.996741887084621</v>
      </c>
      <c r="AG589" s="39">
        <f t="shared" si="213"/>
        <v>-9.1311363933725378</v>
      </c>
      <c r="AH589" s="39">
        <f t="shared" si="214"/>
        <v>-2.6827326853505649</v>
      </c>
      <c r="AI589" s="39">
        <f t="shared" si="215"/>
        <v>-25.840523724149584</v>
      </c>
      <c r="AJ589" s="39">
        <f t="shared" si="216"/>
        <v>-14.112230354168545</v>
      </c>
      <c r="AK589" s="37">
        <f t="shared" si="217"/>
        <v>100365.56852311741</v>
      </c>
      <c r="AL589" s="37">
        <f t="shared" si="218"/>
        <v>137102.90680505423</v>
      </c>
      <c r="AM589" s="37">
        <f t="shared" si="219"/>
        <v>132790.38323794174</v>
      </c>
    </row>
    <row r="590" spans="12:39">
      <c r="L590">
        <v>586</v>
      </c>
      <c r="M590" s="37">
        <f t="shared" si="204"/>
        <v>3.6819465900072643</v>
      </c>
      <c r="N590" s="37">
        <f t="shared" si="198"/>
        <v>15712.366719031808</v>
      </c>
      <c r="O590" s="37">
        <f t="shared" si="199"/>
        <v>4927.8023310923536</v>
      </c>
      <c r="R590" s="37">
        <f t="shared" si="200"/>
        <v>-23001.343296677736</v>
      </c>
      <c r="S590" s="37">
        <f t="shared" si="201"/>
        <v>8199.4616317646469</v>
      </c>
      <c r="V590" s="37">
        <f t="shared" si="202"/>
        <v>-9287.6332809681917</v>
      </c>
      <c r="W590" s="37">
        <f t="shared" si="203"/>
        <v>-17572.197668907647</v>
      </c>
      <c r="Y590" s="37">
        <f t="shared" si="205"/>
        <v>110508.06523937271</v>
      </c>
      <c r="Z590" s="37">
        <f t="shared" si="206"/>
        <v>48853.748638468234</v>
      </c>
      <c r="AA590" s="37">
        <f t="shared" si="207"/>
        <v>-2090.4618274208797</v>
      </c>
      <c r="AB590" s="37">
        <f t="shared" si="208"/>
        <v>403.19357432612509</v>
      </c>
      <c r="AC590" s="37">
        <f t="shared" si="209"/>
        <v>-82.704751130960716</v>
      </c>
      <c r="AD590" s="37">
        <f t="shared" si="210"/>
        <v>-38.817597411598157</v>
      </c>
      <c r="AE590" s="39">
        <f t="shared" si="211"/>
        <v>-47.376818481724563</v>
      </c>
      <c r="AF590" s="39">
        <f t="shared" si="212"/>
        <v>-21.6467895717572</v>
      </c>
      <c r="AG590" s="39">
        <f t="shared" si="213"/>
        <v>-9.2464932728908575</v>
      </c>
      <c r="AH590" s="39">
        <f t="shared" si="214"/>
        <v>-2.7527871534471586</v>
      </c>
      <c r="AI590" s="39">
        <f t="shared" si="215"/>
        <v>-26.081439376345291</v>
      </c>
      <c r="AJ590" s="39">
        <f t="shared" si="216"/>
        <v>-14.418020686393797</v>
      </c>
      <c r="AK590" s="37">
        <f t="shared" si="217"/>
        <v>99508.001687443</v>
      </c>
      <c r="AL590" s="37">
        <f t="shared" si="218"/>
        <v>136168.89834241016</v>
      </c>
      <c r="AM590" s="37">
        <f t="shared" si="219"/>
        <v>131982.62897263363</v>
      </c>
    </row>
    <row r="591" spans="12:39">
      <c r="L591">
        <v>587</v>
      </c>
      <c r="M591" s="37">
        <f t="shared" si="204"/>
        <v>3.688229775314444</v>
      </c>
      <c r="N591" s="37">
        <f t="shared" si="198"/>
        <v>15728.612841503593</v>
      </c>
      <c r="O591" s="37">
        <f t="shared" si="199"/>
        <v>4900.9132868963388</v>
      </c>
      <c r="R591" s="37">
        <f t="shared" si="200"/>
        <v>-22989.971010947484</v>
      </c>
      <c r="S591" s="37">
        <f t="shared" si="201"/>
        <v>8180.6393008274372</v>
      </c>
      <c r="V591" s="37">
        <f t="shared" si="202"/>
        <v>-9271.3871584964072</v>
      </c>
      <c r="W591" s="37">
        <f t="shared" si="203"/>
        <v>-17599.086713103661</v>
      </c>
      <c r="Y591" s="37">
        <f t="shared" si="205"/>
        <v>109452.49623177089</v>
      </c>
      <c r="Z591" s="37">
        <f t="shared" si="206"/>
        <v>49050.493225954851</v>
      </c>
      <c r="AA591" s="37">
        <f t="shared" si="207"/>
        <v>-2131.8142029863602</v>
      </c>
      <c r="AB591" s="37">
        <f t="shared" si="208"/>
        <v>383.784775620326</v>
      </c>
      <c r="AC591" s="37">
        <f t="shared" si="209"/>
        <v>-83.769638567392747</v>
      </c>
      <c r="AD591" s="37">
        <f t="shared" si="210"/>
        <v>-39.890434564902677</v>
      </c>
      <c r="AE591" s="39">
        <f t="shared" si="211"/>
        <v>-48.07071709356503</v>
      </c>
      <c r="AF591" s="39">
        <f t="shared" si="212"/>
        <v>-22.328745301727665</v>
      </c>
      <c r="AG591" s="39">
        <f t="shared" si="213"/>
        <v>-9.3668230250760569</v>
      </c>
      <c r="AH591" s="39">
        <f t="shared" si="214"/>
        <v>-2.8255852126216405</v>
      </c>
      <c r="AI591" s="39">
        <f t="shared" si="215"/>
        <v>-26.332098448751655</v>
      </c>
      <c r="AJ591" s="39">
        <f t="shared" si="216"/>
        <v>-14.736104050553376</v>
      </c>
      <c r="AK591" s="37">
        <f t="shared" si="217"/>
        <v>98631.600257803293</v>
      </c>
      <c r="AL591" s="37">
        <f t="shared" si="218"/>
        <v>135214.2366832243</v>
      </c>
      <c r="AM591" s="37">
        <f t="shared" si="219"/>
        <v>131155.78361693249</v>
      </c>
    </row>
    <row r="592" spans="12:39">
      <c r="L592">
        <v>588</v>
      </c>
      <c r="M592" s="37">
        <f t="shared" si="204"/>
        <v>3.6945129606216236</v>
      </c>
      <c r="N592" s="37">
        <f t="shared" si="198"/>
        <v>15745.02759102661</v>
      </c>
      <c r="O592" s="37">
        <f t="shared" si="199"/>
        <v>4874.1268501934082</v>
      </c>
      <c r="R592" s="37">
        <f t="shared" si="200"/>
        <v>-22978.480686281371</v>
      </c>
      <c r="S592" s="37">
        <f t="shared" si="201"/>
        <v>8161.8887951353854</v>
      </c>
      <c r="V592" s="37">
        <f t="shared" si="202"/>
        <v>-9254.97240897339</v>
      </c>
      <c r="W592" s="37">
        <f t="shared" si="203"/>
        <v>-17625.873149806594</v>
      </c>
      <c r="Y592" s="37">
        <f t="shared" si="205"/>
        <v>108376.11792545678</v>
      </c>
      <c r="Z592" s="37">
        <f t="shared" si="206"/>
        <v>49237.399309444401</v>
      </c>
      <c r="AA592" s="37">
        <f t="shared" si="207"/>
        <v>-2173.6990222700565</v>
      </c>
      <c r="AB592" s="37">
        <f t="shared" si="208"/>
        <v>363.83955833787468</v>
      </c>
      <c r="AC592" s="37">
        <f t="shared" si="209"/>
        <v>-84.881291315267802</v>
      </c>
      <c r="AD592" s="37">
        <f t="shared" si="210"/>
        <v>-41.013370021664599</v>
      </c>
      <c r="AE592" s="39">
        <f t="shared" si="211"/>
        <v>-48.795979165758816</v>
      </c>
      <c r="AF592" s="39">
        <f t="shared" si="212"/>
        <v>-23.044882655452742</v>
      </c>
      <c r="AG592" s="39">
        <f t="shared" si="213"/>
        <v>-9.4923941347470144</v>
      </c>
      <c r="AH592" s="39">
        <f t="shared" si="214"/>
        <v>-2.9012939874375108</v>
      </c>
      <c r="AI592" s="39">
        <f t="shared" si="215"/>
        <v>-26.59291801476197</v>
      </c>
      <c r="AJ592" s="39">
        <f t="shared" si="216"/>
        <v>-15.067193378774348</v>
      </c>
      <c r="AK592" s="37">
        <f t="shared" si="217"/>
        <v>97736.117790150922</v>
      </c>
      <c r="AL592" s="37">
        <f t="shared" si="218"/>
        <v>134238.59787028309</v>
      </c>
      <c r="AM592" s="37">
        <f t="shared" si="219"/>
        <v>130309.58363024605</v>
      </c>
    </row>
    <row r="593" spans="12:39">
      <c r="L593">
        <v>589</v>
      </c>
      <c r="M593" s="37">
        <f t="shared" si="204"/>
        <v>3.7007961459288032</v>
      </c>
      <c r="N593" s="37">
        <f t="shared" si="198"/>
        <v>15761.610319574655</v>
      </c>
      <c r="O593" s="37">
        <f t="shared" si="199"/>
        <v>4847.4440784662165</v>
      </c>
      <c r="R593" s="37">
        <f t="shared" si="200"/>
        <v>-22966.872776297743</v>
      </c>
      <c r="S593" s="37">
        <f t="shared" si="201"/>
        <v>8143.2108549263512</v>
      </c>
      <c r="V593" s="37">
        <f t="shared" si="202"/>
        <v>-9238.3896804253454</v>
      </c>
      <c r="W593" s="37">
        <f t="shared" si="203"/>
        <v>-17652.555921533785</v>
      </c>
      <c r="Y593" s="37">
        <f t="shared" si="205"/>
        <v>107278.65825290733</v>
      </c>
      <c r="Z593" s="37">
        <f t="shared" si="206"/>
        <v>49414.192417360631</v>
      </c>
      <c r="AA593" s="37">
        <f t="shared" si="207"/>
        <v>-2216.1396679276904</v>
      </c>
      <c r="AB593" s="37">
        <f t="shared" si="208"/>
        <v>343.33287332704236</v>
      </c>
      <c r="AC593" s="37">
        <f t="shared" si="209"/>
        <v>-86.042167796070288</v>
      </c>
      <c r="AD593" s="37">
        <f t="shared" si="210"/>
        <v>-42.189830621943258</v>
      </c>
      <c r="AE593" s="39">
        <f t="shared" si="211"/>
        <v>-49.554329487108717</v>
      </c>
      <c r="AF593" s="39">
        <f t="shared" si="212"/>
        <v>-23.79768138984624</v>
      </c>
      <c r="AG593" s="39">
        <f t="shared" si="213"/>
        <v>-9.6234958176433381</v>
      </c>
      <c r="AH593" s="39">
        <f t="shared" si="214"/>
        <v>-2.9800936079210723</v>
      </c>
      <c r="AI593" s="39">
        <f t="shared" si="215"/>
        <v>-26.864342491318229</v>
      </c>
      <c r="AJ593" s="39">
        <f t="shared" si="216"/>
        <v>-15.412055624175949</v>
      </c>
      <c r="AK593" s="37">
        <f t="shared" si="217"/>
        <v>96821.297824535082</v>
      </c>
      <c r="AL593" s="37">
        <f t="shared" si="218"/>
        <v>133241.64292957779</v>
      </c>
      <c r="AM593" s="37">
        <f t="shared" si="219"/>
        <v>129443.75335972731</v>
      </c>
    </row>
    <row r="594" spans="12:39">
      <c r="L594">
        <v>590</v>
      </c>
      <c r="M594" s="37">
        <f t="shared" si="204"/>
        <v>3.7070793312359829</v>
      </c>
      <c r="N594" s="37">
        <f t="shared" si="198"/>
        <v>15778.360372489997</v>
      </c>
      <c r="O594" s="37">
        <f t="shared" si="199"/>
        <v>4820.8660251049041</v>
      </c>
      <c r="R594" s="37">
        <f t="shared" si="200"/>
        <v>-22955.147739257001</v>
      </c>
      <c r="S594" s="37">
        <f t="shared" si="201"/>
        <v>8124.6062175734323</v>
      </c>
      <c r="V594" s="37">
        <f t="shared" si="202"/>
        <v>-9221.6396275100033</v>
      </c>
      <c r="W594" s="37">
        <f t="shared" si="203"/>
        <v>-17679.133974895096</v>
      </c>
      <c r="Y594" s="37">
        <f t="shared" si="205"/>
        <v>106159.83314796898</v>
      </c>
      <c r="Z594" s="37">
        <f t="shared" si="206"/>
        <v>49580.585125196412</v>
      </c>
      <c r="AA594" s="37">
        <f t="shared" si="207"/>
        <v>-2259.1607518257256</v>
      </c>
      <c r="AB594" s="37">
        <f t="shared" si="208"/>
        <v>322.23795801607071</v>
      </c>
      <c r="AC594" s="37">
        <f t="shared" si="209"/>
        <v>-87.254908397465698</v>
      </c>
      <c r="AD594" s="37">
        <f t="shared" si="210"/>
        <v>-43.423545894923294</v>
      </c>
      <c r="AE594" s="39">
        <f t="shared" si="211"/>
        <v>-50.347622596077329</v>
      </c>
      <c r="AF594" s="39">
        <f t="shared" si="212"/>
        <v>-24.589850526601641</v>
      </c>
      <c r="AG594" s="39">
        <f t="shared" si="213"/>
        <v>-9.7604400172894827</v>
      </c>
      <c r="AH594" s="39">
        <f t="shared" si="214"/>
        <v>-3.0621784867977153</v>
      </c>
      <c r="AI594" s="39">
        <f t="shared" si="215"/>
        <v>-27.146845784098883</v>
      </c>
      <c r="AJ594" s="39">
        <f t="shared" si="216"/>
        <v>-15.77151688152394</v>
      </c>
      <c r="AK594" s="37">
        <f t="shared" si="217"/>
        <v>95886.873411144014</v>
      </c>
      <c r="AL594" s="37">
        <f t="shared" si="218"/>
        <v>132223.01697804467</v>
      </c>
      <c r="AM594" s="37">
        <f t="shared" si="219"/>
        <v>128558.00434277534</v>
      </c>
    </row>
    <row r="595" spans="12:39">
      <c r="L595">
        <v>591</v>
      </c>
      <c r="M595" s="37">
        <f t="shared" si="204"/>
        <v>3.7133625165431625</v>
      </c>
      <c r="N595" s="37">
        <f t="shared" si="198"/>
        <v>15795.277088509229</v>
      </c>
      <c r="O595" s="37">
        <f t="shared" si="199"/>
        <v>4794.3937393655078</v>
      </c>
      <c r="R595" s="37">
        <f t="shared" si="200"/>
        <v>-22943.306038043542</v>
      </c>
      <c r="S595" s="37">
        <f t="shared" si="201"/>
        <v>8106.0756175558554</v>
      </c>
      <c r="V595" s="37">
        <f t="shared" si="202"/>
        <v>-9204.7229114907714</v>
      </c>
      <c r="W595" s="37">
        <f t="shared" si="203"/>
        <v>-17705.606260634493</v>
      </c>
      <c r="Y595" s="37">
        <f t="shared" si="205"/>
        <v>105019.34590850644</v>
      </c>
      <c r="Z595" s="37">
        <f t="shared" si="206"/>
        <v>49736.276160967587</v>
      </c>
      <c r="AA595" s="37">
        <f t="shared" si="207"/>
        <v>-2302.7882060244583</v>
      </c>
      <c r="AB595" s="37">
        <f t="shared" si="208"/>
        <v>300.52618506860904</v>
      </c>
      <c r="AC595" s="37">
        <f t="shared" si="209"/>
        <v>-88.522351652421975</v>
      </c>
      <c r="AD595" s="37">
        <f t="shared" si="210"/>
        <v>-44.718581351000246</v>
      </c>
      <c r="AE595" s="39">
        <f t="shared" si="211"/>
        <v>-51.17785437368601</v>
      </c>
      <c r="AF595" s="39">
        <f t="shared" si="212"/>
        <v>-25.424354510783346</v>
      </c>
      <c r="AG595" s="39">
        <f t="shared" si="213"/>
        <v>-9.9035636378116898</v>
      </c>
      <c r="AH595" s="39">
        <f t="shared" si="214"/>
        <v>-3.1477587474965816</v>
      </c>
      <c r="AI595" s="39">
        <f t="shared" si="215"/>
        <v>-27.440933640924268</v>
      </c>
      <c r="AJ595" s="39">
        <f t="shared" si="216"/>
        <v>-16.146468092720319</v>
      </c>
      <c r="AK595" s="37">
        <f t="shared" si="217"/>
        <v>94932.566607333385</v>
      </c>
      <c r="AL595" s="37">
        <f t="shared" si="218"/>
        <v>131182.34825818398</v>
      </c>
      <c r="AM595" s="37">
        <f t="shared" si="219"/>
        <v>127652.03455223364</v>
      </c>
    </row>
    <row r="596" spans="12:39">
      <c r="L596">
        <v>592</v>
      </c>
      <c r="M596" s="37">
        <f t="shared" si="204"/>
        <v>3.7196457018503422</v>
      </c>
      <c r="N596" s="37">
        <f t="shared" si="198"/>
        <v>15812.359799789365</v>
      </c>
      <c r="O596" s="37">
        <f t="shared" si="199"/>
        <v>4768.0282663285416</v>
      </c>
      <c r="R596" s="37">
        <f t="shared" si="200"/>
        <v>-22931.348140147446</v>
      </c>
      <c r="S596" s="37">
        <f t="shared" si="201"/>
        <v>8087.6197864299793</v>
      </c>
      <c r="V596" s="37">
        <f t="shared" si="202"/>
        <v>-9187.6402002106352</v>
      </c>
      <c r="W596" s="37">
        <f t="shared" si="203"/>
        <v>-17731.97173367146</v>
      </c>
      <c r="Y596" s="37">
        <f t="shared" si="205"/>
        <v>103856.88651153767</v>
      </c>
      <c r="Z596" s="37">
        <f t="shared" si="206"/>
        <v>49880.949430833018</v>
      </c>
      <c r="AA596" s="37">
        <f t="shared" si="207"/>
        <v>-2347.0493818506693</v>
      </c>
      <c r="AB596" s="37">
        <f t="shared" si="208"/>
        <v>278.16689439310892</v>
      </c>
      <c r="AC596" s="37">
        <f t="shared" si="209"/>
        <v>-89.847552112714695</v>
      </c>
      <c r="AD596" s="37">
        <f t="shared" si="210"/>
        <v>-46.079376157247268</v>
      </c>
      <c r="AE596" s="39">
        <f t="shared" si="211"/>
        <v>-52.047174829909601</v>
      </c>
      <c r="AF596" s="39">
        <f t="shared" si="212"/>
        <v>-26.304442917525112</v>
      </c>
      <c r="AG596" s="39">
        <f t="shared" si="213"/>
        <v>-10.053231045762026</v>
      </c>
      <c r="AH596" s="39">
        <f t="shared" si="214"/>
        <v>-3.2370618238911386</v>
      </c>
      <c r="AI596" s="39">
        <f t="shared" si="215"/>
        <v>-27.747146237043065</v>
      </c>
      <c r="AJ596" s="39">
        <f t="shared" si="216"/>
        <v>-16.537871415831017</v>
      </c>
      <c r="AK596" s="37">
        <f t="shared" si="217"/>
        <v>93958.087943868537</v>
      </c>
      <c r="AL596" s="37">
        <f t="shared" si="218"/>
        <v>130119.24709218302</v>
      </c>
      <c r="AM596" s="37">
        <f t="shared" si="219"/>
        <v>126725.5275784327</v>
      </c>
    </row>
    <row r="597" spans="12:39">
      <c r="L597">
        <v>593</v>
      </c>
      <c r="M597" s="37">
        <f t="shared" si="204"/>
        <v>3.7259288871575218</v>
      </c>
      <c r="N597" s="37">
        <f t="shared" si="198"/>
        <v>15829.60783193422</v>
      </c>
      <c r="O597" s="37">
        <f t="shared" si="199"/>
        <v>4741.7706468577362</v>
      </c>
      <c r="R597" s="37">
        <f t="shared" si="200"/>
        <v>-22919.274517646048</v>
      </c>
      <c r="S597" s="37">
        <f t="shared" si="201"/>
        <v>8069.2394528004152</v>
      </c>
      <c r="V597" s="37">
        <f t="shared" si="202"/>
        <v>-9170.3921680657804</v>
      </c>
      <c r="W597" s="37">
        <f t="shared" si="203"/>
        <v>-17758.229353142262</v>
      </c>
      <c r="Y597" s="37">
        <f t="shared" si="205"/>
        <v>102672.13087659824</v>
      </c>
      <c r="Z597" s="37">
        <f t="shared" si="206"/>
        <v>50014.272956009918</v>
      </c>
      <c r="AA597" s="37">
        <f t="shared" si="207"/>
        <v>-2391.9731579070267</v>
      </c>
      <c r="AB597" s="37">
        <f t="shared" si="208"/>
        <v>255.12720631448528</v>
      </c>
      <c r="AC597" s="37">
        <f t="shared" si="209"/>
        <v>-91.233800113963127</v>
      </c>
      <c r="AD597" s="37">
        <f t="shared" si="210"/>
        <v>-47.510785871641403</v>
      </c>
      <c r="AE597" s="39">
        <f t="shared" si="211"/>
        <v>-52.957902215474725</v>
      </c>
      <c r="AF597" s="39">
        <f t="shared" si="212"/>
        <v>-27.233684266915283</v>
      </c>
      <c r="AG597" s="39">
        <f t="shared" si="213"/>
        <v>-10.209836879395109</v>
      </c>
      <c r="AH597" s="39">
        <f t="shared" si="214"/>
        <v>-3.3303342561108802</v>
      </c>
      <c r="AI597" s="39">
        <f t="shared" si="215"/>
        <v>-28.066061019093297</v>
      </c>
      <c r="AJ597" s="39">
        <f t="shared" si="216"/>
        <v>-16.946767348615236</v>
      </c>
      <c r="AK597" s="37">
        <f t="shared" si="217"/>
        <v>92963.135858551497</v>
      </c>
      <c r="AL597" s="37">
        <f t="shared" si="218"/>
        <v>129033.30474727567</v>
      </c>
      <c r="AM597" s="37">
        <f t="shared" si="219"/>
        <v>125778.1517414923</v>
      </c>
    </row>
    <row r="598" spans="12:39">
      <c r="L598">
        <v>594</v>
      </c>
      <c r="M598" s="37">
        <f t="shared" si="204"/>
        <v>3.7322120724647014</v>
      </c>
      <c r="N598" s="37">
        <f t="shared" si="198"/>
        <v>15847.020504021013</v>
      </c>
      <c r="O598" s="37">
        <f t="shared" si="199"/>
        <v>4715.6219175589476</v>
      </c>
      <c r="R598" s="37">
        <f t="shared" si="200"/>
        <v>-22907.085647185293</v>
      </c>
      <c r="S598" s="37">
        <f t="shared" si="201"/>
        <v>8050.9353422912636</v>
      </c>
      <c r="V598" s="37">
        <f t="shared" si="202"/>
        <v>-9152.979495978987</v>
      </c>
      <c r="W598" s="37">
        <f t="shared" si="203"/>
        <v>-17784.378082441053</v>
      </c>
      <c r="Y598" s="37">
        <f t="shared" si="205"/>
        <v>101464.74007263048</v>
      </c>
      <c r="Z598" s="37">
        <f t="shared" si="206"/>
        <v>50135.897710933205</v>
      </c>
      <c r="AA598" s="37">
        <f t="shared" si="207"/>
        <v>-2437.5900579640083</v>
      </c>
      <c r="AB598" s="37">
        <f t="shared" si="208"/>
        <v>231.37181337866457</v>
      </c>
      <c r="AC598" s="37">
        <f t="shared" si="209"/>
        <v>-92.684643653299531</v>
      </c>
      <c r="AD598" s="37">
        <f t="shared" si="210"/>
        <v>-49.018131030917374</v>
      </c>
      <c r="AE598" s="39">
        <f t="shared" si="211"/>
        <v>-53.912538604942576</v>
      </c>
      <c r="AF598" s="39">
        <f t="shared" si="212"/>
        <v>-28.216004608223475</v>
      </c>
      <c r="AG598" s="39">
        <f t="shared" si="213"/>
        <v>-10.373809210243177</v>
      </c>
      <c r="AH598" s="39">
        <f t="shared" si="214"/>
        <v>-3.4278437107434718</v>
      </c>
      <c r="AI598" s="39">
        <f t="shared" si="215"/>
        <v>-28.398295838113782</v>
      </c>
      <c r="AJ598" s="39">
        <f t="shared" si="216"/>
        <v>-17.374282711950425</v>
      </c>
      <c r="AK598" s="37">
        <f t="shared" si="217"/>
        <v>91947.396095367512</v>
      </c>
      <c r="AL598" s="37">
        <f t="shared" si="218"/>
        <v>127924.09220304899</v>
      </c>
      <c r="AM598" s="37">
        <f t="shared" si="219"/>
        <v>124809.55912646244</v>
      </c>
    </row>
    <row r="599" spans="12:39">
      <c r="L599">
        <v>595</v>
      </c>
      <c r="M599" s="37">
        <f t="shared" si="204"/>
        <v>3.7384952577718811</v>
      </c>
      <c r="N599" s="37">
        <f t="shared" si="198"/>
        <v>15864.597128627267</v>
      </c>
      <c r="O599" s="37">
        <f t="shared" si="199"/>
        <v>4689.5831107392351</v>
      </c>
      <c r="R599" s="37">
        <f t="shared" si="200"/>
        <v>-22894.782009960913</v>
      </c>
      <c r="S599" s="37">
        <f t="shared" si="201"/>
        <v>8032.7081775174647</v>
      </c>
      <c r="V599" s="37">
        <f t="shared" si="202"/>
        <v>-9135.402871372733</v>
      </c>
      <c r="W599" s="37">
        <f t="shared" si="203"/>
        <v>-17810.416889260763</v>
      </c>
      <c r="Y599" s="37">
        <f t="shared" si="205"/>
        <v>100234.35946319181</v>
      </c>
      <c r="Z599" s="37">
        <f t="shared" si="206"/>
        <v>50245.456351243673</v>
      </c>
      <c r="AA599" s="37">
        <f t="shared" si="207"/>
        <v>-2483.9323797906582</v>
      </c>
      <c r="AB599" s="37">
        <f t="shared" si="208"/>
        <v>206.86274786320587</v>
      </c>
      <c r="AC599" s="37">
        <f t="shared" si="209"/>
        <v>-94.203912627319255</v>
      </c>
      <c r="AD599" s="37">
        <f t="shared" si="210"/>
        <v>-50.607252530325269</v>
      </c>
      <c r="AE599" s="39">
        <f t="shared" si="211"/>
        <v>-54.913787111751979</v>
      </c>
      <c r="AF599" s="39">
        <f t="shared" si="212"/>
        <v>-29.255731656257961</v>
      </c>
      <c r="AG599" s="39">
        <f t="shared" si="213"/>
        <v>-10.545613109452045</v>
      </c>
      <c r="AH599" s="39">
        <f t="shared" si="214"/>
        <v>-3.5298812584724071</v>
      </c>
      <c r="AI599" s="39">
        <f t="shared" si="215"/>
        <v>-28.744512406115231</v>
      </c>
      <c r="AJ599" s="39">
        <f t="shared" si="216"/>
        <v>-17.821639615594904</v>
      </c>
      <c r="AK599" s="37">
        <f t="shared" si="217"/>
        <v>90910.541067275335</v>
      </c>
      <c r="AL599" s="37">
        <f t="shared" si="218"/>
        <v>126791.1588102415</v>
      </c>
      <c r="AM599" s="37">
        <f t="shared" si="219"/>
        <v>123819.38453291677</v>
      </c>
    </row>
    <row r="600" spans="12:39">
      <c r="L600">
        <v>596</v>
      </c>
      <c r="M600" s="37">
        <f t="shared" si="204"/>
        <v>3.7447784430790607</v>
      </c>
      <c r="N600" s="37">
        <f t="shared" si="198"/>
        <v>15882.337011857941</v>
      </c>
      <c r="O600" s="37">
        <f t="shared" si="199"/>
        <v>4663.6552543661055</v>
      </c>
      <c r="R600" s="37">
        <f t="shared" si="200"/>
        <v>-22882.364091699441</v>
      </c>
      <c r="S600" s="37">
        <f t="shared" si="201"/>
        <v>8014.5586780562744</v>
      </c>
      <c r="V600" s="37">
        <f t="shared" si="202"/>
        <v>-9117.6629881420595</v>
      </c>
      <c r="W600" s="37">
        <f t="shared" si="203"/>
        <v>-17836.344745633894</v>
      </c>
      <c r="Y600" s="37">
        <f t="shared" si="205"/>
        <v>98980.617784218062</v>
      </c>
      <c r="Z600" s="37">
        <f t="shared" si="206"/>
        <v>50342.561818608985</v>
      </c>
      <c r="AA600" s="37">
        <f t="shared" si="207"/>
        <v>-2531.0343361043178</v>
      </c>
      <c r="AB600" s="37">
        <f t="shared" si="208"/>
        <v>181.55912159804325</v>
      </c>
      <c r="AC600" s="37">
        <f t="shared" si="209"/>
        <v>-95.795745707214508</v>
      </c>
      <c r="AD600" s="37">
        <f t="shared" si="210"/>
        <v>-52.284574906271004</v>
      </c>
      <c r="AE600" s="39">
        <f t="shared" si="211"/>
        <v>-55.964570911263642</v>
      </c>
      <c r="AF600" s="39">
        <f t="shared" si="212"/>
        <v>-30.357645409515161</v>
      </c>
      <c r="AG600" s="39">
        <f t="shared" si="213"/>
        <v>-10.725754680449546</v>
      </c>
      <c r="AH600" s="39">
        <f t="shared" si="214"/>
        <v>-3.6367639478223128</v>
      </c>
      <c r="AI600" s="39">
        <f t="shared" si="215"/>
        <v>-29.105420115501317</v>
      </c>
      <c r="AJ600" s="39">
        <f t="shared" si="216"/>
        <v>-18.29016554893353</v>
      </c>
      <c r="AK600" s="37">
        <f t="shared" si="217"/>
        <v>89852.229180794806</v>
      </c>
      <c r="AL600" s="37">
        <f t="shared" si="218"/>
        <v>125634.03082924019</v>
      </c>
      <c r="AM600" s="37">
        <f t="shared" si="219"/>
        <v>122807.24432950355</v>
      </c>
    </row>
    <row r="601" spans="12:39">
      <c r="L601">
        <v>597</v>
      </c>
      <c r="M601" s="37">
        <f t="shared" si="204"/>
        <v>3.7510616283862404</v>
      </c>
      <c r="N601" s="37">
        <f t="shared" si="198"/>
        <v>15900.239453372817</v>
      </c>
      <c r="O601" s="37">
        <f t="shared" si="199"/>
        <v>4637.8393720269341</v>
      </c>
      <c r="R601" s="37">
        <f t="shared" si="200"/>
        <v>-22869.83238263903</v>
      </c>
      <c r="S601" s="37">
        <f t="shared" si="201"/>
        <v>7996.4875604188537</v>
      </c>
      <c r="V601" s="37">
        <f t="shared" si="202"/>
        <v>-9099.7605466271834</v>
      </c>
      <c r="W601" s="37">
        <f t="shared" si="203"/>
        <v>-17862.160627973066</v>
      </c>
      <c r="Y601" s="37">
        <f t="shared" si="205"/>
        <v>97703.126147952498</v>
      </c>
      <c r="Z601" s="37">
        <f t="shared" si="206"/>
        <v>50426.805807544719</v>
      </c>
      <c r="AA601" s="37">
        <f t="shared" si="207"/>
        <v>-2578.932208957925</v>
      </c>
      <c r="AB601" s="37">
        <f t="shared" si="208"/>
        <v>155.41683414490774</v>
      </c>
      <c r="AC601" s="37">
        <f t="shared" si="209"/>
        <v>-97.464620159883992</v>
      </c>
      <c r="AD601" s="37">
        <f t="shared" si="210"/>
        <v>-54.057178841478823</v>
      </c>
      <c r="AE601" s="39">
        <f t="shared" si="211"/>
        <v>-57.06805426330758</v>
      </c>
      <c r="AF601" s="39">
        <f t="shared" si="212"/>
        <v>-31.527036357725493</v>
      </c>
      <c r="AG601" s="39">
        <f t="shared" si="213"/>
        <v>-10.914785630429526</v>
      </c>
      <c r="AH601" s="39">
        <f t="shared" si="214"/>
        <v>-3.7488377203992362</v>
      </c>
      <c r="AI601" s="39">
        <f t="shared" si="215"/>
        <v>-29.481780266146892</v>
      </c>
      <c r="AJ601" s="39">
        <f t="shared" si="216"/>
        <v>-18.781304763354093</v>
      </c>
      <c r="AK601" s="37">
        <f t="shared" si="217"/>
        <v>88772.104120626071</v>
      </c>
      <c r="AL601" s="37">
        <f t="shared" si="218"/>
        <v>124452.20983494728</v>
      </c>
      <c r="AM601" s="37">
        <f t="shared" si="219"/>
        <v>121772.73520267339</v>
      </c>
    </row>
    <row r="602" spans="12:39">
      <c r="L602">
        <v>598</v>
      </c>
      <c r="M602" s="37">
        <f t="shared" si="204"/>
        <v>3.75734481369342</v>
      </c>
      <c r="N602" s="37">
        <f t="shared" si="198"/>
        <v>15918.30374641416</v>
      </c>
      <c r="O602" s="37">
        <f t="shared" si="199"/>
        <v>4612.1364828885507</v>
      </c>
      <c r="R602" s="37">
        <f t="shared" si="200"/>
        <v>-22857.18737751009</v>
      </c>
      <c r="S602" s="37">
        <f t="shared" si="201"/>
        <v>7978.4955380219853</v>
      </c>
      <c r="V602" s="37">
        <f t="shared" si="202"/>
        <v>-9081.6962535858402</v>
      </c>
      <c r="W602" s="37">
        <f t="shared" si="203"/>
        <v>-17887.863517111451</v>
      </c>
      <c r="Y602" s="37">
        <f t="shared" si="205"/>
        <v>96401.476965953538</v>
      </c>
      <c r="Z602" s="37">
        <f t="shared" si="206"/>
        <v>50497.757077261987</v>
      </c>
      <c r="AA602" s="37">
        <f t="shared" si="207"/>
        <v>-2627.6645190378672</v>
      </c>
      <c r="AB602" s="37">
        <f t="shared" si="208"/>
        <v>128.38824472416832</v>
      </c>
      <c r="AC602" s="37">
        <f t="shared" si="209"/>
        <v>-99.215384958176799</v>
      </c>
      <c r="AD602" s="37">
        <f t="shared" si="210"/>
        <v>-55.932884465336713</v>
      </c>
      <c r="AE602" s="39">
        <f t="shared" si="211"/>
        <v>-58.227665740541489</v>
      </c>
      <c r="AF602" s="39">
        <f t="shared" si="212"/>
        <v>-32.769772602740488</v>
      </c>
      <c r="AG602" s="39">
        <f t="shared" si="213"/>
        <v>-11.113308466276784</v>
      </c>
      <c r="AH602" s="39">
        <f t="shared" si="214"/>
        <v>-3.8664807210616083</v>
      </c>
      <c r="AI602" s="39">
        <f t="shared" si="215"/>
        <v>-29.874410751358532</v>
      </c>
      <c r="AJ602" s="39">
        <f t="shared" si="216"/>
        <v>-19.296631141534622</v>
      </c>
      <c r="AK602" s="37">
        <f t="shared" si="217"/>
        <v>87669.794092688287</v>
      </c>
      <c r="AL602" s="37">
        <f t="shared" si="218"/>
        <v>123245.17097292021</v>
      </c>
      <c r="AM602" s="37">
        <f t="shared" si="219"/>
        <v>120715.43278731527</v>
      </c>
    </row>
    <row r="603" spans="12:39">
      <c r="L603">
        <v>599</v>
      </c>
      <c r="M603" s="37">
        <f t="shared" si="204"/>
        <v>3.7636279990005996</v>
      </c>
      <c r="N603" s="37">
        <f t="shared" si="198"/>
        <v>15936.529177834609</v>
      </c>
      <c r="O603" s="37">
        <f t="shared" si="199"/>
        <v>4586.5476016570083</v>
      </c>
      <c r="R603" s="37">
        <f t="shared" si="200"/>
        <v>-22844.429575515773</v>
      </c>
      <c r="S603" s="37">
        <f t="shared" si="201"/>
        <v>7960.5833211599056</v>
      </c>
      <c r="V603" s="37">
        <f t="shared" si="202"/>
        <v>-9063.4708221653909</v>
      </c>
      <c r="W603" s="37">
        <f t="shared" si="203"/>
        <v>-17913.45239834299</v>
      </c>
      <c r="Y603" s="37">
        <f t="shared" si="205"/>
        <v>95075.242783314825</v>
      </c>
      <c r="Z603" s="37">
        <f t="shared" si="206"/>
        <v>50554.959589065904</v>
      </c>
      <c r="AA603" s="37">
        <f t="shared" si="207"/>
        <v>-2677.2722115169554</v>
      </c>
      <c r="AB603" s="37">
        <f t="shared" si="208"/>
        <v>100.42180249149996</v>
      </c>
      <c r="AC603" s="37">
        <f t="shared" si="209"/>
        <v>-101.05329755974358</v>
      </c>
      <c r="AD603" s="37">
        <f t="shared" si="210"/>
        <v>-57.920347329981716</v>
      </c>
      <c r="AE603" s="39">
        <f t="shared" si="211"/>
        <v>-59.44712388191887</v>
      </c>
      <c r="AF603" s="39">
        <f t="shared" si="212"/>
        <v>-34.09237748067661</v>
      </c>
      <c r="AG603" s="39">
        <f t="shared" si="213"/>
        <v>-11.321982416430924</v>
      </c>
      <c r="AH603" s="39">
        <f t="shared" si="214"/>
        <v>-3.9901070661312255</v>
      </c>
      <c r="AI603" s="39">
        <f t="shared" si="215"/>
        <v>-30.284191261393783</v>
      </c>
      <c r="AJ603" s="39">
        <f t="shared" si="216"/>
        <v>-19.837862783173883</v>
      </c>
      <c r="AK603" s="37">
        <f t="shared" si="217"/>
        <v>86544.911024217727</v>
      </c>
      <c r="AL603" s="37">
        <f t="shared" si="218"/>
        <v>122012.36104964784</v>
      </c>
      <c r="AM603" s="37">
        <f t="shared" si="219"/>
        <v>119634.89016530031</v>
      </c>
    </row>
    <row r="604" spans="12:39">
      <c r="L604">
        <v>600</v>
      </c>
      <c r="M604" s="37">
        <f t="shared" si="204"/>
        <v>3.7699111843077793</v>
      </c>
      <c r="N604" s="37">
        <f t="shared" si="198"/>
        <v>15954.915028125342</v>
      </c>
      <c r="O604" s="37">
        <f t="shared" si="199"/>
        <v>4561.0737385375232</v>
      </c>
      <c r="R604" s="37">
        <f t="shared" si="200"/>
        <v>-22831.559480312259</v>
      </c>
      <c r="S604" s="37">
        <f t="shared" si="201"/>
        <v>7942.7516169762666</v>
      </c>
      <c r="V604" s="37">
        <f t="shared" si="202"/>
        <v>-9045.0849718746576</v>
      </c>
      <c r="W604" s="37">
        <f t="shared" si="203"/>
        <v>-17938.926261462475</v>
      </c>
      <c r="Y604" s="37">
        <f t="shared" si="205"/>
        <v>93723.975015361386</v>
      </c>
      <c r="Z604" s="37">
        <f t="shared" si="206"/>
        <v>50597.930446895407</v>
      </c>
      <c r="AA604" s="37">
        <f t="shared" si="207"/>
        <v>-2727.7988602968271</v>
      </c>
      <c r="AB604" s="37">
        <f t="shared" si="208"/>
        <v>71.461628826509099</v>
      </c>
      <c r="AC604" s="37">
        <f t="shared" si="209"/>
        <v>-102.98406477130783</v>
      </c>
      <c r="AD604" s="37">
        <f t="shared" si="210"/>
        <v>-60.029169318758179</v>
      </c>
      <c r="AE604" s="39">
        <f t="shared" si="211"/>
        <v>-60.730465499968112</v>
      </c>
      <c r="AF604" s="39">
        <f t="shared" si="212"/>
        <v>-35.502119596506368</v>
      </c>
      <c r="AG604" s="39">
        <f t="shared" si="213"/>
        <v>-11.54153019943486</v>
      </c>
      <c r="AH604" s="39">
        <f t="shared" si="214"/>
        <v>-4.120171144423221</v>
      </c>
      <c r="AI604" s="39">
        <f t="shared" si="215"/>
        <v>-30.712069071904867</v>
      </c>
      <c r="AJ604" s="39">
        <f t="shared" si="216"/>
        <v>-20.406878577828589</v>
      </c>
      <c r="AK604" s="37">
        <f t="shared" si="217"/>
        <v>85397.049719946794</v>
      </c>
      <c r="AL604" s="37">
        <f t="shared" si="218"/>
        <v>120753.19643746702</v>
      </c>
      <c r="AM604" s="37">
        <f t="shared" si="219"/>
        <v>118530.63621591435</v>
      </c>
    </row>
    <row r="605" spans="12:39">
      <c r="L605">
        <v>601</v>
      </c>
      <c r="M605" s="37">
        <f t="shared" si="204"/>
        <v>3.7761943696149589</v>
      </c>
      <c r="N605" s="37">
        <f t="shared" si="198"/>
        <v>15973.460571444471</v>
      </c>
      <c r="O605" s="37">
        <f t="shared" si="199"/>
        <v>4535.7158991945935</v>
      </c>
      <c r="R605" s="37">
        <f t="shared" si="200"/>
        <v>-22818.577599988868</v>
      </c>
      <c r="S605" s="37">
        <f t="shared" si="201"/>
        <v>7925.0011294362157</v>
      </c>
      <c r="V605" s="37">
        <f t="shared" si="202"/>
        <v>-9026.5394285555285</v>
      </c>
      <c r="W605" s="37">
        <f t="shared" si="203"/>
        <v>-17964.284100805406</v>
      </c>
      <c r="Y605" s="37">
        <f t="shared" si="205"/>
        <v>92347.20257711655</v>
      </c>
      <c r="Z605" s="37">
        <f t="shared" si="206"/>
        <v>50626.15761514382</v>
      </c>
      <c r="AA605" s="37">
        <f t="shared" si="207"/>
        <v>-2779.2908926824812</v>
      </c>
      <c r="AB605" s="37">
        <f t="shared" si="208"/>
        <v>41.447044167130009</v>
      </c>
      <c r="AC605" s="37">
        <f t="shared" si="209"/>
        <v>-105.01388815200873</v>
      </c>
      <c r="AD605" s="37">
        <f t="shared" si="210"/>
        <v>-62.270027204826469</v>
      </c>
      <c r="AE605" s="39">
        <f t="shared" si="211"/>
        <v>-62.082076873811218</v>
      </c>
      <c r="AF605" s="39">
        <f t="shared" si="212"/>
        <v>-37.007117579723925</v>
      </c>
      <c r="AG605" s="39">
        <f t="shared" si="213"/>
        <v>-11.772745783368638</v>
      </c>
      <c r="AH605" s="39">
        <f t="shared" si="214"/>
        <v>-4.2571725400092237</v>
      </c>
      <c r="AI605" s="39">
        <f t="shared" si="215"/>
        <v>-31.159065494828877</v>
      </c>
      <c r="AJ605" s="39">
        <f t="shared" si="216"/>
        <v>-21.005737085093322</v>
      </c>
      <c r="AK605" s="37">
        <f t="shared" si="217"/>
        <v>84225.786973946218</v>
      </c>
      <c r="AL605" s="37">
        <f t="shared" si="218"/>
        <v>119467.06077188881</v>
      </c>
      <c r="AM605" s="37">
        <f t="shared" si="219"/>
        <v>117402.17379979754</v>
      </c>
    </row>
    <row r="606" spans="12:39">
      <c r="L606">
        <v>602</v>
      </c>
      <c r="M606" s="37">
        <f t="shared" si="204"/>
        <v>3.7824775549221386</v>
      </c>
      <c r="N606" s="37">
        <f t="shared" si="198"/>
        <v>15992.1650756457</v>
      </c>
      <c r="O606" s="37">
        <f t="shared" si="199"/>
        <v>4510.4750847122959</v>
      </c>
      <c r="R606" s="37">
        <f t="shared" si="200"/>
        <v>-22805.484447048009</v>
      </c>
      <c r="S606" s="37">
        <f t="shared" si="201"/>
        <v>7907.3325592986066</v>
      </c>
      <c r="V606" s="37">
        <f t="shared" si="202"/>
        <v>-9007.8349243542998</v>
      </c>
      <c r="W606" s="37">
        <f t="shared" si="203"/>
        <v>-17989.524915287704</v>
      </c>
      <c r="Y606" s="37">
        <f t="shared" si="205"/>
        <v>90944.430394756317</v>
      </c>
      <c r="Z606" s="37">
        <f t="shared" si="206"/>
        <v>50639.097383826782</v>
      </c>
      <c r="AA606" s="37">
        <f t="shared" si="207"/>
        <v>-2831.7978367584856</v>
      </c>
      <c r="AB606" s="37">
        <f t="shared" si="208"/>
        <v>10.312030564716775</v>
      </c>
      <c r="AC606" s="37">
        <f t="shared" si="209"/>
        <v>-107.14951444315362</v>
      </c>
      <c r="AD606" s="37">
        <f t="shared" si="210"/>
        <v>-64.65482214534083</v>
      </c>
      <c r="AE606" s="39">
        <f t="shared" si="211"/>
        <v>-63.5067280529668</v>
      </c>
      <c r="AF606" s="39">
        <f t="shared" si="212"/>
        <v>-38.61646236020286</v>
      </c>
      <c r="AG606" s="39">
        <f t="shared" si="213"/>
        <v>-12.016503309045417</v>
      </c>
      <c r="AH606" s="39">
        <f t="shared" si="214"/>
        <v>-4.4016616828063357</v>
      </c>
      <c r="AI606" s="39">
        <f t="shared" si="215"/>
        <v>-31.626283081141413</v>
      </c>
      <c r="AJ606" s="39">
        <f t="shared" si="216"/>
        <v>-21.636698102331643</v>
      </c>
      <c r="AK606" s="37">
        <f t="shared" si="217"/>
        <v>83030.680637507205</v>
      </c>
      <c r="AL606" s="37">
        <f t="shared" si="218"/>
        <v>118153.30241592525</v>
      </c>
      <c r="AM606" s="37">
        <f t="shared" si="219"/>
        <v>116248.97775523765</v>
      </c>
    </row>
    <row r="607" spans="12:39">
      <c r="L607">
        <v>603</v>
      </c>
      <c r="M607" s="37">
        <f t="shared" si="204"/>
        <v>3.7887607402293182</v>
      </c>
      <c r="N607" s="37">
        <f t="shared" si="198"/>
        <v>16011.027802307228</v>
      </c>
      <c r="O607" s="37">
        <f t="shared" si="199"/>
        <v>4485.3522915547665</v>
      </c>
      <c r="R607" s="37">
        <f t="shared" si="200"/>
        <v>-22792.280538384941</v>
      </c>
      <c r="S607" s="37">
        <f t="shared" si="201"/>
        <v>7889.7466040883373</v>
      </c>
      <c r="V607" s="37">
        <f t="shared" si="202"/>
        <v>-8988.9721976927722</v>
      </c>
      <c r="W607" s="37">
        <f t="shared" si="203"/>
        <v>-18014.647708445234</v>
      </c>
      <c r="Y607" s="37">
        <f t="shared" si="205"/>
        <v>89515.137787071682</v>
      </c>
      <c r="Z607" s="37">
        <f t="shared" si="206"/>
        <v>50636.171546340971</v>
      </c>
      <c r="AA607" s="37">
        <f t="shared" si="207"/>
        <v>-2885.3725939800624</v>
      </c>
      <c r="AB607" s="37">
        <f t="shared" si="208"/>
        <v>-22.01538050795364</v>
      </c>
      <c r="AC607" s="37">
        <f t="shared" si="209"/>
        <v>-109.39829153835657</v>
      </c>
      <c r="AD607" s="37">
        <f t="shared" si="210"/>
        <v>-67.196854098274684</v>
      </c>
      <c r="AE607" s="39">
        <f t="shared" si="211"/>
        <v>-65.009610474395117</v>
      </c>
      <c r="AF607" s="39">
        <f t="shared" si="212"/>
        <v>-40.340360371203147</v>
      </c>
      <c r="AG607" s="39">
        <f t="shared" si="213"/>
        <v>-12.273767385094928</v>
      </c>
      <c r="AH607" s="39">
        <f t="shared" si="214"/>
        <v>-4.5542463540550004</v>
      </c>
      <c r="AI607" s="39">
        <f t="shared" si="215"/>
        <v>-32.114913678866529</v>
      </c>
      <c r="AJ607" s="39">
        <f t="shared" si="216"/>
        <v>-22.302247373016542</v>
      </c>
      <c r="AK607" s="37">
        <f t="shared" si="217"/>
        <v>81811.26864455115</v>
      </c>
      <c r="AL607" s="37">
        <f t="shared" si="218"/>
        <v>116811.23166230612</v>
      </c>
      <c r="AM607" s="37">
        <f t="shared" si="219"/>
        <v>115070.49268239815</v>
      </c>
    </row>
    <row r="608" spans="12:39">
      <c r="L608">
        <v>604</v>
      </c>
      <c r="M608" s="37">
        <f t="shared" si="204"/>
        <v>3.7950439255364978</v>
      </c>
      <c r="N608" s="37">
        <f t="shared" si="198"/>
        <v>16030.048006760908</v>
      </c>
      <c r="O608" s="37">
        <f t="shared" si="199"/>
        <v>4460.3485115268631</v>
      </c>
      <c r="R608" s="37">
        <f t="shared" si="200"/>
        <v>-22778.966395267365</v>
      </c>
      <c r="S608" s="37">
        <f t="shared" si="201"/>
        <v>7872.2439580688042</v>
      </c>
      <c r="V608" s="37">
        <f t="shared" si="202"/>
        <v>-8969.9519932390922</v>
      </c>
      <c r="W608" s="37">
        <f t="shared" si="203"/>
        <v>-18039.651488473137</v>
      </c>
      <c r="Y608" s="37">
        <f t="shared" si="205"/>
        <v>88058.776703639363</v>
      </c>
      <c r="Z608" s="37">
        <f t="shared" si="206"/>
        <v>50616.764249324704</v>
      </c>
      <c r="AA608" s="37">
        <f t="shared" si="207"/>
        <v>-2940.0717397492408</v>
      </c>
      <c r="AB608" s="37">
        <f t="shared" si="208"/>
        <v>-55.613807557090979</v>
      </c>
      <c r="AC608" s="37">
        <f t="shared" si="209"/>
        <v>-111.76823052134472</v>
      </c>
      <c r="AD608" s="37">
        <f t="shared" si="210"/>
        <v>-69.911026019862604</v>
      </c>
      <c r="AE608" s="39">
        <f t="shared" si="211"/>
        <v>-66.596378048578515</v>
      </c>
      <c r="AF608" s="39">
        <f t="shared" si="212"/>
        <v>-42.190301842817533</v>
      </c>
      <c r="AG608" s="39">
        <f t="shared" si="213"/>
        <v>-12.545605006569794</v>
      </c>
      <c r="AH608" s="39">
        <f t="shared" si="214"/>
        <v>-4.7155991994478246</v>
      </c>
      <c r="AI608" s="39">
        <f t="shared" si="215"/>
        <v>-32.626247466196418</v>
      </c>
      <c r="AJ608" s="39">
        <f t="shared" si="216"/>
        <v>-23.005124977597244</v>
      </c>
      <c r="AK608" s="37">
        <f t="shared" si="217"/>
        <v>80567.067997586273</v>
      </c>
      <c r="AL608" s="37">
        <f t="shared" si="218"/>
        <v>115440.11764015234</v>
      </c>
      <c r="AM608" s="37">
        <f t="shared" si="219"/>
        <v>113866.13048720532</v>
      </c>
    </row>
    <row r="609" spans="12:39">
      <c r="L609">
        <v>605</v>
      </c>
      <c r="M609" s="37">
        <f t="shared" si="204"/>
        <v>3.8013271108436775</v>
      </c>
      <c r="N609" s="37">
        <f t="shared" si="198"/>
        <v>16049.224938121633</v>
      </c>
      <c r="O609" s="37">
        <f t="shared" si="199"/>
        <v>4435.4647317350082</v>
      </c>
      <c r="R609" s="37">
        <f t="shared" si="200"/>
        <v>-22765.542543314856</v>
      </c>
      <c r="S609" s="37">
        <f t="shared" si="201"/>
        <v>7854.8253122145052</v>
      </c>
      <c r="V609" s="37">
        <f t="shared" si="202"/>
        <v>-8950.7750618783666</v>
      </c>
      <c r="W609" s="37">
        <f t="shared" si="203"/>
        <v>-18064.53526826499</v>
      </c>
      <c r="Y609" s="37">
        <f t="shared" si="205"/>
        <v>86574.769804949581</v>
      </c>
      <c r="Z609" s="37">
        <f t="shared" si="206"/>
        <v>50580.218467293678</v>
      </c>
      <c r="AA609" s="37">
        <f t="shared" si="207"/>
        <v>-2995.9558550099132</v>
      </c>
      <c r="AB609" s="37">
        <f t="shared" si="208"/>
        <v>-90.569320567022288</v>
      </c>
      <c r="AC609" s="37">
        <f t="shared" si="209"/>
        <v>-114.26807428937252</v>
      </c>
      <c r="AD609" s="37">
        <f t="shared" si="210"/>
        <v>-72.814083786286432</v>
      </c>
      <c r="AE609" s="39">
        <f t="shared" si="211"/>
        <v>-68.273191787658021</v>
      </c>
      <c r="AF609" s="39">
        <f t="shared" si="212"/>
        <v>-44.17925929430821</v>
      </c>
      <c r="AG609" s="39">
        <f t="shared" si="213"/>
        <v>-12.833199402693246</v>
      </c>
      <c r="AH609" s="39">
        <f t="shared" si="214"/>
        <v>-4.886466434304686</v>
      </c>
      <c r="AI609" s="39">
        <f t="shared" si="215"/>
        <v>-33.161683099021239</v>
      </c>
      <c r="AJ609" s="39">
        <f t="shared" si="216"/>
        <v>-23.748358057673538</v>
      </c>
      <c r="AK609" s="37">
        <f t="shared" si="217"/>
        <v>79297.573719324966</v>
      </c>
      <c r="AL609" s="37">
        <f t="shared" si="218"/>
        <v>114039.18488761342</v>
      </c>
      <c r="AM609" s="37">
        <f t="shared" si="219"/>
        <v>112635.26765204349</v>
      </c>
    </row>
    <row r="610" spans="12:39">
      <c r="L610">
        <v>606</v>
      </c>
      <c r="M610" s="37">
        <f t="shared" si="204"/>
        <v>3.8076102961508571</v>
      </c>
      <c r="N610" s="37">
        <f t="shared" si="198"/>
        <v>16068.557839316991</v>
      </c>
      <c r="O610" s="37">
        <f t="shared" si="199"/>
        <v>4410.7019345482195</v>
      </c>
      <c r="R610" s="37">
        <f t="shared" si="200"/>
        <v>-22752.009512478107</v>
      </c>
      <c r="S610" s="37">
        <f t="shared" si="201"/>
        <v>7837.4913541837541</v>
      </c>
      <c r="V610" s="37">
        <f t="shared" si="202"/>
        <v>-8931.4421606830092</v>
      </c>
      <c r="W610" s="37">
        <f t="shared" si="203"/>
        <v>-18089.298065451781</v>
      </c>
      <c r="Y610" s="37">
        <f t="shared" si="205"/>
        <v>85062.508368158451</v>
      </c>
      <c r="Z610" s="37">
        <f t="shared" si="206"/>
        <v>50525.832046536882</v>
      </c>
      <c r="AA610" s="37">
        <f t="shared" si="207"/>
        <v>-3053.0898921545995</v>
      </c>
      <c r="AB610" s="37">
        <f t="shared" si="208"/>
        <v>-126.9763624601655</v>
      </c>
      <c r="AC610" s="37">
        <f t="shared" si="209"/>
        <v>-116.90737323401984</v>
      </c>
      <c r="AD610" s="37">
        <f t="shared" si="210"/>
        <v>-75.924899142586156</v>
      </c>
      <c r="AE610" s="39">
        <f t="shared" si="211"/>
        <v>-70.046767912131756</v>
      </c>
      <c r="AF610" s="39">
        <f t="shared" si="212"/>
        <v>-46.321922520052915</v>
      </c>
      <c r="AG610" s="39">
        <f t="shared" si="213"/>
        <v>-13.137866186690088</v>
      </c>
      <c r="AH610" s="39">
        <f t="shared" si="214"/>
        <v>-5.0676779643026419</v>
      </c>
      <c r="AI610" s="39">
        <f t="shared" si="215"/>
        <v>-33.72273913519799</v>
      </c>
      <c r="AJ610" s="39">
        <f t="shared" si="216"/>
        <v>-24.535298658230598</v>
      </c>
      <c r="AK610" s="37">
        <f t="shared" si="217"/>
        <v>78002.257777922612</v>
      </c>
      <c r="AL610" s="37">
        <f t="shared" si="218"/>
        <v>112607.60954604036</v>
      </c>
      <c r="AM610" s="37">
        <f t="shared" si="219"/>
        <v>111377.24219496356</v>
      </c>
    </row>
    <row r="611" spans="12:39">
      <c r="L611">
        <v>607</v>
      </c>
      <c r="M611" s="37">
        <f t="shared" si="204"/>
        <v>3.8138934814580367</v>
      </c>
      <c r="N611" s="37">
        <f t="shared" si="198"/>
        <v>16088.045947117145</v>
      </c>
      <c r="O611" s="37">
        <f t="shared" si="199"/>
        <v>4386.061097559329</v>
      </c>
      <c r="R611" s="37">
        <f t="shared" si="200"/>
        <v>-22738.367837017999</v>
      </c>
      <c r="S611" s="37">
        <f t="shared" si="201"/>
        <v>7820.2427682915304</v>
      </c>
      <c r="V611" s="37">
        <f t="shared" si="202"/>
        <v>-8911.9540528828547</v>
      </c>
      <c r="W611" s="37">
        <f t="shared" si="203"/>
        <v>-18113.93890244067</v>
      </c>
      <c r="Y611" s="37">
        <f t="shared" si="205"/>
        <v>83521.350000426901</v>
      </c>
      <c r="Z611" s="37">
        <f t="shared" si="206"/>
        <v>50452.853252913977</v>
      </c>
      <c r="AA611" s="37">
        <f t="shared" si="207"/>
        <v>-3111.5435787716096</v>
      </c>
      <c r="AB611" s="37">
        <f t="shared" si="208"/>
        <v>-164.93881203145858</v>
      </c>
      <c r="AC611" s="37">
        <f t="shared" si="209"/>
        <v>-119.69656834702545</v>
      </c>
      <c r="AD611" s="37">
        <f t="shared" si="210"/>
        <v>-79.264804691584885</v>
      </c>
      <c r="AE611" s="39">
        <f t="shared" si="211"/>
        <v>-71.92442915671235</v>
      </c>
      <c r="AF611" s="39">
        <f t="shared" si="212"/>
        <v>-48.634977859367133</v>
      </c>
      <c r="AG611" s="39">
        <f t="shared" si="213"/>
        <v>-13.461072265052154</v>
      </c>
      <c r="AH611" s="39">
        <f t="shared" si="214"/>
        <v>-5.2601591938549834</v>
      </c>
      <c r="AI611" s="39">
        <f t="shared" si="215"/>
        <v>-34.311066925260945</v>
      </c>
      <c r="AJ611" s="39">
        <f t="shared" si="216"/>
        <v>-25.369667638362777</v>
      </c>
      <c r="AK611" s="37">
        <f t="shared" si="217"/>
        <v>76680.567997655686</v>
      </c>
      <c r="AL611" s="37">
        <f t="shared" si="218"/>
        <v>111144.51512428618</v>
      </c>
      <c r="AM611" s="37">
        <f t="shared" si="219"/>
        <v>110091.35027260576</v>
      </c>
    </row>
    <row r="612" spans="12:39">
      <c r="L612">
        <v>608</v>
      </c>
      <c r="M612" s="37">
        <f t="shared" si="204"/>
        <v>3.8201766667652164</v>
      </c>
      <c r="N612" s="37">
        <f t="shared" si="198"/>
        <v>16107.688492164969</v>
      </c>
      <c r="O612" s="37">
        <f t="shared" si="199"/>
        <v>4361.5431935463894</v>
      </c>
      <c r="R612" s="37">
        <f t="shared" si="200"/>
        <v>-22724.61805548452</v>
      </c>
      <c r="S612" s="37">
        <f t="shared" si="201"/>
        <v>7803.0802354824727</v>
      </c>
      <c r="V612" s="37">
        <f t="shared" si="202"/>
        <v>-8892.3115078350311</v>
      </c>
      <c r="W612" s="37">
        <f t="shared" si="203"/>
        <v>-18138.456806453611</v>
      </c>
      <c r="Y612" s="37">
        <f t="shared" si="205"/>
        <v>81950.616139997714</v>
      </c>
      <c r="Z612" s="37">
        <f t="shared" si="206"/>
        <v>50360.4757463118</v>
      </c>
      <c r="AA612" s="37">
        <f t="shared" si="207"/>
        <v>-3171.3918629451223</v>
      </c>
      <c r="AB612" s="37">
        <f t="shared" si="208"/>
        <v>-204.57121437725101</v>
      </c>
      <c r="AC612" s="37">
        <f t="shared" si="209"/>
        <v>-122.64708192503367</v>
      </c>
      <c r="AD612" s="37">
        <f t="shared" si="210"/>
        <v>-82.857992096171202</v>
      </c>
      <c r="AE612" s="39">
        <f t="shared" si="211"/>
        <v>-73.914158663119338</v>
      </c>
      <c r="AF612" s="39">
        <f t="shared" si="212"/>
        <v>-51.137441434489425</v>
      </c>
      <c r="AG612" s="39">
        <f t="shared" si="213"/>
        <v>-13.804458070029666</v>
      </c>
      <c r="AH612" s="39">
        <f t="shared" si="214"/>
        <v>-5.4649448548827868</v>
      </c>
      <c r="AI612" s="39">
        <f t="shared" si="215"/>
        <v>-34.928465191884669</v>
      </c>
      <c r="AJ612" s="39">
        <f t="shared" si="216"/>
        <v>-26.255605806798989</v>
      </c>
      <c r="AK612" s="37">
        <f t="shared" si="217"/>
        <v>75331.926972071597</v>
      </c>
      <c r="AL612" s="37">
        <f t="shared" si="218"/>
        <v>109648.96777349884</v>
      </c>
      <c r="AM612" s="37">
        <f t="shared" si="219"/>
        <v>108776.84237423626</v>
      </c>
    </row>
    <row r="613" spans="12:39">
      <c r="L613">
        <v>609</v>
      </c>
      <c r="M613" s="37">
        <f t="shared" si="204"/>
        <v>3.826459852072396</v>
      </c>
      <c r="N613" s="37">
        <f t="shared" si="198"/>
        <v>16127.48469900642</v>
      </c>
      <c r="O613" s="37">
        <f t="shared" si="199"/>
        <v>4337.1491904342693</v>
      </c>
      <c r="R613" s="37">
        <f t="shared" si="200"/>
        <v>-22710.760710695507</v>
      </c>
      <c r="S613" s="37">
        <f t="shared" si="201"/>
        <v>7786.0044333039887</v>
      </c>
      <c r="V613" s="37">
        <f t="shared" si="202"/>
        <v>-8872.5153009935802</v>
      </c>
      <c r="W613" s="37">
        <f t="shared" si="203"/>
        <v>-18162.850809565731</v>
      </c>
      <c r="Y613" s="37">
        <f t="shared" si="205"/>
        <v>80349.589323284512</v>
      </c>
      <c r="Z613" s="37">
        <f t="shared" si="206"/>
        <v>50247.832890111153</v>
      </c>
      <c r="AA613" s="37">
        <f t="shared" si="207"/>
        <v>-3232.715403907639</v>
      </c>
      <c r="AB613" s="37">
        <f t="shared" si="208"/>
        <v>-246.0002104253366</v>
      </c>
      <c r="AC613" s="37">
        <f t="shared" si="209"/>
        <v>-125.77141571652264</v>
      </c>
      <c r="AD613" s="37">
        <f t="shared" si="210"/>
        <v>-86.731987411355391</v>
      </c>
      <c r="AE613" s="39">
        <f t="shared" si="211"/>
        <v>-76.02465534296546</v>
      </c>
      <c r="AF613" s="39">
        <f t="shared" si="212"/>
        <v>-53.851058450790283</v>
      </c>
      <c r="AG613" s="39">
        <f t="shared" si="213"/>
        <v>-14.16986381415208</v>
      </c>
      <c r="AH613" s="39">
        <f t="shared" si="214"/>
        <v>-5.6831952648090756</v>
      </c>
      <c r="AI613" s="39">
        <f t="shared" si="215"/>
        <v>-35.5768965594051</v>
      </c>
      <c r="AJ613" s="39">
        <f t="shared" si="216"/>
        <v>-27.197733695756035</v>
      </c>
      <c r="AK613" s="37">
        <f t="shared" si="217"/>
        <v>73955.731003688721</v>
      </c>
      <c r="AL613" s="37">
        <f t="shared" si="218"/>
        <v>108119.97100305831</v>
      </c>
      <c r="AM613" s="37">
        <f t="shared" si="219"/>
        <v>107432.91904490537</v>
      </c>
    </row>
    <row r="614" spans="12:39">
      <c r="L614">
        <v>610</v>
      </c>
      <c r="M614" s="37">
        <f t="shared" si="204"/>
        <v>3.8327430373795757</v>
      </c>
      <c r="N614" s="37">
        <f t="shared" si="198"/>
        <v>16147.433786121142</v>
      </c>
      <c r="O614" s="37">
        <f t="shared" si="199"/>
        <v>4312.8800512564439</v>
      </c>
      <c r="R614" s="37">
        <f t="shared" si="200"/>
        <v>-22696.796349715201</v>
      </c>
      <c r="S614" s="37">
        <f t="shared" si="201"/>
        <v>7769.016035879511</v>
      </c>
      <c r="V614" s="37">
        <f t="shared" si="202"/>
        <v>-8852.5662138788575</v>
      </c>
      <c r="W614" s="37">
        <f t="shared" si="203"/>
        <v>-18187.119948743555</v>
      </c>
      <c r="Y614" s="37">
        <f t="shared" si="205"/>
        <v>78717.510194366128</v>
      </c>
      <c r="Z614" s="37">
        <f t="shared" si="206"/>
        <v>50113.991286472068</v>
      </c>
      <c r="AA614" s="37">
        <f t="shared" si="207"/>
        <v>-3295.6011117659004</v>
      </c>
      <c r="AB614" s="37">
        <f t="shared" si="208"/>
        <v>-289.36620413101429</v>
      </c>
      <c r="AC614" s="37">
        <f t="shared" si="209"/>
        <v>-129.08325581606124</v>
      </c>
      <c r="AD614" s="37">
        <f t="shared" si="210"/>
        <v>-90.918220961784641</v>
      </c>
      <c r="AE614" s="39">
        <f t="shared" si="211"/>
        <v>-78.265388836689553</v>
      </c>
      <c r="AF614" s="39">
        <f t="shared" si="212"/>
        <v>-56.800783733487485</v>
      </c>
      <c r="AG614" s="39">
        <f t="shared" si="213"/>
        <v>-14.559360637913498</v>
      </c>
      <c r="AH614" s="39">
        <f t="shared" si="214"/>
        <v>-5.916215518563571</v>
      </c>
      <c r="AI614" s="39">
        <f t="shared" si="215"/>
        <v>-36.258506341458194</v>
      </c>
      <c r="AJ614" s="39">
        <f t="shared" si="216"/>
        <v>-28.201221709733584</v>
      </c>
      <c r="AK614" s="37">
        <f t="shared" si="217"/>
        <v>72551.349103852001</v>
      </c>
      <c r="AL614" s="37">
        <f t="shared" si="218"/>
        <v>106556.45975681595</v>
      </c>
      <c r="AM614" s="37">
        <f t="shared" si="219"/>
        <v>106058.72606437698</v>
      </c>
    </row>
    <row r="615" spans="12:39">
      <c r="L615">
        <v>611</v>
      </c>
      <c r="M615" s="37">
        <f t="shared" si="204"/>
        <v>3.8390262226867553</v>
      </c>
      <c r="N615" s="37">
        <f t="shared" si="198"/>
        <v>16167.53496595334</v>
      </c>
      <c r="O615" s="37">
        <f t="shared" si="199"/>
        <v>4288.7367341169702</v>
      </c>
      <c r="R615" s="37">
        <f t="shared" si="200"/>
        <v>-22682.725523832662</v>
      </c>
      <c r="S615" s="37">
        <f t="shared" si="201"/>
        <v>7752.1157138818799</v>
      </c>
      <c r="V615" s="37">
        <f t="shared" si="202"/>
        <v>-8832.4650340466596</v>
      </c>
      <c r="W615" s="37">
        <f t="shared" si="203"/>
        <v>-18211.26326588303</v>
      </c>
      <c r="Y615" s="37">
        <f t="shared" si="205"/>
        <v>77053.57423150618</v>
      </c>
      <c r="Z615" s="37">
        <f t="shared" si="206"/>
        <v>49957.94340678634</v>
      </c>
      <c r="AA615" s="37">
        <f t="shared" si="207"/>
        <v>-3360.1427396739309</v>
      </c>
      <c r="AB615" s="37">
        <f t="shared" si="208"/>
        <v>-334.82531461190661</v>
      </c>
      <c r="AC615" s="37">
        <f t="shared" si="209"/>
        <v>-132.59758275980266</v>
      </c>
      <c r="AD615" s="37">
        <f t="shared" si="210"/>
        <v>-95.45271366595334</v>
      </c>
      <c r="AE615" s="39">
        <f t="shared" si="211"/>
        <v>-80.646651065565408</v>
      </c>
      <c r="AF615" s="39">
        <f t="shared" si="212"/>
        <v>-60.015362630826495</v>
      </c>
      <c r="AG615" s="39">
        <f t="shared" si="213"/>
        <v>-14.975287743174428</v>
      </c>
      <c r="AH615" s="39">
        <f t="shared" si="214"/>
        <v>-6.1654782410667179</v>
      </c>
      <c r="AI615" s="39">
        <f t="shared" si="215"/>
        <v>-36.975643951062807</v>
      </c>
      <c r="AJ615" s="39">
        <f t="shared" si="216"/>
        <v>-29.271872794060133</v>
      </c>
      <c r="AK615" s="37">
        <f t="shared" si="217"/>
        <v>71118.122099250191</v>
      </c>
      <c r="AL615" s="37">
        <f t="shared" si="218"/>
        <v>104957.29375517655</v>
      </c>
      <c r="AM615" s="37">
        <f t="shared" si="219"/>
        <v>104653.34899469081</v>
      </c>
    </row>
    <row r="616" spans="12:39">
      <c r="L616">
        <v>612</v>
      </c>
      <c r="M616" s="37">
        <f t="shared" si="204"/>
        <v>3.8453094079939349</v>
      </c>
      <c r="N616" s="37">
        <f t="shared" si="198"/>
        <v>16187.787444942851</v>
      </c>
      <c r="O616" s="37">
        <f t="shared" si="199"/>
        <v>4264.7201921526721</v>
      </c>
      <c r="R616" s="37">
        <f t="shared" si="200"/>
        <v>-22668.548788540003</v>
      </c>
      <c r="S616" s="37">
        <f t="shared" si="201"/>
        <v>7735.3041345068705</v>
      </c>
      <c r="V616" s="37">
        <f t="shared" si="202"/>
        <v>-8812.2125550571491</v>
      </c>
      <c r="W616" s="37">
        <f t="shared" si="203"/>
        <v>-18235.279807847328</v>
      </c>
      <c r="Y616" s="37">
        <f t="shared" si="205"/>
        <v>75356.928163824239</v>
      </c>
      <c r="Z616" s="37">
        <f t="shared" si="206"/>
        <v>49778.599160272141</v>
      </c>
      <c r="AA616" s="37">
        <f t="shared" si="207"/>
        <v>-3426.4415310538325</v>
      </c>
      <c r="AB616" s="37">
        <f t="shared" si="208"/>
        <v>-382.55167144488325</v>
      </c>
      <c r="AC616" s="37">
        <f t="shared" si="209"/>
        <v>-136.33078395287248</v>
      </c>
      <c r="AD616" s="37">
        <f t="shared" si="210"/>
        <v>-100.37690748579887</v>
      </c>
      <c r="AE616" s="39">
        <f t="shared" si="211"/>
        <v>-83.179599696210673</v>
      </c>
      <c r="AF616" s="39">
        <f t="shared" si="212"/>
        <v>-63.528036517137522</v>
      </c>
      <c r="AG616" s="39">
        <f t="shared" si="213"/>
        <v>-15.420296891273754</v>
      </c>
      <c r="AH616" s="39">
        <f t="shared" si="214"/>
        <v>-6.4326506818313725</v>
      </c>
      <c r="AI616" s="39">
        <f t="shared" si="215"/>
        <v>-37.73088736538805</v>
      </c>
      <c r="AJ616" s="39">
        <f t="shared" si="216"/>
        <v>-30.416220286829965</v>
      </c>
      <c r="AK616" s="37">
        <f t="shared" si="217"/>
        <v>69655.361909114814</v>
      </c>
      <c r="AL616" s="37">
        <f t="shared" si="218"/>
        <v>103321.24999241123</v>
      </c>
      <c r="AM616" s="37">
        <f t="shared" si="219"/>
        <v>103215.80699240412</v>
      </c>
    </row>
    <row r="617" spans="12:39">
      <c r="L617">
        <v>613</v>
      </c>
      <c r="M617" s="37">
        <f t="shared" si="204"/>
        <v>3.8515925933011146</v>
      </c>
      <c r="N617" s="37">
        <f t="shared" si="198"/>
        <v>16208.190423556482</v>
      </c>
      <c r="O617" s="37">
        <f t="shared" si="199"/>
        <v>4240.8313734955</v>
      </c>
      <c r="R617" s="37">
        <f t="shared" si="200"/>
        <v>-22654.266703510461</v>
      </c>
      <c r="S617" s="37">
        <f t="shared" si="201"/>
        <v>7718.5819614468501</v>
      </c>
      <c r="V617" s="37">
        <f t="shared" si="202"/>
        <v>-8791.8095764435184</v>
      </c>
      <c r="W617" s="37">
        <f t="shared" si="203"/>
        <v>-18259.168626504499</v>
      </c>
      <c r="Y617" s="37">
        <f t="shared" si="205"/>
        <v>73626.666050303218</v>
      </c>
      <c r="Z617" s="37">
        <f t="shared" si="206"/>
        <v>49574.776211113975</v>
      </c>
      <c r="AA617" s="37">
        <f t="shared" si="207"/>
        <v>-3494.6069230302687</v>
      </c>
      <c r="AB617" s="37">
        <f t="shared" si="208"/>
        <v>-432.74012518778267</v>
      </c>
      <c r="AC617" s="37">
        <f t="shared" si="209"/>
        <v>-140.30076352464192</v>
      </c>
      <c r="AD617" s="37">
        <f t="shared" si="210"/>
        <v>-105.73867515730996</v>
      </c>
      <c r="AE617" s="39">
        <f t="shared" si="211"/>
        <v>-85.876286346795936</v>
      </c>
      <c r="AF617" s="39">
        <f t="shared" si="212"/>
        <v>-67.377403743385457</v>
      </c>
      <c r="AG617" s="39">
        <f t="shared" si="213"/>
        <v>-15.897406018124883</v>
      </c>
      <c r="AH617" s="39">
        <f t="shared" si="214"/>
        <v>-6.7196271323651526</v>
      </c>
      <c r="AI617" s="39">
        <f t="shared" si="215"/>
        <v>-38.527071159721103</v>
      </c>
      <c r="AJ617" s="39">
        <f t="shared" si="216"/>
        <v>-31.641644281559351</v>
      </c>
      <c r="AK617" s="37">
        <f t="shared" si="217"/>
        <v>68162.351080974797</v>
      </c>
      <c r="AL617" s="37">
        <f t="shared" si="218"/>
        <v>101647.0142594201</v>
      </c>
      <c r="AM617" s="37">
        <f t="shared" si="219"/>
        <v>101745.04576096743</v>
      </c>
    </row>
    <row r="618" spans="12:39">
      <c r="L618">
        <v>614</v>
      </c>
      <c r="M618" s="37">
        <f t="shared" si="204"/>
        <v>3.8578757786082942</v>
      </c>
      <c r="N618" s="37">
        <f t="shared" si="198"/>
        <v>16228.743096319573</v>
      </c>
      <c r="O618" s="37">
        <f t="shared" si="199"/>
        <v>4217.0712212351118</v>
      </c>
      <c r="R618" s="37">
        <f t="shared" si="200"/>
        <v>-22639.879832576298</v>
      </c>
      <c r="S618" s="37">
        <f t="shared" si="201"/>
        <v>7701.9498548645788</v>
      </c>
      <c r="V618" s="37">
        <f t="shared" si="202"/>
        <v>-8771.2569036804271</v>
      </c>
      <c r="W618" s="37">
        <f t="shared" si="203"/>
        <v>-18282.928778764886</v>
      </c>
      <c r="Y618" s="37">
        <f t="shared" si="205"/>
        <v>71861.824993347502</v>
      </c>
      <c r="Z618" s="37">
        <f t="shared" si="206"/>
        <v>49345.188814125417</v>
      </c>
      <c r="AA618" s="37">
        <f t="shared" si="207"/>
        <v>-3564.7573047925898</v>
      </c>
      <c r="AB618" s="37">
        <f t="shared" si="208"/>
        <v>-485.60946276643767</v>
      </c>
      <c r="AC618" s="37">
        <f t="shared" si="209"/>
        <v>-144.52704159879957</v>
      </c>
      <c r="AD618" s="37">
        <f t="shared" si="210"/>
        <v>-111.59355407880332</v>
      </c>
      <c r="AE618" s="39">
        <f t="shared" si="211"/>
        <v>-88.749658664884763</v>
      </c>
      <c r="AF618" s="39">
        <f t="shared" si="212"/>
        <v>-71.60847549228474</v>
      </c>
      <c r="AG618" s="39">
        <f t="shared" si="213"/>
        <v>-16.410064208766062</v>
      </c>
      <c r="AH618" s="39">
        <f t="shared" si="214"/>
        <v>-7.0285679039424682</v>
      </c>
      <c r="AI618" s="39">
        <f t="shared" si="215"/>
        <v>-39.367318725148749</v>
      </c>
      <c r="AJ618" s="39">
        <f t="shared" si="216"/>
        <v>-32.956510682576102</v>
      </c>
      <c r="AK618" s="37">
        <f t="shared" si="217"/>
        <v>66638.342705460571</v>
      </c>
      <c r="AL618" s="37">
        <f t="shared" si="218"/>
        <v>99933.171539422197</v>
      </c>
      <c r="AM618" s="37">
        <f t="shared" si="219"/>
        <v>100239.92949335823</v>
      </c>
    </row>
    <row r="619" spans="12:39">
      <c r="L619">
        <v>615</v>
      </c>
      <c r="M619" s="37">
        <f t="shared" si="204"/>
        <v>3.8641589639154739</v>
      </c>
      <c r="N619" s="37">
        <f t="shared" si="198"/>
        <v>16249.444651847796</v>
      </c>
      <c r="O619" s="37">
        <f t="shared" si="199"/>
        <v>4193.440673381635</v>
      </c>
      <c r="R619" s="37">
        <f t="shared" si="200"/>
        <v>-22625.388743706542</v>
      </c>
      <c r="S619" s="37">
        <f t="shared" si="201"/>
        <v>7685.4084713671446</v>
      </c>
      <c r="V619" s="37">
        <f t="shared" si="202"/>
        <v>-8750.5553481522038</v>
      </c>
      <c r="W619" s="37">
        <f t="shared" si="203"/>
        <v>-18306.559326618364</v>
      </c>
      <c r="Y619" s="37">
        <f t="shared" si="205"/>
        <v>70061.380460751359</v>
      </c>
      <c r="Z619" s="37">
        <f t="shared" si="206"/>
        <v>49088.434888482348</v>
      </c>
      <c r="AA619" s="37">
        <f t="shared" si="207"/>
        <v>-3637.0208255919897</v>
      </c>
      <c r="AB619" s="37">
        <f t="shared" si="208"/>
        <v>-541.40623980583928</v>
      </c>
      <c r="AC619" s="37">
        <f t="shared" si="209"/>
        <v>-149.03083022827349</v>
      </c>
      <c r="AD619" s="37">
        <f t="shared" si="210"/>
        <v>-118.00626192732065</v>
      </c>
      <c r="AE619" s="39">
        <f t="shared" si="211"/>
        <v>-91.813519899069959</v>
      </c>
      <c r="AF619" s="39">
        <f t="shared" si="212"/>
        <v>-76.273977246762101</v>
      </c>
      <c r="AG619" s="39">
        <f t="shared" si="213"/>
        <v>-16.962230922777778</v>
      </c>
      <c r="AH619" s="39">
        <f t="shared" si="214"/>
        <v>-7.3619464369341685</v>
      </c>
      <c r="AI619" s="39">
        <f t="shared" si="215"/>
        <v>-40.25507940642575</v>
      </c>
      <c r="AJ619" s="39">
        <f t="shared" si="216"/>
        <v>-34.370338243624396</v>
      </c>
      <c r="AK619" s="37">
        <f t="shared" si="217"/>
        <v>65082.560875472882</v>
      </c>
      <c r="AL619" s="37">
        <f t="shared" si="218"/>
        <v>98178.195097115793</v>
      </c>
      <c r="AM619" s="37">
        <f t="shared" si="219"/>
        <v>98699.231623801956</v>
      </c>
    </row>
    <row r="620" spans="12:39">
      <c r="L620">
        <v>616</v>
      </c>
      <c r="M620" s="37">
        <f t="shared" si="204"/>
        <v>3.8704421492226535</v>
      </c>
      <c r="N620" s="37">
        <f t="shared" si="198"/>
        <v>16270.294272879182</v>
      </c>
      <c r="O620" s="37">
        <f t="shared" si="199"/>
        <v>4169.940662828637</v>
      </c>
      <c r="R620" s="37">
        <f t="shared" si="200"/>
        <v>-22610.794008984572</v>
      </c>
      <c r="S620" s="37">
        <f t="shared" si="201"/>
        <v>7668.9584639800451</v>
      </c>
      <c r="V620" s="37">
        <f t="shared" si="202"/>
        <v>-8729.7057271208178</v>
      </c>
      <c r="W620" s="37">
        <f t="shared" si="203"/>
        <v>-18330.059337171362</v>
      </c>
      <c r="Y620" s="37">
        <f t="shared" si="205"/>
        <v>68224.241194176837</v>
      </c>
      <c r="Z620" s="37">
        <f t="shared" si="206"/>
        <v>48802.980985838512</v>
      </c>
      <c r="AA620" s="37">
        <f t="shared" si="207"/>
        <v>-3711.5362407061266</v>
      </c>
      <c r="AB620" s="37">
        <f t="shared" si="208"/>
        <v>-600.40937076949956</v>
      </c>
      <c r="AC620" s="37">
        <f t="shared" si="209"/>
        <v>-153.83506603179421</v>
      </c>
      <c r="AD620" s="37">
        <f t="shared" si="210"/>
        <v>-125.05256821500269</v>
      </c>
      <c r="AE620" s="39">
        <f t="shared" si="211"/>
        <v>-95.08242135752235</v>
      </c>
      <c r="AF620" s="39">
        <f t="shared" si="212"/>
        <v>-81.43596133745794</v>
      </c>
      <c r="AG620" s="39">
        <f t="shared" si="213"/>
        <v>-17.558473228500358</v>
      </c>
      <c r="AH620" s="39">
        <f t="shared" si="214"/>
        <v>-7.7226065489903455</v>
      </c>
      <c r="AI620" s="39">
        <f t="shared" si="215"/>
        <v>-41.194171445771495</v>
      </c>
      <c r="AJ620" s="39">
        <f t="shared" si="216"/>
        <v>-35.894000328554412</v>
      </c>
      <c r="AK620" s="37">
        <f t="shared" si="217"/>
        <v>63494.201916952064</v>
      </c>
      <c r="AL620" s="37">
        <f t="shared" si="218"/>
        <v>96380.434050047916</v>
      </c>
      <c r="AM620" s="37">
        <f t="shared" si="219"/>
        <v>97121.624168576658</v>
      </c>
    </row>
    <row r="621" spans="12:39">
      <c r="L621">
        <v>617</v>
      </c>
      <c r="M621" s="37">
        <f t="shared" si="204"/>
        <v>3.8767253345298331</v>
      </c>
      <c r="N621" s="37">
        <f t="shared" si="198"/>
        <v>16291.291136306399</v>
      </c>
      <c r="O621" s="37">
        <f t="shared" si="199"/>
        <v>4146.5721173162947</v>
      </c>
      <c r="R621" s="37">
        <f t="shared" si="200"/>
        <v>-22596.096204585519</v>
      </c>
      <c r="S621" s="37">
        <f t="shared" si="201"/>
        <v>7652.6004821214065</v>
      </c>
      <c r="V621" s="37">
        <f t="shared" si="202"/>
        <v>-8708.7088636936005</v>
      </c>
      <c r="W621" s="37">
        <f t="shared" si="203"/>
        <v>-18353.427882683704</v>
      </c>
      <c r="Y621" s="37">
        <f t="shared" si="205"/>
        <v>66349.243690569798</v>
      </c>
      <c r="Z621" s="37">
        <f t="shared" si="206"/>
        <v>48487.144729426887</v>
      </c>
      <c r="AA621" s="37">
        <f t="shared" si="207"/>
        <v>-3788.4537737220235</v>
      </c>
      <c r="AB621" s="37">
        <f t="shared" si="208"/>
        <v>-662.93565487700096</v>
      </c>
      <c r="AC621" s="37">
        <f t="shared" si="209"/>
        <v>-158.96436856798692</v>
      </c>
      <c r="AD621" s="37">
        <f t="shared" si="210"/>
        <v>-132.82161788619894</v>
      </c>
      <c r="AE621" s="39">
        <f t="shared" si="211"/>
        <v>-98.571450794825381</v>
      </c>
      <c r="AF621" s="39">
        <f t="shared" si="212"/>
        <v>-87.167815442457766</v>
      </c>
      <c r="AG621" s="39">
        <f t="shared" si="213"/>
        <v>-18.20408597154174</v>
      </c>
      <c r="AH621" s="39">
        <f t="shared" si="214"/>
        <v>-8.1138324032613589</v>
      </c>
      <c r="AI621" s="39">
        <f t="shared" si="215"/>
        <v>-42.188831801619806</v>
      </c>
      <c r="AJ621" s="39">
        <f t="shared" si="216"/>
        <v>-37.539970040479822</v>
      </c>
      <c r="AK621" s="37">
        <f t="shared" si="217"/>
        <v>61872.436704552136</v>
      </c>
      <c r="AL621" s="37">
        <f t="shared" si="218"/>
        <v>94538.099173599112</v>
      </c>
      <c r="AM621" s="37">
        <f t="shared" si="219"/>
        <v>95505.665387512548</v>
      </c>
    </row>
    <row r="622" spans="12:39">
      <c r="L622">
        <v>618</v>
      </c>
      <c r="M622" s="37">
        <f t="shared" si="204"/>
        <v>3.8830085198370128</v>
      </c>
      <c r="N622" s="37">
        <f t="shared" si="198"/>
        <v>16312.434413209226</v>
      </c>
      <c r="O622" s="37">
        <f t="shared" si="199"/>
        <v>4123.3359593947735</v>
      </c>
      <c r="R622" s="37">
        <f t="shared" si="200"/>
        <v>-22581.295910753543</v>
      </c>
      <c r="S622" s="37">
        <f t="shared" si="201"/>
        <v>7636.335171576342</v>
      </c>
      <c r="V622" s="37">
        <f t="shared" si="202"/>
        <v>-8687.5655867907735</v>
      </c>
      <c r="W622" s="37">
        <f t="shared" si="203"/>
        <v>-18376.664040605225</v>
      </c>
      <c r="Y622" s="37">
        <f t="shared" si="205"/>
        <v>64435.146257637789</v>
      </c>
      <c r="Z622" s="37">
        <f t="shared" si="206"/>
        <v>48139.074199752613</v>
      </c>
      <c r="AA622" s="37">
        <f t="shared" si="207"/>
        <v>-3867.9359580060168</v>
      </c>
      <c r="AB622" s="37">
        <f t="shared" si="208"/>
        <v>-729.34646382010044</v>
      </c>
      <c r="AC622" s="37">
        <f t="shared" si="209"/>
        <v>-164.44487665423574</v>
      </c>
      <c r="AD622" s="37">
        <f t="shared" si="210"/>
        <v>-141.41883191491704</v>
      </c>
      <c r="AE622" s="39">
        <f t="shared" si="211"/>
        <v>-102.29586112567073</v>
      </c>
      <c r="AF622" s="39">
        <f t="shared" si="212"/>
        <v>-93.556777477674089</v>
      </c>
      <c r="AG622" s="39">
        <f t="shared" si="213"/>
        <v>-18.905241391418457</v>
      </c>
      <c r="AH622" s="39">
        <f t="shared" si="214"/>
        <v>-8.5394345382130545</v>
      </c>
      <c r="AI622" s="39">
        <f t="shared" si="215"/>
        <v>-43.243774137146552</v>
      </c>
      <c r="AJ622" s="39">
        <f t="shared" si="216"/>
        <v>-39.322619899029895</v>
      </c>
      <c r="AK622" s="37">
        <f t="shared" si="217"/>
        <v>60216.414495971614</v>
      </c>
      <c r="AL622" s="37">
        <f t="shared" si="218"/>
        <v>92649.246647573571</v>
      </c>
      <c r="AM622" s="37">
        <f t="shared" si="219"/>
        <v>93849.785437268947</v>
      </c>
    </row>
    <row r="623" spans="12:39">
      <c r="L623">
        <v>619</v>
      </c>
      <c r="M623" s="37">
        <f t="shared" si="204"/>
        <v>3.8892917051441924</v>
      </c>
      <c r="N623" s="37">
        <f t="shared" si="198"/>
        <v>16333.723268887297</v>
      </c>
      <c r="O623" s="37">
        <f t="shared" si="199"/>
        <v>4100.2331063878</v>
      </c>
      <c r="R623" s="37">
        <f t="shared" si="200"/>
        <v>-22566.393711778892</v>
      </c>
      <c r="S623" s="37">
        <f t="shared" si="201"/>
        <v>7620.1631744714596</v>
      </c>
      <c r="V623" s="37">
        <f t="shared" si="202"/>
        <v>-8666.2767311127027</v>
      </c>
      <c r="W623" s="37">
        <f t="shared" si="203"/>
        <v>-18399.766893612199</v>
      </c>
      <c r="Y623" s="37">
        <f t="shared" si="205"/>
        <v>62480.622669053002</v>
      </c>
      <c r="Z623" s="37">
        <f t="shared" si="206"/>
        <v>47756.723613853203</v>
      </c>
      <c r="AA623" s="37">
        <f t="shared" si="207"/>
        <v>-3950.1583963331345</v>
      </c>
      <c r="AB623" s="37">
        <f t="shared" si="208"/>
        <v>-800.05587977755897</v>
      </c>
      <c r="AC623" s="37">
        <f t="shared" si="209"/>
        <v>-170.30388898102018</v>
      </c>
      <c r="AD623" s="37">
        <f t="shared" si="210"/>
        <v>-150.96954794358038</v>
      </c>
      <c r="AE623" s="39">
        <f t="shared" si="211"/>
        <v>-106.27045554552205</v>
      </c>
      <c r="AF623" s="39">
        <f t="shared" si="212"/>
        <v>-100.7071009891514</v>
      </c>
      <c r="AG623" s="39">
        <f t="shared" si="213"/>
        <v>-19.66917688308131</v>
      </c>
      <c r="AH623" s="39">
        <f t="shared" si="214"/>
        <v>-9.0038563150316016</v>
      </c>
      <c r="AI623" s="39">
        <f t="shared" si="215"/>
        <v>-44.364256552416819</v>
      </c>
      <c r="AJ623" s="39">
        <f t="shared" si="216"/>
        <v>-41.258590639397397</v>
      </c>
      <c r="AK623" s="37">
        <f t="shared" si="217"/>
        <v>58525.268888511957</v>
      </c>
      <c r="AL623" s="37">
        <f t="shared" si="218"/>
        <v>90711.759402668409</v>
      </c>
      <c r="AM623" s="37">
        <f t="shared" si="219"/>
        <v>92152.269611489595</v>
      </c>
    </row>
    <row r="624" spans="12:39">
      <c r="L624">
        <v>620</v>
      </c>
      <c r="M624" s="37">
        <f t="shared" si="204"/>
        <v>3.8955748904513721</v>
      </c>
      <c r="N624" s="37">
        <f t="shared" si="198"/>
        <v>16355.15686289304</v>
      </c>
      <c r="O624" s="37">
        <f t="shared" si="199"/>
        <v>4077.2644703564533</v>
      </c>
      <c r="R624" s="37">
        <f t="shared" si="200"/>
        <v>-22551.390195974873</v>
      </c>
      <c r="S624" s="37">
        <f t="shared" si="201"/>
        <v>7604.0851292495172</v>
      </c>
      <c r="V624" s="37">
        <f t="shared" si="202"/>
        <v>-8644.8431371069601</v>
      </c>
      <c r="W624" s="37">
        <f t="shared" si="203"/>
        <v>-18422.735529643545</v>
      </c>
      <c r="Y624" s="37">
        <f t="shared" si="205"/>
        <v>60484.255484763809</v>
      </c>
      <c r="Z624" s="37">
        <f t="shared" si="206"/>
        <v>47337.824480471478</v>
      </c>
      <c r="AA624" s="37">
        <f t="shared" si="207"/>
        <v>-4035.3103408236448</v>
      </c>
      <c r="AB624" s="37">
        <f t="shared" si="208"/>
        <v>-875.54065374934919</v>
      </c>
      <c r="AC624" s="37">
        <f t="shared" si="209"/>
        <v>-176.56919542777217</v>
      </c>
      <c r="AD624" s="37">
        <f t="shared" si="210"/>
        <v>-161.62361418625116</v>
      </c>
      <c r="AE624" s="39">
        <f t="shared" si="211"/>
        <v>-110.5086018154351</v>
      </c>
      <c r="AF624" s="39">
        <f t="shared" si="212"/>
        <v>-108.74405938778992</v>
      </c>
      <c r="AG624" s="39">
        <f t="shared" si="213"/>
        <v>-20.504432632684221</v>
      </c>
      <c r="AH624" s="39">
        <f t="shared" si="214"/>
        <v>-9.5123065014342636</v>
      </c>
      <c r="AI624" s="39">
        <f t="shared" si="215"/>
        <v>-45.556160979652844</v>
      </c>
      <c r="AJ624" s="39">
        <f t="shared" si="216"/>
        <v>-43.367248297026968</v>
      </c>
      <c r="AK624" s="37">
        <f t="shared" si="217"/>
        <v>56798.126742811517</v>
      </c>
      <c r="AL624" s="37">
        <f t="shared" si="218"/>
        <v>88723.325669584927</v>
      </c>
      <c r="AM624" s="37">
        <f t="shared" si="219"/>
        <v>90411.238667280122</v>
      </c>
    </row>
    <row r="625" spans="12:39">
      <c r="L625">
        <v>621</v>
      </c>
      <c r="M625" s="37">
        <f t="shared" si="204"/>
        <v>3.9018580757585517</v>
      </c>
      <c r="N625" s="37">
        <f t="shared" si="198"/>
        <v>16376.734349064865</v>
      </c>
      <c r="O625" s="37">
        <f t="shared" si="199"/>
        <v>4054.4309580631543</v>
      </c>
      <c r="R625" s="37">
        <f t="shared" si="200"/>
        <v>-22536.285955654595</v>
      </c>
      <c r="S625" s="37">
        <f t="shared" si="201"/>
        <v>7588.1016706442078</v>
      </c>
      <c r="V625" s="37">
        <f t="shared" si="202"/>
        <v>-8623.2656509351345</v>
      </c>
      <c r="W625" s="37">
        <f t="shared" si="203"/>
        <v>-18445.569041936847</v>
      </c>
      <c r="Y625" s="37">
        <f t="shared" si="205"/>
        <v>58444.529164923515</v>
      </c>
      <c r="Z625" s="37">
        <f t="shared" si="206"/>
        <v>46879.85120182352</v>
      </c>
      <c r="AA625" s="37">
        <f t="shared" si="207"/>
        <v>-4123.5949385375307</v>
      </c>
      <c r="AB625" s="37">
        <f t="shared" si="208"/>
        <v>-956.35246084247478</v>
      </c>
      <c r="AC625" s="37">
        <f t="shared" si="209"/>
        <v>-183.26792338572838</v>
      </c>
      <c r="AD625" s="37">
        <f t="shared" si="210"/>
        <v>-173.56121562602141</v>
      </c>
      <c r="AE625" s="39">
        <f t="shared" si="211"/>
        <v>-115.02068167690545</v>
      </c>
      <c r="AF625" s="39">
        <f t="shared" si="212"/>
        <v>-117.81903506056001</v>
      </c>
      <c r="AG625" s="39">
        <f t="shared" si="213"/>
        <v>-21.42115511856046</v>
      </c>
      <c r="AH625" s="39">
        <f t="shared" si="214"/>
        <v>-10.070925554065825</v>
      </c>
      <c r="AI625" s="39">
        <f t="shared" si="215"/>
        <v>-46.826086590262463</v>
      </c>
      <c r="AJ625" s="39">
        <f t="shared" si="216"/>
        <v>-45.671255011395559</v>
      </c>
      <c r="AK625" s="37">
        <f t="shared" si="217"/>
        <v>55034.121264815483</v>
      </c>
      <c r="AL625" s="37">
        <f t="shared" si="218"/>
        <v>86681.41427419825</v>
      </c>
      <c r="AM625" s="37">
        <f t="shared" si="219"/>
        <v>88624.625616803882</v>
      </c>
    </row>
    <row r="626" spans="12:39">
      <c r="L626">
        <v>622</v>
      </c>
      <c r="M626" s="37">
        <f t="shared" si="204"/>
        <v>3.9081412610657313</v>
      </c>
      <c r="N626" s="37">
        <f t="shared" si="198"/>
        <v>16398.454875560565</v>
      </c>
      <c r="O626" s="37">
        <f t="shared" si="199"/>
        <v>4031.733470935872</v>
      </c>
      <c r="R626" s="37">
        <f t="shared" si="200"/>
        <v>-22521.081587107605</v>
      </c>
      <c r="S626" s="37">
        <f t="shared" si="201"/>
        <v>7572.2134296551103</v>
      </c>
      <c r="V626" s="37">
        <f t="shared" si="202"/>
        <v>-8601.5451244394353</v>
      </c>
      <c r="W626" s="37">
        <f t="shared" si="203"/>
        <v>-18468.266529064127</v>
      </c>
      <c r="Y626" s="37">
        <f t="shared" si="205"/>
        <v>56359.823205231536</v>
      </c>
      <c r="Z626" s="37">
        <f t="shared" si="206"/>
        <v>46379.979819449029</v>
      </c>
      <c r="AA626" s="37">
        <f t="shared" si="207"/>
        <v>-4215.2289002303951</v>
      </c>
      <c r="AB626" s="37">
        <f t="shared" si="208"/>
        <v>-1043.1330686554854</v>
      </c>
      <c r="AC626" s="37">
        <f t="shared" si="209"/>
        <v>-190.42462616817141</v>
      </c>
      <c r="AD626" s="37">
        <f t="shared" si="210"/>
        <v>-187.00029692738747</v>
      </c>
      <c r="AE626" s="39">
        <f t="shared" si="211"/>
        <v>-119.81167754205494</v>
      </c>
      <c r="AF626" s="39">
        <f t="shared" si="212"/>
        <v>-128.11601361964784</v>
      </c>
      <c r="AG626" s="39">
        <f t="shared" si="213"/>
        <v>-22.431488530509831</v>
      </c>
      <c r="AH626" s="39">
        <f t="shared" si="214"/>
        <v>-10.686995671360336</v>
      </c>
      <c r="AI626" s="39">
        <f t="shared" si="215"/>
        <v>-48.181460095606653</v>
      </c>
      <c r="AJ626" s="39">
        <f t="shared" si="216"/>
        <v>-48.197287636379293</v>
      </c>
      <c r="AK626" s="37">
        <f t="shared" si="217"/>
        <v>53232.410938040906</v>
      </c>
      <c r="AL626" s="37">
        <f t="shared" si="218"/>
        <v>84583.246163751232</v>
      </c>
      <c r="AM626" s="37">
        <f t="shared" si="219"/>
        <v>86790.148210573068</v>
      </c>
    </row>
    <row r="627" spans="12:39">
      <c r="L627">
        <v>623</v>
      </c>
      <c r="M627" s="37">
        <f t="shared" si="204"/>
        <v>3.914424446372911</v>
      </c>
      <c r="N627" s="37">
        <f t="shared" si="198"/>
        <v>16420.317584890945</v>
      </c>
      <c r="O627" s="37">
        <f t="shared" si="199"/>
        <v>4009.1729050325343</v>
      </c>
      <c r="R627" s="37">
        <f t="shared" si="200"/>
        <v>-22505.777690576339</v>
      </c>
      <c r="S627" s="37">
        <f t="shared" si="201"/>
        <v>7556.4210335227745</v>
      </c>
      <c r="V627" s="37">
        <f t="shared" si="202"/>
        <v>-8579.6824151090568</v>
      </c>
      <c r="W627" s="37">
        <f t="shared" si="203"/>
        <v>-18490.827094967466</v>
      </c>
      <c r="Y627" s="37">
        <f t="shared" si="205"/>
        <v>54228.405676845323</v>
      </c>
      <c r="Z627" s="37">
        <f t="shared" si="206"/>
        <v>45835.038248005359</v>
      </c>
      <c r="AA627" s="37">
        <f t="shared" si="207"/>
        <v>-4310.4412133144806</v>
      </c>
      <c r="AB627" s="37">
        <f t="shared" si="208"/>
        <v>-1136.6332171191791</v>
      </c>
      <c r="AC627" s="37">
        <f t="shared" si="209"/>
        <v>-198.05818723301081</v>
      </c>
      <c r="AD627" s="37">
        <f t="shared" si="210"/>
        <v>-202.20605507628835</v>
      </c>
      <c r="AE627" s="39">
        <f t="shared" si="211"/>
        <v>-124.87743585068456</v>
      </c>
      <c r="AF627" s="39">
        <f t="shared" si="212"/>
        <v>-139.85989662636374</v>
      </c>
      <c r="AG627" s="39">
        <f t="shared" si="213"/>
        <v>-23.550084896262099</v>
      </c>
      <c r="AH627" s="39">
        <f t="shared" si="214"/>
        <v>-11.369208126001501</v>
      </c>
      <c r="AI627" s="39">
        <f t="shared" si="215"/>
        <v>-49.630666486064143</v>
      </c>
      <c r="AJ627" s="39">
        <f t="shared" si="216"/>
        <v>-50.976950323923113</v>
      </c>
      <c r="AK627" s="37">
        <f t="shared" si="217"/>
        <v>51392.206730736238</v>
      </c>
      <c r="AL627" s="37">
        <f t="shared" si="218"/>
        <v>82425.761601348451</v>
      </c>
      <c r="AM627" s="37">
        <f t="shared" si="219"/>
        <v>84905.276147346915</v>
      </c>
    </row>
    <row r="628" spans="12:39">
      <c r="L628">
        <v>624</v>
      </c>
      <c r="M628" s="37">
        <f t="shared" si="204"/>
        <v>3.9207076316800906</v>
      </c>
      <c r="N628" s="37">
        <f t="shared" si="198"/>
        <v>16442.321613953674</v>
      </c>
      <c r="O628" s="37">
        <f t="shared" si="199"/>
        <v>3986.7501510056518</v>
      </c>
      <c r="R628" s="37">
        <f t="shared" si="200"/>
        <v>-22490.37487023243</v>
      </c>
      <c r="S628" s="37">
        <f t="shared" si="201"/>
        <v>7540.7251057039557</v>
      </c>
      <c r="V628" s="37">
        <f t="shared" si="202"/>
        <v>-8557.6783860463256</v>
      </c>
      <c r="W628" s="37">
        <f t="shared" si="203"/>
        <v>-18513.249848994346</v>
      </c>
      <c r="Y628" s="37">
        <f t="shared" si="205"/>
        <v>52048.427796783959</v>
      </c>
      <c r="Z628" s="37">
        <f t="shared" si="206"/>
        <v>45241.445882561238</v>
      </c>
      <c r="AA628" s="37">
        <f t="shared" si="207"/>
        <v>-4409.4703069309862</v>
      </c>
      <c r="AB628" s="37">
        <f t="shared" si="208"/>
        <v>-1237.7362446573234</v>
      </c>
      <c r="AC628" s="37">
        <f t="shared" si="209"/>
        <v>-206.17687020558367</v>
      </c>
      <c r="AD628" s="37">
        <f t="shared" si="210"/>
        <v>-219.50310770531405</v>
      </c>
      <c r="AE628" s="39">
        <f t="shared" si="211"/>
        <v>-130.19888916479169</v>
      </c>
      <c r="AF628" s="39">
        <f t="shared" si="212"/>
        <v>-153.32715728026074</v>
      </c>
      <c r="AG628" s="39">
        <f t="shared" si="213"/>
        <v>-24.794776466985049</v>
      </c>
      <c r="AH628" s="39">
        <f t="shared" si="214"/>
        <v>-12.128006116886574</v>
      </c>
      <c r="AI628" s="39">
        <f t="shared" si="215"/>
        <v>-51.183204573806925</v>
      </c>
      <c r="AJ628" s="39">
        <f t="shared" si="216"/>
        <v>-54.047944308166741</v>
      </c>
      <c r="AK628" s="37">
        <f t="shared" si="217"/>
        <v>49512.811085132031</v>
      </c>
      <c r="AL628" s="37">
        <f t="shared" si="218"/>
        <v>80205.582448367553</v>
      </c>
      <c r="AM628" s="37">
        <f t="shared" si="219"/>
        <v>82967.191805595226</v>
      </c>
    </row>
    <row r="629" spans="12:39">
      <c r="L629">
        <v>625</v>
      </c>
      <c r="M629" s="37">
        <f t="shared" si="204"/>
        <v>3.9269908169872703</v>
      </c>
      <c r="N629" s="37">
        <f t="shared" si="198"/>
        <v>16464.466094067364</v>
      </c>
      <c r="O629" s="37">
        <f t="shared" si="199"/>
        <v>3964.4660940671611</v>
      </c>
      <c r="R629" s="37">
        <f t="shared" si="200"/>
        <v>-22474.873734152847</v>
      </c>
      <c r="S629" s="37">
        <f t="shared" si="201"/>
        <v>7525.1262658470132</v>
      </c>
      <c r="V629" s="37">
        <f t="shared" si="202"/>
        <v>-8535.5339059326361</v>
      </c>
      <c r="W629" s="37">
        <f t="shared" si="203"/>
        <v>-18535.53390593284</v>
      </c>
      <c r="Y629" s="37">
        <f t="shared" si="205"/>
        <v>49817.920534542769</v>
      </c>
      <c r="Z629" s="37">
        <f t="shared" si="206"/>
        <v>44595.13987176941</v>
      </c>
      <c r="AA629" s="37">
        <f t="shared" si="207"/>
        <v>-4512.5587420337779</v>
      </c>
      <c r="AB629" s="37">
        <f t="shared" si="208"/>
        <v>-1347.4877985099804</v>
      </c>
      <c r="AC629" s="37">
        <f t="shared" si="209"/>
        <v>-214.77045445647295</v>
      </c>
      <c r="AD629" s="37">
        <f t="shared" si="210"/>
        <v>-239.29109391545524</v>
      </c>
      <c r="AE629" s="39">
        <f t="shared" si="211"/>
        <v>-135.73310890680759</v>
      </c>
      <c r="AF629" s="39">
        <f t="shared" si="212"/>
        <v>-168.85948348729633</v>
      </c>
      <c r="AG629" s="39">
        <f t="shared" si="213"/>
        <v>-26.187472834993343</v>
      </c>
      <c r="AH629" s="39">
        <f t="shared" si="214"/>
        <v>-12.97602791201048</v>
      </c>
      <c r="AI629" s="39">
        <f t="shared" si="215"/>
        <v>-52.84987271467201</v>
      </c>
      <c r="AJ629" s="39">
        <f t="shared" si="216"/>
        <v>-57.455582516148411</v>
      </c>
      <c r="AK629" s="37">
        <f t="shared" si="217"/>
        <v>47593.673813968635</v>
      </c>
      <c r="AL629" s="37">
        <f t="shared" si="218"/>
        <v>77918.969003157486</v>
      </c>
      <c r="AM629" s="37">
        <f t="shared" si="219"/>
        <v>80972.742994585569</v>
      </c>
    </row>
    <row r="630" spans="12:39">
      <c r="L630">
        <v>626</v>
      </c>
      <c r="M630" s="37">
        <f t="shared" si="204"/>
        <v>3.9332740022944499</v>
      </c>
      <c r="N630" s="37">
        <f t="shared" si="198"/>
        <v>16486.750151005857</v>
      </c>
      <c r="O630" s="37">
        <f t="shared" si="199"/>
        <v>3942.321613953472</v>
      </c>
      <c r="R630" s="37">
        <f t="shared" si="200"/>
        <v>-22459.274894295901</v>
      </c>
      <c r="S630" s="37">
        <f t="shared" si="201"/>
        <v>7509.6251297674307</v>
      </c>
      <c r="V630" s="37">
        <f t="shared" si="202"/>
        <v>-8513.2498489941445</v>
      </c>
      <c r="W630" s="37">
        <f t="shared" si="203"/>
        <v>-18557.678386046529</v>
      </c>
      <c r="Y630" s="37">
        <f t="shared" si="205"/>
        <v>47534.794856718821</v>
      </c>
      <c r="Z630" s="37">
        <f t="shared" si="206"/>
        <v>43891.48458577499</v>
      </c>
      <c r="AA630" s="37">
        <f t="shared" si="207"/>
        <v>-4619.9439692620144</v>
      </c>
      <c r="AB630" s="37">
        <f t="shared" si="208"/>
        <v>-1467.1333454677081</v>
      </c>
      <c r="AC630" s="37">
        <f t="shared" si="209"/>
        <v>-223.79776719310291</v>
      </c>
      <c r="AD630" s="37">
        <f t="shared" si="210"/>
        <v>-262.06460735076399</v>
      </c>
      <c r="AE630" s="39">
        <f t="shared" si="211"/>
        <v>-141.399402137545</v>
      </c>
      <c r="AF630" s="39">
        <f t="shared" si="212"/>
        <v>-186.8811512888627</v>
      </c>
      <c r="AG630" s="39">
        <f t="shared" si="213"/>
        <v>-27.755373745642068</v>
      </c>
      <c r="AH630" s="39">
        <f t="shared" si="214"/>
        <v>-13.928684072685348</v>
      </c>
      <c r="AI630" s="39">
        <f t="shared" si="215"/>
        <v>-54.642991309915843</v>
      </c>
      <c r="AJ630" s="39">
        <f t="shared" si="216"/>
        <v>-61.254771989215939</v>
      </c>
      <c r="AK630" s="37">
        <f t="shared" si="217"/>
        <v>45634.472475950548</v>
      </c>
      <c r="AL630" s="37">
        <f t="shared" si="218"/>
        <v>75561.771047050774</v>
      </c>
      <c r="AM630" s="37">
        <f t="shared" si="219"/>
        <v>78918.385863841031</v>
      </c>
    </row>
    <row r="631" spans="12:39">
      <c r="L631">
        <v>627</v>
      </c>
      <c r="M631" s="37">
        <f t="shared" si="204"/>
        <v>3.9395571876016295</v>
      </c>
      <c r="N631" s="37">
        <f t="shared" si="198"/>
        <v>16509.172905032741</v>
      </c>
      <c r="O631" s="37">
        <f t="shared" si="199"/>
        <v>3920.3175848907435</v>
      </c>
      <c r="R631" s="37">
        <f t="shared" si="200"/>
        <v>-22443.578966477082</v>
      </c>
      <c r="S631" s="37">
        <f t="shared" si="201"/>
        <v>7494.2223094235205</v>
      </c>
      <c r="V631" s="37">
        <f t="shared" si="202"/>
        <v>-8490.8270949672606</v>
      </c>
      <c r="W631" s="37">
        <f t="shared" si="203"/>
        <v>-18579.682415109255</v>
      </c>
      <c r="Y631" s="37">
        <f t="shared" si="205"/>
        <v>45196.848151188671</v>
      </c>
      <c r="Z631" s="37">
        <f t="shared" si="206"/>
        <v>43125.159837122294</v>
      </c>
      <c r="AA631" s="37">
        <f t="shared" si="207"/>
        <v>-4731.8428528585655</v>
      </c>
      <c r="AB631" s="37">
        <f t="shared" si="208"/>
        <v>-1598.1656491430901</v>
      </c>
      <c r="AC631" s="37">
        <f t="shared" si="209"/>
        <v>-233.16690525453325</v>
      </c>
      <c r="AD631" s="37">
        <f t="shared" si="210"/>
        <v>-288.43842485322182</v>
      </c>
      <c r="AE631" s="39">
        <f t="shared" si="211"/>
        <v>-147.05760295189322</v>
      </c>
      <c r="AF631" s="39">
        <f t="shared" si="212"/>
        <v>-207.92087085614767</v>
      </c>
      <c r="AG631" s="39">
        <f t="shared" si="213"/>
        <v>-29.532632167453492</v>
      </c>
      <c r="AH631" s="39">
        <f t="shared" si="214"/>
        <v>-15.00491494142881</v>
      </c>
      <c r="AI631" s="39">
        <f t="shared" si="215"/>
        <v>-56.576670135186539</v>
      </c>
      <c r="AJ631" s="39">
        <f t="shared" si="216"/>
        <v>-65.512639055645323</v>
      </c>
      <c r="AK631" s="37">
        <f t="shared" si="217"/>
        <v>43635.228545002159</v>
      </c>
      <c r="AL631" s="37">
        <f t="shared" si="218"/>
        <v>73129.37318946507</v>
      </c>
      <c r="AM631" s="37">
        <f t="shared" si="219"/>
        <v>76800.11569265055</v>
      </c>
    </row>
    <row r="632" spans="12:39">
      <c r="L632">
        <v>628</v>
      </c>
      <c r="M632" s="37">
        <f t="shared" si="204"/>
        <v>3.9458403729088092</v>
      </c>
      <c r="N632" s="37">
        <f t="shared" si="198"/>
        <v>16531.73347093608</v>
      </c>
      <c r="O632" s="37">
        <f t="shared" si="199"/>
        <v>3898.4548755603655</v>
      </c>
      <c r="R632" s="37">
        <f t="shared" si="200"/>
        <v>-22427.786570344746</v>
      </c>
      <c r="S632" s="37">
        <f t="shared" si="201"/>
        <v>7478.9184128922552</v>
      </c>
      <c r="V632" s="37">
        <f t="shared" si="202"/>
        <v>-8468.2665290639197</v>
      </c>
      <c r="W632" s="37">
        <f t="shared" si="203"/>
        <v>-18601.545124439635</v>
      </c>
      <c r="Y632" s="37">
        <f t="shared" si="205"/>
        <v>42801.780861602572</v>
      </c>
      <c r="Z632" s="37">
        <f t="shared" si="206"/>
        <v>42290.022209444098</v>
      </c>
      <c r="AA632" s="37">
        <f t="shared" si="207"/>
        <v>-4848.426305485832</v>
      </c>
      <c r="AB632" s="37">
        <f t="shared" si="208"/>
        <v>-1742.3848615697011</v>
      </c>
      <c r="AC632" s="37">
        <f t="shared" si="209"/>
        <v>-242.70379088560452</v>
      </c>
      <c r="AD632" s="37">
        <f t="shared" si="210"/>
        <v>-319.17880348001211</v>
      </c>
      <c r="AE632" s="39">
        <f t="shared" si="211"/>
        <v>-152.47399065150375</v>
      </c>
      <c r="AF632" s="39">
        <f t="shared" si="212"/>
        <v>-232.63856245812403</v>
      </c>
      <c r="AG632" s="39">
        <f t="shared" si="213"/>
        <v>-31.562670075558767</v>
      </c>
      <c r="AH632" s="39">
        <f t="shared" si="214"/>
        <v>-16.22819136252026</v>
      </c>
      <c r="AI632" s="39">
        <f t="shared" si="215"/>
        <v>-58.667130158542008</v>
      </c>
      <c r="AJ632" s="39">
        <f t="shared" si="216"/>
        <v>-70.312049659367844</v>
      </c>
      <c r="AK632" s="37">
        <f t="shared" si="217"/>
        <v>41596.476482920509</v>
      </c>
      <c r="AL632" s="37">
        <f t="shared" si="218"/>
        <v>70616.635530695916</v>
      </c>
      <c r="AM632" s="37">
        <f t="shared" si="219"/>
        <v>74613.382836454155</v>
      </c>
    </row>
    <row r="633" spans="12:39">
      <c r="L633">
        <v>629</v>
      </c>
      <c r="M633" s="37">
        <f t="shared" si="204"/>
        <v>3.9521235582159888</v>
      </c>
      <c r="N633" s="37">
        <f t="shared" si="198"/>
        <v>16554.430958063364</v>
      </c>
      <c r="O633" s="37">
        <f t="shared" si="199"/>
        <v>3876.7343490646672</v>
      </c>
      <c r="R633" s="37">
        <f t="shared" si="200"/>
        <v>-22411.898329355645</v>
      </c>
      <c r="S633" s="37">
        <f t="shared" si="201"/>
        <v>7463.7140443452672</v>
      </c>
      <c r="V633" s="37">
        <f t="shared" si="202"/>
        <v>-8445.5690419366365</v>
      </c>
      <c r="W633" s="37">
        <f t="shared" si="203"/>
        <v>-18623.265650935333</v>
      </c>
      <c r="Y633" s="37">
        <f t="shared" si="205"/>
        <v>40347.229734998953</v>
      </c>
      <c r="Z633" s="37">
        <f t="shared" si="206"/>
        <v>41378.932428224245</v>
      </c>
      <c r="AA633" s="37">
        <f t="shared" si="207"/>
        <v>-4969.7782009286339</v>
      </c>
      <c r="AB633" s="37">
        <f t="shared" si="208"/>
        <v>-1901.9742633097071</v>
      </c>
      <c r="AC633" s="37">
        <f t="shared" si="209"/>
        <v>-252.10204898362483</v>
      </c>
      <c r="AD633" s="37">
        <f t="shared" si="210"/>
        <v>-355.24077114961062</v>
      </c>
      <c r="AE633" s="39">
        <f t="shared" si="211"/>
        <v>-157.26750086572355</v>
      </c>
      <c r="AF633" s="39">
        <f t="shared" si="212"/>
        <v>-261.85653302084859</v>
      </c>
      <c r="AG633" s="39">
        <f t="shared" si="213"/>
        <v>-33.901457027714294</v>
      </c>
      <c r="AH633" s="39">
        <f t="shared" si="214"/>
        <v>-17.627843630310654</v>
      </c>
      <c r="AI633" s="39">
        <f t="shared" si="215"/>
        <v>-60.933091090186991</v>
      </c>
      <c r="AJ633" s="39">
        <f t="shared" si="216"/>
        <v>-75.756394498451385</v>
      </c>
      <c r="AK633" s="37">
        <f t="shared" si="217"/>
        <v>39519.511894316332</v>
      </c>
      <c r="AL633" s="37">
        <f t="shared" si="218"/>
        <v>68017.832492838264</v>
      </c>
      <c r="AM633" s="37">
        <f t="shared" si="219"/>
        <v>72352.990721773545</v>
      </c>
    </row>
    <row r="634" spans="12:39">
      <c r="L634">
        <v>630</v>
      </c>
      <c r="M634" s="37">
        <f t="shared" si="204"/>
        <v>3.9584067435231685</v>
      </c>
      <c r="N634" s="37">
        <f t="shared" si="198"/>
        <v>16577.264470356662</v>
      </c>
      <c r="O634" s="37">
        <f t="shared" si="199"/>
        <v>3855.1568628928435</v>
      </c>
      <c r="R634" s="37">
        <f t="shared" si="200"/>
        <v>-22395.914870750337</v>
      </c>
      <c r="S634" s="37">
        <f t="shared" si="201"/>
        <v>7448.6098040249908</v>
      </c>
      <c r="V634" s="37">
        <f t="shared" si="202"/>
        <v>-8422.7355296433379</v>
      </c>
      <c r="W634" s="37">
        <f t="shared" si="203"/>
        <v>-18644.843137107157</v>
      </c>
      <c r="Y634" s="37">
        <f t="shared" si="205"/>
        <v>37830.827878411685</v>
      </c>
      <c r="Z634" s="37">
        <f t="shared" si="206"/>
        <v>40383.540200175688</v>
      </c>
      <c r="AA634" s="37">
        <f t="shared" si="207"/>
        <v>-5095.8292254204462</v>
      </c>
      <c r="AB634" s="37">
        <f t="shared" si="208"/>
        <v>-2079.5946488845125</v>
      </c>
      <c r="AC634" s="37">
        <f t="shared" si="209"/>
        <v>-260.84298662123194</v>
      </c>
      <c r="AD634" s="37">
        <f t="shared" si="210"/>
        <v>-397.80893417614095</v>
      </c>
      <c r="AE634" s="39">
        <f t="shared" si="211"/>
        <v>-160.8245143272799</v>
      </c>
      <c r="AF634" s="39">
        <f t="shared" si="212"/>
        <v>-296.59191475106769</v>
      </c>
      <c r="AG634" s="39">
        <f t="shared" si="213"/>
        <v>-36.622235399835155</v>
      </c>
      <c r="AH634" s="39">
        <f t="shared" si="214"/>
        <v>-19.240830579680594</v>
      </c>
      <c r="AI634" s="39">
        <f t="shared" si="215"/>
        <v>-63.39623689411691</v>
      </c>
      <c r="AJ634" s="39">
        <f t="shared" si="216"/>
        <v>-81.97618884539267</v>
      </c>
      <c r="AK634" s="37">
        <f t="shared" si="217"/>
        <v>37406.759267893198</v>
      </c>
      <c r="AL634" s="37">
        <f t="shared" si="218"/>
        <v>65326.596177959327</v>
      </c>
      <c r="AM634" s="37">
        <f t="shared" si="219"/>
        <v>70012.972668317714</v>
      </c>
    </row>
    <row r="635" spans="12:39">
      <c r="L635">
        <v>631</v>
      </c>
      <c r="M635" s="37">
        <f t="shared" si="204"/>
        <v>3.9646899288303481</v>
      </c>
      <c r="N635" s="37">
        <f t="shared" si="198"/>
        <v>16600.233106388012</v>
      </c>
      <c r="O635" s="37">
        <f t="shared" si="199"/>
        <v>3833.7232688871013</v>
      </c>
      <c r="R635" s="37">
        <f t="shared" si="200"/>
        <v>-22379.836825528393</v>
      </c>
      <c r="S635" s="37">
        <f t="shared" si="201"/>
        <v>7433.6062882209717</v>
      </c>
      <c r="V635" s="37">
        <f t="shared" si="202"/>
        <v>-8399.7668936119899</v>
      </c>
      <c r="W635" s="37">
        <f t="shared" si="203"/>
        <v>-18666.276731112899</v>
      </c>
      <c r="Y635" s="37">
        <f t="shared" si="205"/>
        <v>35250.307892373807</v>
      </c>
      <c r="Z635" s="37">
        <f t="shared" si="206"/>
        <v>39294.016758961414</v>
      </c>
      <c r="AA635" s="37">
        <f t="shared" si="207"/>
        <v>-5226.2507187310621</v>
      </c>
      <c r="AB635" s="37">
        <f t="shared" si="208"/>
        <v>-2278.4991159725828</v>
      </c>
      <c r="AC635" s="37">
        <f t="shared" si="209"/>
        <v>-268.06806343899098</v>
      </c>
      <c r="AD635" s="37">
        <f t="shared" si="210"/>
        <v>-448.33342052756234</v>
      </c>
      <c r="AE635" s="39">
        <f t="shared" si="211"/>
        <v>-162.16383094813335</v>
      </c>
      <c r="AF635" s="39">
        <f t="shared" si="212"/>
        <v>-338.08101418336668</v>
      </c>
      <c r="AG635" s="39">
        <f t="shared" si="213"/>
        <v>-39.822462022824183</v>
      </c>
      <c r="AH635" s="39">
        <f t="shared" si="214"/>
        <v>-21.11408812693216</v>
      </c>
      <c r="AI635" s="39">
        <f t="shared" si="215"/>
        <v>-66.08177046803344</v>
      </c>
      <c r="AJ635" s="39">
        <f t="shared" si="216"/>
        <v>-89.138318217263503</v>
      </c>
      <c r="AK635" s="37">
        <f t="shared" si="217"/>
        <v>35262.322562209629</v>
      </c>
      <c r="AL635" s="37">
        <f t="shared" si="218"/>
        <v>62535.877223210162</v>
      </c>
      <c r="AM635" s="37">
        <f t="shared" si="219"/>
        <v>67586.444952026228</v>
      </c>
    </row>
    <row r="636" spans="12:39">
      <c r="L636">
        <v>632</v>
      </c>
      <c r="M636" s="37">
        <f t="shared" si="204"/>
        <v>3.9709731141375277</v>
      </c>
      <c r="N636" s="37">
        <f t="shared" si="198"/>
        <v>16623.335959394986</v>
      </c>
      <c r="O636" s="37">
        <f t="shared" si="199"/>
        <v>3812.4344132090323</v>
      </c>
      <c r="R636" s="37">
        <f t="shared" si="200"/>
        <v>-22363.664828423509</v>
      </c>
      <c r="S636" s="37">
        <f t="shared" si="201"/>
        <v>7418.7040892463228</v>
      </c>
      <c r="V636" s="37">
        <f t="shared" si="202"/>
        <v>-8376.6640406050137</v>
      </c>
      <c r="W636" s="37">
        <f t="shared" si="203"/>
        <v>-18687.565586790966</v>
      </c>
      <c r="Y636" s="37">
        <f t="shared" si="205"/>
        <v>32603.674025078402</v>
      </c>
      <c r="Z636" s="37">
        <f t="shared" si="206"/>
        <v>38098.725523409179</v>
      </c>
      <c r="AA636" s="37">
        <f t="shared" si="207"/>
        <v>-5360.2847504505571</v>
      </c>
      <c r="AB636" s="37">
        <f t="shared" si="208"/>
        <v>-2502.665826236364</v>
      </c>
      <c r="AC636" s="37">
        <f t="shared" si="209"/>
        <v>-272.37741506728867</v>
      </c>
      <c r="AD636" s="37">
        <f t="shared" si="210"/>
        <v>-508.53906718314465</v>
      </c>
      <c r="AE636" s="39">
        <f t="shared" si="211"/>
        <v>-159.72413821989238</v>
      </c>
      <c r="AF636" s="39">
        <f t="shared" si="212"/>
        <v>-387.77225237092358</v>
      </c>
      <c r="AG636" s="39">
        <f t="shared" si="213"/>
        <v>-43.634214681585775</v>
      </c>
      <c r="AH636" s="39">
        <f t="shared" si="214"/>
        <v>-23.307608156473481</v>
      </c>
      <c r="AI636" s="39">
        <f t="shared" si="215"/>
        <v>-69.019062165810496</v>
      </c>
      <c r="AJ636" s="39">
        <f t="shared" si="216"/>
        <v>-97.459206655747636</v>
      </c>
      <c r="AK636" s="37">
        <f t="shared" si="217"/>
        <v>33092.81799102894</v>
      </c>
      <c r="AL636" s="37">
        <f t="shared" si="218"/>
        <v>59637.948463848043</v>
      </c>
      <c r="AM636" s="37">
        <f t="shared" si="219"/>
        <v>65065.435927185659</v>
      </c>
    </row>
    <row r="637" spans="12:39">
      <c r="L637">
        <v>633</v>
      </c>
      <c r="M637" s="37">
        <f t="shared" si="204"/>
        <v>3.9772562994447074</v>
      </c>
      <c r="N637" s="37">
        <f t="shared" si="198"/>
        <v>16646.572117316508</v>
      </c>
      <c r="O637" s="37">
        <f t="shared" si="199"/>
        <v>3791.2911363062062</v>
      </c>
      <c r="R637" s="37">
        <f t="shared" si="200"/>
        <v>-22347.399517878446</v>
      </c>
      <c r="S637" s="37">
        <f t="shared" si="201"/>
        <v>7403.9037954143441</v>
      </c>
      <c r="V637" s="37">
        <f t="shared" si="202"/>
        <v>-8353.4278826834925</v>
      </c>
      <c r="W637" s="37">
        <f t="shared" si="203"/>
        <v>-18708.708863693795</v>
      </c>
      <c r="Y637" s="37">
        <f t="shared" si="205"/>
        <v>29889.484472969714</v>
      </c>
      <c r="Z637" s="37">
        <f t="shared" si="206"/>
        <v>36783.825226893103</v>
      </c>
      <c r="AA637" s="37">
        <f t="shared" si="207"/>
        <v>-5496.4734579842016</v>
      </c>
      <c r="AB637" s="37">
        <f t="shared" si="208"/>
        <v>-2756.9353598279363</v>
      </c>
      <c r="AC637" s="37">
        <f t="shared" si="209"/>
        <v>-271.51868763375847</v>
      </c>
      <c r="AD637" s="37">
        <f t="shared" si="210"/>
        <v>-580.35660424843616</v>
      </c>
      <c r="AE637" s="39">
        <f t="shared" si="211"/>
        <v>-151.03618515953502</v>
      </c>
      <c r="AF637" s="39">
        <f t="shared" si="212"/>
        <v>-447.2343590039867</v>
      </c>
      <c r="AG637" s="39">
        <f t="shared" si="213"/>
        <v>-48.240126322491875</v>
      </c>
      <c r="AH637" s="39">
        <f t="shared" si="214"/>
        <v>-25.898345633234744</v>
      </c>
      <c r="AI637" s="39">
        <f t="shared" si="215"/>
        <v>-72.242376151731591</v>
      </c>
      <c r="AJ637" s="39">
        <f t="shared" si="216"/>
        <v>-107.22389961121472</v>
      </c>
      <c r="AK637" s="37">
        <f t="shared" si="217"/>
        <v>30908.644794949036</v>
      </c>
      <c r="AL637" s="37">
        <f t="shared" si="218"/>
        <v>56624.499598349139</v>
      </c>
      <c r="AM637" s="37">
        <f t="shared" si="219"/>
        <v>62440.697320890045</v>
      </c>
    </row>
    <row r="638" spans="12:39">
      <c r="L638">
        <v>634</v>
      </c>
      <c r="M638" s="37">
        <f t="shared" si="204"/>
        <v>3.983539484751887</v>
      </c>
      <c r="N638" s="37">
        <f t="shared" si="198"/>
        <v>16669.940662828853</v>
      </c>
      <c r="O638" s="37">
        <f t="shared" si="199"/>
        <v>3770.2942728789922</v>
      </c>
      <c r="R638" s="37">
        <f t="shared" si="200"/>
        <v>-22331.041536019806</v>
      </c>
      <c r="S638" s="37">
        <f t="shared" si="201"/>
        <v>7389.2059910152948</v>
      </c>
      <c r="V638" s="37">
        <f t="shared" si="202"/>
        <v>-8330.0593371711493</v>
      </c>
      <c r="W638" s="37">
        <f t="shared" si="203"/>
        <v>-18729.705727121007</v>
      </c>
      <c r="Y638" s="37">
        <f t="shared" si="205"/>
        <v>27107.307908023391</v>
      </c>
      <c r="Z638" s="37">
        <f t="shared" si="206"/>
        <v>35332.812971448075</v>
      </c>
      <c r="AA638" s="37">
        <f t="shared" si="207"/>
        <v>-5632.2328018010812</v>
      </c>
      <c r="AB638" s="37">
        <f t="shared" si="208"/>
        <v>-3047.1136619521544</v>
      </c>
      <c r="AC638" s="37">
        <f t="shared" si="209"/>
        <v>-261.93053662233575</v>
      </c>
      <c r="AD638" s="37">
        <f t="shared" si="210"/>
        <v>-665.66436938678544</v>
      </c>
      <c r="AE638" s="39">
        <f t="shared" si="211"/>
        <v>-132.24062389671045</v>
      </c>
      <c r="AF638" s="39">
        <f t="shared" si="212"/>
        <v>-517.86535771015531</v>
      </c>
      <c r="AG638" s="39">
        <f t="shared" si="213"/>
        <v>-53.898310733347813</v>
      </c>
      <c r="AH638" s="39">
        <f t="shared" si="214"/>
        <v>-28.984798451034731</v>
      </c>
      <c r="AI638" s="39">
        <f t="shared" si="215"/>
        <v>-75.791601992277492</v>
      </c>
      <c r="AJ638" s="39">
        <f t="shared" si="216"/>
        <v>-118.81421322559532</v>
      </c>
      <c r="AK638" s="37">
        <f t="shared" si="217"/>
        <v>28725.934338208393</v>
      </c>
      <c r="AL638" s="37">
        <f t="shared" si="218"/>
        <v>53486.913085236942</v>
      </c>
      <c r="AM638" s="37">
        <f t="shared" si="219"/>
        <v>59701.518261426092</v>
      </c>
    </row>
    <row r="639" spans="12:39">
      <c r="L639">
        <v>635</v>
      </c>
      <c r="M639" s="37">
        <f t="shared" si="204"/>
        <v>3.9898226700590667</v>
      </c>
      <c r="N639" s="37">
        <f t="shared" si="198"/>
        <v>16693.440673381851</v>
      </c>
      <c r="O639" s="37">
        <f t="shared" si="199"/>
        <v>3749.4446518476057</v>
      </c>
      <c r="R639" s="37">
        <f t="shared" si="200"/>
        <v>-22314.591528632704</v>
      </c>
      <c r="S639" s="37">
        <f t="shared" si="201"/>
        <v>7374.611256293324</v>
      </c>
      <c r="V639" s="37">
        <f t="shared" si="202"/>
        <v>-8306.5593266181495</v>
      </c>
      <c r="W639" s="37">
        <f t="shared" si="203"/>
        <v>-18750.555348152393</v>
      </c>
      <c r="Y639" s="37">
        <f t="shared" si="205"/>
        <v>24258.45019004506</v>
      </c>
      <c r="Z639" s="37">
        <f t="shared" si="206"/>
        <v>33726.048094298647</v>
      </c>
      <c r="AA639" s="37">
        <f t="shared" si="207"/>
        <v>-5763.1980701122493</v>
      </c>
      <c r="AB639" s="37">
        <f t="shared" si="208"/>
        <v>-3379.9458466455471</v>
      </c>
      <c r="AC639" s="37">
        <f t="shared" si="209"/>
        <v>-238.14813339345199</v>
      </c>
      <c r="AD639" s="37">
        <f t="shared" si="210"/>
        <v>-765.61660027621019</v>
      </c>
      <c r="AE639" s="39">
        <f t="shared" si="211"/>
        <v>-97.453205836134273</v>
      </c>
      <c r="AF639" s="39">
        <f t="shared" si="212"/>
        <v>-600.17432378961314</v>
      </c>
      <c r="AG639" s="39">
        <f t="shared" si="213"/>
        <v>-60.982157220687263</v>
      </c>
      <c r="AH639" s="39">
        <f t="shared" si="214"/>
        <v>-32.691284690252154</v>
      </c>
      <c r="AI639" s="39">
        <f t="shared" si="215"/>
        <v>-79.712770336630456</v>
      </c>
      <c r="AJ639" s="39">
        <f t="shared" si="216"/>
        <v>-132.75099179634492</v>
      </c>
      <c r="AK639" s="37">
        <f t="shared" si="217"/>
        <v>26569.531359539644</v>
      </c>
      <c r="AL639" s="37">
        <f t="shared" si="218"/>
        <v>50216.887312911698</v>
      </c>
      <c r="AM639" s="37">
        <f t="shared" si="219"/>
        <v>56835.593340892046</v>
      </c>
    </row>
    <row r="640" spans="12:39">
      <c r="L640">
        <v>636</v>
      </c>
      <c r="M640" s="37">
        <f t="shared" si="204"/>
        <v>3.9961058553662463</v>
      </c>
      <c r="N640" s="37">
        <f t="shared" si="198"/>
        <v>16717.071221235328</v>
      </c>
      <c r="O640" s="37">
        <f t="shared" si="199"/>
        <v>3728.7430963193847</v>
      </c>
      <c r="R640" s="37">
        <f t="shared" si="200"/>
        <v>-22298.050145135268</v>
      </c>
      <c r="S640" s="37">
        <f t="shared" si="201"/>
        <v>7360.120167423569</v>
      </c>
      <c r="V640" s="37">
        <f t="shared" si="202"/>
        <v>-8282.9287787646717</v>
      </c>
      <c r="W640" s="37">
        <f t="shared" si="203"/>
        <v>-18771.256903680616</v>
      </c>
      <c r="Y640" s="37">
        <f t="shared" si="205"/>
        <v>21347.082638314751</v>
      </c>
      <c r="Z640" s="37">
        <f t="shared" si="206"/>
        <v>31940.373095941348</v>
      </c>
      <c r="AA640" s="37">
        <f t="shared" si="207"/>
        <v>-5882.2721368089751</v>
      </c>
      <c r="AB640" s="37">
        <f t="shared" si="208"/>
        <v>-3762.7541467836522</v>
      </c>
      <c r="AC640" s="37">
        <f t="shared" si="209"/>
        <v>-192.25674543047086</v>
      </c>
      <c r="AD640" s="37">
        <f t="shared" si="210"/>
        <v>-879.16319891201761</v>
      </c>
      <c r="AE640" s="39">
        <f t="shared" si="211"/>
        <v>-38.15404683678473</v>
      </c>
      <c r="AF640" s="39">
        <f t="shared" si="212"/>
        <v>-692.23603161987899</v>
      </c>
      <c r="AG640" s="39">
        <f t="shared" si="213"/>
        <v>-70.044955993924475</v>
      </c>
      <c r="AH640" s="39">
        <f t="shared" si="214"/>
        <v>-37.168582882589909</v>
      </c>
      <c r="AI640" s="39">
        <f t="shared" si="215"/>
        <v>-84.057742599761667</v>
      </c>
      <c r="AJ640" s="39">
        <f t="shared" si="216"/>
        <v>-149.75858440954875</v>
      </c>
      <c r="AK640" s="37">
        <f t="shared" si="217"/>
        <v>24477.468592631525</v>
      </c>
      <c r="AL640" s="37">
        <f t="shared" si="218"/>
        <v>46807.70464665765</v>
      </c>
      <c r="AM640" s="37">
        <f t="shared" si="219"/>
        <v>53829.057115431264</v>
      </c>
    </row>
    <row r="641" spans="12:39">
      <c r="L641">
        <v>637</v>
      </c>
      <c r="M641" s="37">
        <f t="shared" si="204"/>
        <v>4.0023890406734255</v>
      </c>
      <c r="N641" s="37">
        <f t="shared" si="198"/>
        <v>16740.831373495716</v>
      </c>
      <c r="O641" s="37">
        <f t="shared" si="199"/>
        <v>3708.190423556297</v>
      </c>
      <c r="R641" s="37">
        <f t="shared" si="200"/>
        <v>-22281.418038552998</v>
      </c>
      <c r="S641" s="37">
        <f t="shared" si="201"/>
        <v>7345.7332964894076</v>
      </c>
      <c r="V641" s="37">
        <f t="shared" si="202"/>
        <v>-8259.1686265042845</v>
      </c>
      <c r="W641" s="37">
        <f t="shared" si="203"/>
        <v>-18791.809576443702</v>
      </c>
      <c r="Y641" s="37">
        <f t="shared" si="205"/>
        <v>18381.914476731454</v>
      </c>
      <c r="Z641" s="37">
        <f t="shared" si="206"/>
        <v>29949.100622685521</v>
      </c>
      <c r="AA641" s="37">
        <f t="shared" si="207"/>
        <v>-5978.400509524211</v>
      </c>
      <c r="AB641" s="37">
        <f t="shared" si="208"/>
        <v>-4202.3357462396607</v>
      </c>
      <c r="AC641" s="37">
        <f t="shared" si="209"/>
        <v>-114.0961982988818</v>
      </c>
      <c r="AD641" s="37">
        <f t="shared" si="210"/>
        <v>-1000.2470601506724</v>
      </c>
      <c r="AE641" s="39">
        <f t="shared" si="211"/>
        <v>56.711041259564958</v>
      </c>
      <c r="AF641" s="39">
        <f t="shared" si="212"/>
        <v>-786.80134847356362</v>
      </c>
      <c r="AG641" s="39">
        <f t="shared" si="213"/>
        <v>-81.925805604083649</v>
      </c>
      <c r="AH641" s="39">
        <f t="shared" si="214"/>
        <v>-42.581152135629907</v>
      </c>
      <c r="AI641" s="39">
        <f t="shared" si="215"/>
        <v>-88.881433954363118</v>
      </c>
      <c r="AJ641" s="39">
        <f t="shared" si="216"/>
        <v>-170.86455954147877</v>
      </c>
      <c r="AK641" s="37">
        <f t="shared" si="217"/>
        <v>22507.339236970474</v>
      </c>
      <c r="AL641" s="37">
        <f t="shared" si="218"/>
        <v>43256.652373399855</v>
      </c>
      <c r="AM641" s="37">
        <f t="shared" si="219"/>
        <v>50666.908050378326</v>
      </c>
    </row>
    <row r="642" spans="12:39">
      <c r="L642">
        <v>638</v>
      </c>
      <c r="M642" s="37">
        <f t="shared" si="204"/>
        <v>4.0086722259806047</v>
      </c>
      <c r="N642" s="37">
        <f t="shared" si="198"/>
        <v>16764.720192152887</v>
      </c>
      <c r="O642" s="37">
        <f t="shared" si="199"/>
        <v>3687.7874449426686</v>
      </c>
      <c r="R642" s="37">
        <f t="shared" si="200"/>
        <v>-22264.69586549298</v>
      </c>
      <c r="S642" s="37">
        <f t="shared" si="201"/>
        <v>7331.4512114598674</v>
      </c>
      <c r="V642" s="37">
        <f t="shared" si="202"/>
        <v>-8235.2798078471133</v>
      </c>
      <c r="W642" s="37">
        <f t="shared" si="203"/>
        <v>-18812.212555057333</v>
      </c>
      <c r="Y642" s="37">
        <f t="shared" si="205"/>
        <v>15378.452197181989</v>
      </c>
      <c r="Z642" s="37">
        <f t="shared" si="206"/>
        <v>27722.901867046858</v>
      </c>
      <c r="AA642" s="37">
        <f t="shared" si="207"/>
        <v>-6035.4486086736515</v>
      </c>
      <c r="AB642" s="37">
        <f t="shared" si="208"/>
        <v>-4702.4592763149967</v>
      </c>
      <c r="AC642" s="37">
        <f t="shared" si="209"/>
        <v>5.9867234809376271</v>
      </c>
      <c r="AD642" s="37">
        <f t="shared" si="210"/>
        <v>-1113.6303724798408</v>
      </c>
      <c r="AE642" s="39">
        <f t="shared" si="211"/>
        <v>198.14064812607887</v>
      </c>
      <c r="AF642" s="39">
        <f t="shared" si="212"/>
        <v>-867.02097519871586</v>
      </c>
      <c r="AG642" s="39">
        <f t="shared" si="213"/>
        <v>-97.921763597126386</v>
      </c>
      <c r="AH642" s="39">
        <f t="shared" si="214"/>
        <v>-49.054090812324091</v>
      </c>
      <c r="AI642" s="39">
        <f t="shared" si="215"/>
        <v>-94.232161048014859</v>
      </c>
      <c r="AJ642" s="39">
        <f t="shared" si="216"/>
        <v>-197.55530646880075</v>
      </c>
      <c r="AK642" s="37">
        <f t="shared" si="217"/>
        <v>20744.263400225598</v>
      </c>
      <c r="AL642" s="37">
        <f t="shared" si="218"/>
        <v>39569.383751295201</v>
      </c>
      <c r="AM642" s="37">
        <f t="shared" si="219"/>
        <v>47334.212340485261</v>
      </c>
    </row>
    <row r="643" spans="12:39">
      <c r="L643">
        <v>639</v>
      </c>
      <c r="M643" s="37">
        <f t="shared" si="204"/>
        <v>4.0149554112877839</v>
      </c>
      <c r="N643" s="37">
        <f t="shared" si="198"/>
        <v>16788.736734117185</v>
      </c>
      <c r="O643" s="37">
        <f t="shared" si="199"/>
        <v>3667.5349659531603</v>
      </c>
      <c r="R643" s="37">
        <f t="shared" si="200"/>
        <v>-22247.884286117969</v>
      </c>
      <c r="S643" s="37">
        <f t="shared" si="201"/>
        <v>7317.274476167212</v>
      </c>
      <c r="V643" s="37">
        <f t="shared" si="202"/>
        <v>-8211.2632658828134</v>
      </c>
      <c r="W643" s="37">
        <f t="shared" si="203"/>
        <v>-18832.46503404684</v>
      </c>
      <c r="Y643" s="37">
        <f t="shared" si="205"/>
        <v>12361.47623328028</v>
      </c>
      <c r="Z643" s="37">
        <f t="shared" si="206"/>
        <v>25232.468432329377</v>
      </c>
      <c r="AA643" s="37">
        <f t="shared" si="207"/>
        <v>-6032.4552469331829</v>
      </c>
      <c r="AB643" s="37">
        <f t="shared" si="208"/>
        <v>-5259.2744625549167</v>
      </c>
      <c r="AC643" s="37">
        <f t="shared" si="209"/>
        <v>168.8750985189219</v>
      </c>
      <c r="AD643" s="37">
        <f t="shared" si="210"/>
        <v>-1191.6979756370717</v>
      </c>
      <c r="AE643" s="39">
        <f t="shared" si="211"/>
        <v>389.05329935755981</v>
      </c>
      <c r="AF643" s="39">
        <f t="shared" si="212"/>
        <v>-903.16866976433687</v>
      </c>
      <c r="AG643" s="39">
        <f t="shared" si="213"/>
        <v>-120.05496460311393</v>
      </c>
      <c r="AH643" s="39">
        <f t="shared" si="214"/>
        <v>-56.509580875692528</v>
      </c>
      <c r="AI643" s="39">
        <f t="shared" si="215"/>
        <v>-100.12323623552396</v>
      </c>
      <c r="AJ643" s="39">
        <f t="shared" si="216"/>
        <v>-232.01972499704226</v>
      </c>
      <c r="AK643" s="37">
        <f t="shared" si="217"/>
        <v>19307.705250451174</v>
      </c>
      <c r="AL643" s="37">
        <f t="shared" si="218"/>
        <v>35767.208984474528</v>
      </c>
      <c r="AM643" s="37">
        <f t="shared" si="219"/>
        <v>43818.630434521066</v>
      </c>
    </row>
    <row r="644" spans="12:39">
      <c r="L644">
        <v>640</v>
      </c>
      <c r="M644" s="37">
        <f t="shared" si="204"/>
        <v>4.0212385965949631</v>
      </c>
      <c r="N644" s="37">
        <f t="shared" si="198"/>
        <v>16812.880051256659</v>
      </c>
      <c r="O644" s="37">
        <f t="shared" si="199"/>
        <v>3647.4337861209656</v>
      </c>
      <c r="R644" s="37">
        <f t="shared" si="200"/>
        <v>-22230.98396412034</v>
      </c>
      <c r="S644" s="37">
        <f t="shared" si="201"/>
        <v>7303.2036502846759</v>
      </c>
      <c r="V644" s="37">
        <f t="shared" si="202"/>
        <v>-8187.1199487433414</v>
      </c>
      <c r="W644" s="37">
        <f t="shared" si="203"/>
        <v>-18852.566213879036</v>
      </c>
      <c r="Y644" s="37">
        <f t="shared" si="205"/>
        <v>9366.3579971285544</v>
      </c>
      <c r="Z644" s="37">
        <f t="shared" si="206"/>
        <v>22453.868954097285</v>
      </c>
      <c r="AA644" s="37">
        <f t="shared" si="207"/>
        <v>-5948.0176976737221</v>
      </c>
      <c r="AB644" s="37">
        <f t="shared" si="208"/>
        <v>-5855.1234503734522</v>
      </c>
      <c r="AC644" s="37">
        <f t="shared" si="209"/>
        <v>352.23821960749439</v>
      </c>
      <c r="AD644" s="37">
        <f t="shared" si="210"/>
        <v>-1199.7531909679697</v>
      </c>
      <c r="AE644" s="39">
        <f t="shared" si="211"/>
        <v>610.12244155498581</v>
      </c>
      <c r="AF644" s="39">
        <f t="shared" si="212"/>
        <v>-858.00246373758205</v>
      </c>
      <c r="AG644" s="39">
        <f t="shared" si="213"/>
        <v>-151.43024948133248</v>
      </c>
      <c r="AH644" s="39">
        <f t="shared" si="214"/>
        <v>-64.219488263106228</v>
      </c>
      <c r="AI644" s="39">
        <f t="shared" si="215"/>
        <v>-106.45397246615897</v>
      </c>
      <c r="AJ644" s="39">
        <f t="shared" si="216"/>
        <v>-277.53123896728141</v>
      </c>
      <c r="AK644" s="37">
        <f t="shared" si="217"/>
        <v>18349.183604224643</v>
      </c>
      <c r="AL644" s="37">
        <f t="shared" si="218"/>
        <v>31897.991064349873</v>
      </c>
      <c r="AM644" s="37">
        <f t="shared" si="219"/>
        <v>40114.642485411132</v>
      </c>
    </row>
    <row r="645" spans="12:39">
      <c r="L645">
        <v>641</v>
      </c>
      <c r="M645" s="37">
        <f t="shared" si="204"/>
        <v>4.0275217819021423</v>
      </c>
      <c r="N645" s="37">
        <f t="shared" ref="N645:N708" si="220">COS(M645)*$D$37+$D$36</f>
        <v>16837.149190434484</v>
      </c>
      <c r="O645" s="37">
        <f t="shared" ref="O645:O708" si="221">SIN(M645)*$D$37+$E$36</f>
        <v>3627.4846990062442</v>
      </c>
      <c r="R645" s="37">
        <f t="shared" ref="R645:R708" si="222">COS(M645)*$D$48+$D$47</f>
        <v>-22213.995566695863</v>
      </c>
      <c r="S645" s="37">
        <f t="shared" ref="S645:S708" si="223">SIN(M645)*$D$48+$E$47</f>
        <v>7289.2392893043707</v>
      </c>
      <c r="V645" s="37">
        <f t="shared" ref="V645:V708" si="224">COS(M645)*$D$57+$D$56</f>
        <v>-8162.8508095655161</v>
      </c>
      <c r="W645" s="37">
        <f t="shared" ref="W645:W708" si="225">SIN(M645)*$D$57+$E$56</f>
        <v>-18872.515300993757</v>
      </c>
      <c r="Y645" s="37">
        <f t="shared" si="205"/>
        <v>6436.3789257426306</v>
      </c>
      <c r="Z645" s="37">
        <f t="shared" si="206"/>
        <v>19376.338080039561</v>
      </c>
      <c r="AA645" s="37">
        <f t="shared" si="207"/>
        <v>-5771.898587869975</v>
      </c>
      <c r="AB645" s="37">
        <f t="shared" si="208"/>
        <v>-6455.0000458574368</v>
      </c>
      <c r="AC645" s="37">
        <f t="shared" si="209"/>
        <v>501.22858490335761</v>
      </c>
      <c r="AD645" s="37">
        <f t="shared" si="210"/>
        <v>-1118.4307760028355</v>
      </c>
      <c r="AE645" s="39">
        <f t="shared" si="211"/>
        <v>810.51566224244038</v>
      </c>
      <c r="AF645" s="39">
        <f t="shared" si="212"/>
        <v>-709.68939424499627</v>
      </c>
      <c r="AG645" s="39">
        <f t="shared" si="213"/>
        <v>-196.49107959721954</v>
      </c>
      <c r="AH645" s="39">
        <f t="shared" si="214"/>
        <v>-69.690588003392349</v>
      </c>
      <c r="AI645" s="39">
        <f t="shared" si="215"/>
        <v>-112.79599774186315</v>
      </c>
      <c r="AJ645" s="39">
        <f t="shared" si="216"/>
        <v>-339.05079375444683</v>
      </c>
      <c r="AK645" s="37">
        <f t="shared" si="217"/>
        <v>18028.289515021563</v>
      </c>
      <c r="AL645" s="37">
        <f t="shared" si="218"/>
        <v>28049.91704972849</v>
      </c>
      <c r="AM645" s="37">
        <f t="shared" si="219"/>
        <v>36228.764576319023</v>
      </c>
    </row>
    <row r="646" spans="12:39">
      <c r="L646">
        <v>642</v>
      </c>
      <c r="M646" s="37">
        <f t="shared" ref="M646:M709" si="226">M645+$J$3</f>
        <v>4.0338049672093215</v>
      </c>
      <c r="N646" s="37">
        <f t="shared" si="220"/>
        <v>16861.543193546604</v>
      </c>
      <c r="O646" s="37">
        <f t="shared" si="221"/>
        <v>3607.6884921647984</v>
      </c>
      <c r="R646" s="37">
        <f t="shared" si="222"/>
        <v>-22196.919764517377</v>
      </c>
      <c r="S646" s="37">
        <f t="shared" si="223"/>
        <v>7275.3819445153586</v>
      </c>
      <c r="V646" s="37">
        <f t="shared" si="224"/>
        <v>-8138.4568064533978</v>
      </c>
      <c r="W646" s="37">
        <f t="shared" si="225"/>
        <v>-18892.311507835202</v>
      </c>
      <c r="Y646" s="37">
        <f t="shared" ref="Y646:Y709" si="227">Y645+(AA645*$D$14)+((1/2)*AC645)*$D$14^2</f>
        <v>3613.0832049205628</v>
      </c>
      <c r="Z646" s="37">
        <f t="shared" ref="Z646:Z709" si="228">Z645+(AB645*$D$14)+((1/2)*AD645)*$D$14^2</f>
        <v>16009.034210110489</v>
      </c>
      <c r="AA646" s="37">
        <f t="shared" ref="AA646:AA709" si="229">AA645+(AC645*$D$14)</f>
        <v>-5521.2842954182961</v>
      </c>
      <c r="AB646" s="37">
        <f t="shared" ref="AB646:AB709" si="230">AB645+(AD645*$D$14)</f>
        <v>-7014.2154338588543</v>
      </c>
      <c r="AC646" s="37">
        <f t="shared" ref="AC646:AC709" si="231">AE646+AG646+AI646</f>
        <v>548.58167907072971</v>
      </c>
      <c r="AD646" s="37">
        <f t="shared" ref="AD646:AD709" si="232">AF646+AH646+AJ646</f>
        <v>-971.62255010505828</v>
      </c>
      <c r="AE646" s="39">
        <f t="shared" ref="AE646:AE709" si="233">$D$40*($D$36-Y646)/(AK646^2+$D$41^2)^(3/2)</f>
        <v>926.68993641667578</v>
      </c>
      <c r="AF646" s="39">
        <f t="shared" ref="AF646:AF709" si="234">$D$40*($E$36-Z646)/(AK646^2+$D$41^2)^(3/2)</f>
        <v>-481.19096897485554</v>
      </c>
      <c r="AG646" s="39">
        <f t="shared" ref="AG646:AG709" si="235">$D$51*($D$47-Y646)/(AL646^2+$D$52^2)^(3/2)</f>
        <v>-260.28370935298813</v>
      </c>
      <c r="AH646" s="39">
        <f t="shared" ref="AH646:AH709" si="236">$D$51*($E$47-Z646)/(AL646^2+$D$52^2)^(3/2)</f>
        <v>-66.236742583054081</v>
      </c>
      <c r="AI646" s="39">
        <f t="shared" ref="AI646:AI709" si="237">$D$60*($D$56-Y646)/(AM646^2+$D$61^2)^(3/2)</f>
        <v>-117.82454799295793</v>
      </c>
      <c r="AJ646" s="39">
        <f t="shared" ref="AJ646:AJ709" si="238">$D$60*($E$56-Z646)/(AM646^2+$D$61^2)^(3/2)</f>
        <v>-424.19483854714878</v>
      </c>
      <c r="AK646" s="37">
        <f t="shared" ref="AK646:AK709" si="239">SQRT(($D$36-Y646)^2+($E$36-Z646)^2)</f>
        <v>18464.417273168605</v>
      </c>
      <c r="AL646" s="37">
        <f t="shared" ref="AL646:AL709" si="240">SQRT(($D$47-Y646)^2+($E$47-Z646)^2)</f>
        <v>24365.676485186694</v>
      </c>
      <c r="AM646" s="37">
        <f t="shared" ref="AM646:AM709" si="241">SQRT(($D$56-Y646)^2+($E$56-Z646)^2)</f>
        <v>32182.998694010592</v>
      </c>
    </row>
    <row r="647" spans="12:39">
      <c r="L647">
        <v>643</v>
      </c>
      <c r="M647" s="37">
        <f t="shared" si="226"/>
        <v>4.0400881525165007</v>
      </c>
      <c r="N647" s="37">
        <f t="shared" si="220"/>
        <v>16886.061097559541</v>
      </c>
      <c r="O647" s="37">
        <f t="shared" si="221"/>
        <v>3588.0459471169765</v>
      </c>
      <c r="R647" s="37">
        <f t="shared" si="222"/>
        <v>-22179.757231708321</v>
      </c>
      <c r="S647" s="37">
        <f t="shared" si="223"/>
        <v>7261.6321629818831</v>
      </c>
      <c r="V647" s="37">
        <f t="shared" si="224"/>
        <v>-8113.9389024404591</v>
      </c>
      <c r="W647" s="37">
        <f t="shared" si="225"/>
        <v>-18911.954052883022</v>
      </c>
      <c r="Y647" s="37">
        <f t="shared" si="227"/>
        <v>921.01376709525596</v>
      </c>
      <c r="Z647" s="37">
        <f t="shared" si="228"/>
        <v>12380.473674417928</v>
      </c>
      <c r="AA647" s="37">
        <f t="shared" si="229"/>
        <v>-5246.9934558829309</v>
      </c>
      <c r="AB647" s="37">
        <f t="shared" si="230"/>
        <v>-7500.0267089113831</v>
      </c>
      <c r="AC647" s="37">
        <f t="shared" si="231"/>
        <v>465.43657957947164</v>
      </c>
      <c r="AD647" s="37">
        <f t="shared" si="232"/>
        <v>-821.06943274802245</v>
      </c>
      <c r="AE647" s="39">
        <f t="shared" si="233"/>
        <v>927.16176785525397</v>
      </c>
      <c r="AF647" s="39">
        <f t="shared" si="234"/>
        <v>-237.17133314663707</v>
      </c>
      <c r="AG647" s="39">
        <f t="shared" si="235"/>
        <v>-343.91990660784688</v>
      </c>
      <c r="AH647" s="39">
        <f t="shared" si="236"/>
        <v>-39.132534058932549</v>
      </c>
      <c r="AI647" s="39">
        <f t="shared" si="237"/>
        <v>-117.80528166793547</v>
      </c>
      <c r="AJ647" s="39">
        <f t="shared" si="238"/>
        <v>-544.7655655424528</v>
      </c>
      <c r="AK647" s="37">
        <f t="shared" si="239"/>
        <v>19693.317114240941</v>
      </c>
      <c r="AL647" s="37">
        <f t="shared" si="240"/>
        <v>21056.007977714726</v>
      </c>
      <c r="AM647" s="37">
        <f t="shared" si="241"/>
        <v>28013.367213985981</v>
      </c>
    </row>
    <row r="648" spans="12:39">
      <c r="L648">
        <v>644</v>
      </c>
      <c r="M648" s="37">
        <f t="shared" si="226"/>
        <v>4.0463713378236799</v>
      </c>
      <c r="N648" s="37">
        <f t="shared" si="220"/>
        <v>16910.70193454843</v>
      </c>
      <c r="O648" s="37">
        <f t="shared" si="221"/>
        <v>3568.5578393168248</v>
      </c>
      <c r="R648" s="37">
        <f t="shared" si="222"/>
        <v>-22162.508645816099</v>
      </c>
      <c r="S648" s="37">
        <f t="shared" si="223"/>
        <v>7247.990487521778</v>
      </c>
      <c r="V648" s="37">
        <f t="shared" si="224"/>
        <v>-8089.2980654515686</v>
      </c>
      <c r="W648" s="37">
        <f t="shared" si="225"/>
        <v>-18931.442160683175</v>
      </c>
      <c r="Y648" s="37">
        <f t="shared" si="227"/>
        <v>-1644.3033883987757</v>
      </c>
      <c r="Z648" s="37">
        <f t="shared" si="228"/>
        <v>8527.8266408687341</v>
      </c>
      <c r="AA648" s="37">
        <f t="shared" si="229"/>
        <v>-5014.2751660931954</v>
      </c>
      <c r="AB648" s="37">
        <f t="shared" si="230"/>
        <v>-7910.5614252853948</v>
      </c>
      <c r="AC648" s="37">
        <f t="shared" si="231"/>
        <v>300.1334610005793</v>
      </c>
      <c r="AD648" s="37">
        <f t="shared" si="232"/>
        <v>-723.67650608211773</v>
      </c>
      <c r="AE648" s="39">
        <f t="shared" si="233"/>
        <v>833.80539302028853</v>
      </c>
      <c r="AF648" s="39">
        <f t="shared" si="234"/>
        <v>-39.595055607362667</v>
      </c>
      <c r="AG648" s="39">
        <f t="shared" si="235"/>
        <v>-431.17146174540289</v>
      </c>
      <c r="AH648" s="39">
        <f t="shared" si="236"/>
        <v>34.581043293017025</v>
      </c>
      <c r="AI648" s="39">
        <f t="shared" si="237"/>
        <v>-102.50047027430634</v>
      </c>
      <c r="AJ648" s="39">
        <f t="shared" si="238"/>
        <v>-718.66249376777205</v>
      </c>
      <c r="AK648" s="37">
        <f t="shared" si="239"/>
        <v>21668.693933246883</v>
      </c>
      <c r="AL648" s="37">
        <f t="shared" si="240"/>
        <v>18414.637995260306</v>
      </c>
      <c r="AM648" s="37">
        <f t="shared" si="241"/>
        <v>23765.927842015433</v>
      </c>
    </row>
    <row r="649" spans="12:39">
      <c r="L649">
        <v>645</v>
      </c>
      <c r="M649" s="37">
        <f t="shared" si="226"/>
        <v>4.0526545231308591</v>
      </c>
      <c r="N649" s="37">
        <f t="shared" si="220"/>
        <v>16935.464731735221</v>
      </c>
      <c r="O649" s="37">
        <f t="shared" si="221"/>
        <v>3549.2249381214692</v>
      </c>
      <c r="R649" s="37">
        <f t="shared" si="222"/>
        <v>-22145.174687785347</v>
      </c>
      <c r="S649" s="37">
        <f t="shared" si="223"/>
        <v>7234.4574566850279</v>
      </c>
      <c r="V649" s="37">
        <f t="shared" si="224"/>
        <v>-8064.5352682647808</v>
      </c>
      <c r="W649" s="37">
        <f t="shared" si="225"/>
        <v>-18950.775061878532</v>
      </c>
      <c r="Y649" s="37">
        <f t="shared" si="227"/>
        <v>-4113.9242888203007</v>
      </c>
      <c r="Z649" s="37">
        <f t="shared" si="228"/>
        <v>4482.0863649657713</v>
      </c>
      <c r="AA649" s="37">
        <f t="shared" si="229"/>
        <v>-4864.2084355929055</v>
      </c>
      <c r="AB649" s="37">
        <f t="shared" si="230"/>
        <v>-8272.3996783264538</v>
      </c>
      <c r="AC649" s="37">
        <f t="shared" si="231"/>
        <v>179.62721718067402</v>
      </c>
      <c r="AD649" s="37">
        <f t="shared" si="232"/>
        <v>-717.95478910511815</v>
      </c>
      <c r="AE649" s="39">
        <f t="shared" si="233"/>
        <v>695.72385016909936</v>
      </c>
      <c r="AF649" s="39">
        <f t="shared" si="234"/>
        <v>87.071455831735705</v>
      </c>
      <c r="AG649" s="39">
        <f t="shared" si="235"/>
        <v>-472.02586310236285</v>
      </c>
      <c r="AH649" s="39">
        <f t="shared" si="236"/>
        <v>163.95477356741813</v>
      </c>
      <c r="AI649" s="39">
        <f t="shared" si="237"/>
        <v>-44.070769886062493</v>
      </c>
      <c r="AJ649" s="39">
        <f t="shared" si="238"/>
        <v>-968.98101850427201</v>
      </c>
      <c r="AK649" s="37">
        <f t="shared" si="239"/>
        <v>24302.03998259165</v>
      </c>
      <c r="AL649" s="37">
        <f t="shared" si="240"/>
        <v>16817.097620726065</v>
      </c>
      <c r="AM649" s="37">
        <f t="shared" si="241"/>
        <v>19502.226008790065</v>
      </c>
    </row>
    <row r="650" spans="12:39">
      <c r="L650">
        <v>646</v>
      </c>
      <c r="M650" s="37">
        <f t="shared" si="226"/>
        <v>4.0589377084380382</v>
      </c>
      <c r="N650" s="37">
        <f t="shared" si="220"/>
        <v>16960.348511527074</v>
      </c>
      <c r="O650" s="37">
        <f t="shared" si="221"/>
        <v>3530.0480067607459</v>
      </c>
      <c r="R650" s="37">
        <f t="shared" si="222"/>
        <v>-22127.756041931047</v>
      </c>
      <c r="S650" s="37">
        <f t="shared" si="223"/>
        <v>7221.0336047325218</v>
      </c>
      <c r="V650" s="37">
        <f t="shared" si="224"/>
        <v>-8039.6514884729258</v>
      </c>
      <c r="W650" s="37">
        <f t="shared" si="225"/>
        <v>-18969.951993239254</v>
      </c>
      <c r="Y650" s="37">
        <f t="shared" si="227"/>
        <v>-6523.5751044691697</v>
      </c>
      <c r="Z650" s="37">
        <f t="shared" si="228"/>
        <v>256.14217716440464</v>
      </c>
      <c r="AA650" s="37">
        <f t="shared" si="229"/>
        <v>-4774.3948270025685</v>
      </c>
      <c r="AB650" s="37">
        <f t="shared" si="230"/>
        <v>-8631.3770728790132</v>
      </c>
      <c r="AC650" s="37">
        <f t="shared" si="231"/>
        <v>272.58475382423995</v>
      </c>
      <c r="AD650" s="37">
        <f t="shared" si="232"/>
        <v>-853.01819997725784</v>
      </c>
      <c r="AE650" s="39">
        <f t="shared" si="233"/>
        <v>554.54934351304473</v>
      </c>
      <c r="AF650" s="39">
        <f t="shared" si="234"/>
        <v>151.45305956429846</v>
      </c>
      <c r="AG650" s="39">
        <f t="shared" si="235"/>
        <v>-412.02853554620594</v>
      </c>
      <c r="AH650" s="39">
        <f t="shared" si="236"/>
        <v>297.90894101630755</v>
      </c>
      <c r="AI650" s="39">
        <f t="shared" si="237"/>
        <v>130.06394585740117</v>
      </c>
      <c r="AJ650" s="39">
        <f t="shared" si="238"/>
        <v>-1302.3802005578639</v>
      </c>
      <c r="AK650" s="37">
        <f t="shared" si="239"/>
        <v>27494.972494619324</v>
      </c>
      <c r="AL650" s="37">
        <f t="shared" si="240"/>
        <v>16629.996790033292</v>
      </c>
      <c r="AM650" s="37">
        <f t="shared" si="241"/>
        <v>15332.030368767631</v>
      </c>
    </row>
    <row r="651" spans="12:39">
      <c r="L651">
        <v>647</v>
      </c>
      <c r="M651" s="37">
        <f t="shared" si="226"/>
        <v>4.0652208937452174</v>
      </c>
      <c r="N651" s="37">
        <f t="shared" si="220"/>
        <v>16985.352291554977</v>
      </c>
      <c r="O651" s="37">
        <f t="shared" si="221"/>
        <v>3511.0278023070696</v>
      </c>
      <c r="R651" s="37">
        <f t="shared" si="222"/>
        <v>-22110.253395911517</v>
      </c>
      <c r="S651" s="37">
        <f t="shared" si="223"/>
        <v>7207.7194616149482</v>
      </c>
      <c r="V651" s="37">
        <f t="shared" si="224"/>
        <v>-8014.6477084450235</v>
      </c>
      <c r="W651" s="37">
        <f t="shared" si="225"/>
        <v>-18988.972197692929</v>
      </c>
      <c r="Y651" s="37">
        <f t="shared" si="227"/>
        <v>-8876.6994237424242</v>
      </c>
      <c r="Z651" s="37">
        <f t="shared" si="228"/>
        <v>-4166.1736342722597</v>
      </c>
      <c r="AA651" s="37">
        <f t="shared" si="229"/>
        <v>-4638.1024500904487</v>
      </c>
      <c r="AB651" s="37">
        <f t="shared" si="230"/>
        <v>-9057.886172867642</v>
      </c>
      <c r="AC651" s="37">
        <f t="shared" si="231"/>
        <v>728.08962671920494</v>
      </c>
      <c r="AD651" s="37">
        <f t="shared" si="232"/>
        <v>-1074.0018803394873</v>
      </c>
      <c r="AE651" s="39">
        <f t="shared" si="233"/>
        <v>432.00901095684213</v>
      </c>
      <c r="AF651" s="39">
        <f t="shared" si="234"/>
        <v>174.53144694400038</v>
      </c>
      <c r="AG651" s="39">
        <f t="shared" si="235"/>
        <v>-276.85379445157844</v>
      </c>
      <c r="AH651" s="39">
        <f t="shared" si="236"/>
        <v>352.58949415423621</v>
      </c>
      <c r="AI651" s="39">
        <f t="shared" si="237"/>
        <v>572.93441021394119</v>
      </c>
      <c r="AJ651" s="39">
        <f t="shared" si="238"/>
        <v>-1601.1228214377238</v>
      </c>
      <c r="AK651" s="37">
        <f t="shared" si="239"/>
        <v>31144.235050393439</v>
      </c>
      <c r="AL651" s="37">
        <f t="shared" si="240"/>
        <v>18011.337849980013</v>
      </c>
      <c r="AM651" s="37">
        <f t="shared" si="241"/>
        <v>11506.545621722549</v>
      </c>
    </row>
    <row r="652" spans="12:39">
      <c r="L652">
        <v>648</v>
      </c>
      <c r="M652" s="37">
        <f t="shared" si="226"/>
        <v>4.0715040790523966</v>
      </c>
      <c r="N652" s="37">
        <f t="shared" si="220"/>
        <v>17010.475084712503</v>
      </c>
      <c r="O652" s="37">
        <f t="shared" si="221"/>
        <v>3492.1650756455438</v>
      </c>
      <c r="R652" s="37">
        <f t="shared" si="222"/>
        <v>-22092.667440701247</v>
      </c>
      <c r="S652" s="37">
        <f t="shared" si="223"/>
        <v>7194.5155529518806</v>
      </c>
      <c r="V652" s="37">
        <f t="shared" si="224"/>
        <v>-7989.5249152874958</v>
      </c>
      <c r="W652" s="37">
        <f t="shared" si="225"/>
        <v>-19007.834924354458</v>
      </c>
      <c r="Y652" s="37">
        <f t="shared" si="227"/>
        <v>-11104.739445447749</v>
      </c>
      <c r="Z652" s="37">
        <f t="shared" si="228"/>
        <v>-8829.3669557485173</v>
      </c>
      <c r="AA652" s="37">
        <f t="shared" si="229"/>
        <v>-4274.0576367308458</v>
      </c>
      <c r="AB652" s="37">
        <f t="shared" si="230"/>
        <v>-9594.8871130373864</v>
      </c>
      <c r="AC652" s="37">
        <f t="shared" si="231"/>
        <v>1560.2178756951387</v>
      </c>
      <c r="AD652" s="37">
        <f t="shared" si="232"/>
        <v>-897.17083011928617</v>
      </c>
      <c r="AE652" s="39">
        <f t="shared" si="233"/>
        <v>334.20790213709654</v>
      </c>
      <c r="AF652" s="39">
        <f t="shared" si="234"/>
        <v>175.45247350741732</v>
      </c>
      <c r="AG652" s="39">
        <f t="shared" si="235"/>
        <v>-150.65202869492495</v>
      </c>
      <c r="AH652" s="39">
        <f t="shared" si="236"/>
        <v>318.89817206905684</v>
      </c>
      <c r="AI652" s="39">
        <f t="shared" si="237"/>
        <v>1376.6620022529671</v>
      </c>
      <c r="AJ652" s="39">
        <f t="shared" si="238"/>
        <v>-1391.5214756957603</v>
      </c>
      <c r="AK652" s="37">
        <f t="shared" si="239"/>
        <v>35130.514387704097</v>
      </c>
      <c r="AL652" s="37">
        <f t="shared" si="240"/>
        <v>20824.762190421465</v>
      </c>
      <c r="AM652" s="37">
        <f t="shared" si="241"/>
        <v>8680.1241848036952</v>
      </c>
    </row>
    <row r="653" spans="12:39">
      <c r="L653">
        <v>649</v>
      </c>
      <c r="M653" s="37">
        <f t="shared" si="226"/>
        <v>4.0777872643595758</v>
      </c>
      <c r="N653" s="37">
        <f t="shared" si="220"/>
        <v>17035.715899194802</v>
      </c>
      <c r="O653" s="37">
        <f t="shared" si="221"/>
        <v>3473.4605714443182</v>
      </c>
      <c r="R653" s="37">
        <f t="shared" si="222"/>
        <v>-22074.998870563639</v>
      </c>
      <c r="S653" s="37">
        <f t="shared" si="223"/>
        <v>7181.4224000110225</v>
      </c>
      <c r="V653" s="37">
        <f t="shared" si="224"/>
        <v>-7964.2841008051992</v>
      </c>
      <c r="W653" s="37">
        <f t="shared" si="225"/>
        <v>-19026.539428555683</v>
      </c>
      <c r="Y653" s="37">
        <f t="shared" si="227"/>
        <v>-13046.74102935128</v>
      </c>
      <c r="Z653" s="37">
        <f t="shared" si="228"/>
        <v>-13738.95686603212</v>
      </c>
      <c r="AA653" s="37">
        <f t="shared" si="229"/>
        <v>-3493.9486988832764</v>
      </c>
      <c r="AB653" s="37">
        <f t="shared" si="230"/>
        <v>-10043.472528097029</v>
      </c>
      <c r="AC653" s="37">
        <f t="shared" si="231"/>
        <v>2150.1898635417333</v>
      </c>
      <c r="AD653" s="37">
        <f t="shared" si="232"/>
        <v>110.11933710339798</v>
      </c>
      <c r="AE653" s="39">
        <f t="shared" si="233"/>
        <v>259.77622282287001</v>
      </c>
      <c r="AF653" s="39">
        <f t="shared" si="234"/>
        <v>166.95673520288403</v>
      </c>
      <c r="AG653" s="39">
        <f t="shared" si="235"/>
        <v>-73.500693033224564</v>
      </c>
      <c r="AH653" s="39">
        <f t="shared" si="236"/>
        <v>250.93697630197681</v>
      </c>
      <c r="AI653" s="39">
        <f t="shared" si="237"/>
        <v>1963.9143337520877</v>
      </c>
      <c r="AJ653" s="39">
        <f t="shared" si="238"/>
        <v>-307.77437440146286</v>
      </c>
      <c r="AK653" s="37">
        <f t="shared" si="239"/>
        <v>39283.334652472957</v>
      </c>
      <c r="AL653" s="37">
        <f t="shared" si="240"/>
        <v>24736.327201107291</v>
      </c>
      <c r="AM653" s="37">
        <f t="shared" si="241"/>
        <v>8144.9537125248808</v>
      </c>
    </row>
    <row r="654" spans="12:39">
      <c r="L654">
        <v>650</v>
      </c>
      <c r="M654" s="37">
        <f t="shared" si="226"/>
        <v>4.084070449666755</v>
      </c>
      <c r="N654" s="37">
        <f t="shared" si="220"/>
        <v>17061.073738537732</v>
      </c>
      <c r="O654" s="37">
        <f t="shared" si="221"/>
        <v>3454.9150281251927</v>
      </c>
      <c r="R654" s="37">
        <f t="shared" si="222"/>
        <v>-22057.248383023587</v>
      </c>
      <c r="S654" s="37">
        <f t="shared" si="223"/>
        <v>7168.4405196876351</v>
      </c>
      <c r="V654" s="37">
        <f t="shared" si="224"/>
        <v>-7938.9262614622694</v>
      </c>
      <c r="W654" s="37">
        <f t="shared" si="225"/>
        <v>-19045.084971874807</v>
      </c>
      <c r="Y654" s="37">
        <f t="shared" si="227"/>
        <v>-14524.941645850202</v>
      </c>
      <c r="Z654" s="37">
        <f t="shared" si="228"/>
        <v>-18746.928212942712</v>
      </c>
      <c r="AA654" s="37">
        <f t="shared" si="229"/>
        <v>-2418.8537671124095</v>
      </c>
      <c r="AB654" s="37">
        <f t="shared" si="230"/>
        <v>-9988.4128595453294</v>
      </c>
      <c r="AC654" s="37">
        <f t="shared" si="231"/>
        <v>1871.0311686645264</v>
      </c>
      <c r="AD654" s="37">
        <f t="shared" si="232"/>
        <v>1014.9651264285148</v>
      </c>
      <c r="AE654" s="39">
        <f t="shared" si="233"/>
        <v>205.04381833136446</v>
      </c>
      <c r="AF654" s="39">
        <f t="shared" si="234"/>
        <v>155.88065102197976</v>
      </c>
      <c r="AG654" s="39">
        <f t="shared" si="235"/>
        <v>-36.095078983279393</v>
      </c>
      <c r="AH654" s="39">
        <f t="shared" si="236"/>
        <v>189.51809775440441</v>
      </c>
      <c r="AI654" s="39">
        <f t="shared" si="237"/>
        <v>1702.0824293164412</v>
      </c>
      <c r="AJ654" s="39">
        <f t="shared" si="238"/>
        <v>669.56637765213065</v>
      </c>
      <c r="AK654" s="37">
        <f t="shared" si="239"/>
        <v>43369.030843042019</v>
      </c>
      <c r="AL654" s="37">
        <f t="shared" si="240"/>
        <v>29263.6659641513</v>
      </c>
      <c r="AM654" s="37">
        <f t="shared" si="241"/>
        <v>10235.4279045772</v>
      </c>
    </row>
    <row r="655" spans="12:39">
      <c r="L655">
        <v>651</v>
      </c>
      <c r="M655" s="37">
        <f t="shared" si="226"/>
        <v>4.0903536349739342</v>
      </c>
      <c r="N655" s="37">
        <f t="shared" si="220"/>
        <v>17086.547601657214</v>
      </c>
      <c r="O655" s="37">
        <f t="shared" si="221"/>
        <v>3436.5291778344622</v>
      </c>
      <c r="R655" s="37">
        <f t="shared" si="222"/>
        <v>-22039.416678839949</v>
      </c>
      <c r="S655" s="37">
        <f t="shared" si="223"/>
        <v>7155.5704244841236</v>
      </c>
      <c r="V655" s="37">
        <f t="shared" si="224"/>
        <v>-7913.4523983427853</v>
      </c>
      <c r="W655" s="37">
        <f t="shared" si="225"/>
        <v>-19063.470822165538</v>
      </c>
      <c r="Y655" s="37">
        <f t="shared" si="227"/>
        <v>-15500.489633323341</v>
      </c>
      <c r="Z655" s="37">
        <f t="shared" si="228"/>
        <v>-23614.264001911812</v>
      </c>
      <c r="AA655" s="37">
        <f t="shared" si="229"/>
        <v>-1483.3381827801463</v>
      </c>
      <c r="AB655" s="37">
        <f t="shared" si="230"/>
        <v>-9480.9302963310729</v>
      </c>
      <c r="AC655" s="37">
        <f t="shared" si="231"/>
        <v>1291.9273471543347</v>
      </c>
      <c r="AD655" s="37">
        <f t="shared" si="232"/>
        <v>1230.4755815397259</v>
      </c>
      <c r="AE655" s="39">
        <f t="shared" si="233"/>
        <v>165.4442061242666</v>
      </c>
      <c r="AF655" s="39">
        <f t="shared" si="234"/>
        <v>145.00292137112288</v>
      </c>
      <c r="AG655" s="39">
        <f t="shared" si="235"/>
        <v>-19.459870343687562</v>
      </c>
      <c r="AH655" s="39">
        <f t="shared" si="236"/>
        <v>145.37786689417683</v>
      </c>
      <c r="AI655" s="39">
        <f t="shared" si="237"/>
        <v>1145.9430113737558</v>
      </c>
      <c r="AJ655" s="39">
        <f t="shared" si="238"/>
        <v>940.09479327442614</v>
      </c>
      <c r="AK655" s="37">
        <f t="shared" si="239"/>
        <v>47205.743173753377</v>
      </c>
      <c r="AL655" s="37">
        <f t="shared" si="240"/>
        <v>33914.072859655986</v>
      </c>
      <c r="AM655" s="37">
        <f t="shared" si="241"/>
        <v>13581.819717334074</v>
      </c>
    </row>
    <row r="656" spans="12:39">
      <c r="L656">
        <v>652</v>
      </c>
      <c r="M656" s="37">
        <f t="shared" si="226"/>
        <v>4.0966368202811134</v>
      </c>
      <c r="N656" s="37">
        <f t="shared" si="220"/>
        <v>17112.136482888756</v>
      </c>
      <c r="O656" s="37">
        <f t="shared" si="221"/>
        <v>3418.3037464140139</v>
      </c>
      <c r="R656" s="37">
        <f t="shared" si="222"/>
        <v>-22021.504461977871</v>
      </c>
      <c r="S656" s="37">
        <f t="shared" si="223"/>
        <v>7142.8126224898097</v>
      </c>
      <c r="V656" s="37">
        <f t="shared" si="224"/>
        <v>-7887.8635171112437</v>
      </c>
      <c r="W656" s="37">
        <f t="shared" si="225"/>
        <v>-19081.696253585986</v>
      </c>
      <c r="Y656" s="37">
        <f t="shared" si="227"/>
        <v>-16080.667806319121</v>
      </c>
      <c r="Z656" s="37">
        <f t="shared" si="228"/>
        <v>-28200.919702384883</v>
      </c>
      <c r="AA656" s="37">
        <f t="shared" si="229"/>
        <v>-837.37450920297897</v>
      </c>
      <c r="AB656" s="37">
        <f t="shared" si="230"/>
        <v>-8865.6925055612101</v>
      </c>
      <c r="AC656" s="37">
        <f t="shared" si="231"/>
        <v>857.94681183287935</v>
      </c>
      <c r="AD656" s="37">
        <f t="shared" si="232"/>
        <v>1124.0208910712661</v>
      </c>
      <c r="AE656" s="39">
        <f t="shared" si="233"/>
        <v>136.44382862232746</v>
      </c>
      <c r="AF656" s="39">
        <f t="shared" si="234"/>
        <v>135.0077608230562</v>
      </c>
      <c r="AG656" s="39">
        <f t="shared" si="235"/>
        <v>-11.834988230886388</v>
      </c>
      <c r="AH656" s="39">
        <f t="shared" si="236"/>
        <v>115.353180783117</v>
      </c>
      <c r="AI656" s="39">
        <f t="shared" si="237"/>
        <v>733.3379714414383</v>
      </c>
      <c r="AJ656" s="39">
        <f t="shared" si="238"/>
        <v>873.65994946509284</v>
      </c>
      <c r="AK656" s="37">
        <f t="shared" si="239"/>
        <v>50757.957572641615</v>
      </c>
      <c r="AL656" s="37">
        <f t="shared" si="240"/>
        <v>38401.450896450267</v>
      </c>
      <c r="AM656" s="37">
        <f t="shared" si="241"/>
        <v>17235.00739839732</v>
      </c>
    </row>
    <row r="657" spans="12:39">
      <c r="L657">
        <v>653</v>
      </c>
      <c r="M657" s="37">
        <f t="shared" si="226"/>
        <v>4.1029200055882926</v>
      </c>
      <c r="N657" s="37">
        <f t="shared" si="220"/>
        <v>17137.839372027138</v>
      </c>
      <c r="O657" s="37">
        <f t="shared" si="221"/>
        <v>3400.2394533726738</v>
      </c>
      <c r="R657" s="37">
        <f t="shared" si="222"/>
        <v>-22003.512439581002</v>
      </c>
      <c r="S657" s="37">
        <f t="shared" si="223"/>
        <v>7130.1676173608721</v>
      </c>
      <c r="V657" s="37">
        <f t="shared" si="224"/>
        <v>-7862.1606279728621</v>
      </c>
      <c r="W657" s="37">
        <f t="shared" si="225"/>
        <v>-19099.760546627327</v>
      </c>
      <c r="Y657" s="37">
        <f t="shared" si="227"/>
        <v>-16392.111709441502</v>
      </c>
      <c r="Z657" s="37">
        <f t="shared" si="228"/>
        <v>-32493.263343781578</v>
      </c>
      <c r="AA657" s="37">
        <f t="shared" si="229"/>
        <v>-408.4011032865393</v>
      </c>
      <c r="AB657" s="37">
        <f t="shared" si="230"/>
        <v>-8303.6820600255778</v>
      </c>
      <c r="AC657" s="37">
        <f t="shared" si="231"/>
        <v>587.52369460617172</v>
      </c>
      <c r="AD657" s="37">
        <f t="shared" si="232"/>
        <v>959.01994865489576</v>
      </c>
      <c r="AE657" s="39">
        <f t="shared" si="233"/>
        <v>114.59513474515254</v>
      </c>
      <c r="AF657" s="39">
        <f t="shared" si="234"/>
        <v>125.9348025300221</v>
      </c>
      <c r="AG657" s="39">
        <f t="shared" si="235"/>
        <v>-8.0276261474129029</v>
      </c>
      <c r="AH657" s="39">
        <f t="shared" si="236"/>
        <v>94.548390758140187</v>
      </c>
      <c r="AI657" s="39">
        <f t="shared" si="237"/>
        <v>480.95618600843204</v>
      </c>
      <c r="AJ657" s="39">
        <f t="shared" si="238"/>
        <v>738.53675536673347</v>
      </c>
      <c r="AK657" s="37">
        <f t="shared" si="239"/>
        <v>54072.607737721817</v>
      </c>
      <c r="AL657" s="37">
        <f t="shared" si="240"/>
        <v>42646.152083407484</v>
      </c>
      <c r="AM657" s="37">
        <f t="shared" si="241"/>
        <v>20875.690925458886</v>
      </c>
    </row>
    <row r="658" spans="12:39">
      <c r="L658">
        <v>654</v>
      </c>
      <c r="M658" s="37">
        <f t="shared" si="226"/>
        <v>4.1092031908954718</v>
      </c>
      <c r="N658" s="37">
        <f t="shared" si="220"/>
        <v>17163.655254366309</v>
      </c>
      <c r="O658" s="37">
        <f t="shared" si="221"/>
        <v>3382.3370118577996</v>
      </c>
      <c r="R658" s="37">
        <f t="shared" si="222"/>
        <v>-21985.441321943585</v>
      </c>
      <c r="S658" s="37">
        <f t="shared" si="223"/>
        <v>7117.63590830046</v>
      </c>
      <c r="V658" s="37">
        <f t="shared" si="224"/>
        <v>-7836.3447456336908</v>
      </c>
      <c r="W658" s="37">
        <f t="shared" si="225"/>
        <v>-19117.662988142201</v>
      </c>
      <c r="Y658" s="37">
        <f t="shared" si="227"/>
        <v>-16522.871799258999</v>
      </c>
      <c r="Z658" s="37">
        <f t="shared" si="228"/>
        <v>-36525.226880212504</v>
      </c>
      <c r="AA658" s="37">
        <f t="shared" si="229"/>
        <v>-114.63925598345344</v>
      </c>
      <c r="AB658" s="37">
        <f t="shared" si="230"/>
        <v>-7824.1720856981301</v>
      </c>
      <c r="AC658" s="37">
        <f t="shared" si="231"/>
        <v>420.21413023880609</v>
      </c>
      <c r="AD658" s="37">
        <f t="shared" si="232"/>
        <v>810.95406973699824</v>
      </c>
      <c r="AE658" s="39">
        <f t="shared" si="233"/>
        <v>97.657364102860171</v>
      </c>
      <c r="AF658" s="39">
        <f t="shared" si="234"/>
        <v>117.71767660502448</v>
      </c>
      <c r="AG658" s="39">
        <f t="shared" si="235"/>
        <v>-5.9472646671751956</v>
      </c>
      <c r="AH658" s="39">
        <f t="shared" si="236"/>
        <v>79.576541899729548</v>
      </c>
      <c r="AI658" s="39">
        <f t="shared" si="237"/>
        <v>328.50403080312111</v>
      </c>
      <c r="AJ658" s="39">
        <f t="shared" si="238"/>
        <v>613.65985123224414</v>
      </c>
      <c r="AK658" s="37">
        <f t="shared" si="239"/>
        <v>57202.629015800434</v>
      </c>
      <c r="AL658" s="37">
        <f t="shared" si="240"/>
        <v>46654.979978343537</v>
      </c>
      <c r="AM658" s="37">
        <f t="shared" si="241"/>
        <v>24415.404292101764</v>
      </c>
    </row>
    <row r="659" spans="12:39">
      <c r="L659">
        <v>655</v>
      </c>
      <c r="M659" s="37">
        <f t="shared" si="226"/>
        <v>4.115486376202651</v>
      </c>
      <c r="N659" s="37">
        <f t="shared" si="220"/>
        <v>17189.583110739437</v>
      </c>
      <c r="O659" s="37">
        <f t="shared" si="221"/>
        <v>3364.5971286271297</v>
      </c>
      <c r="R659" s="37">
        <f t="shared" si="222"/>
        <v>-21967.291822482395</v>
      </c>
      <c r="S659" s="37">
        <f t="shared" si="223"/>
        <v>7105.217990038991</v>
      </c>
      <c r="V659" s="37">
        <f t="shared" si="224"/>
        <v>-7810.416889260563</v>
      </c>
      <c r="W659" s="37">
        <f t="shared" si="225"/>
        <v>-19135.402871372869</v>
      </c>
      <c r="Y659" s="37">
        <f t="shared" si="227"/>
        <v>-16527.664660970877</v>
      </c>
      <c r="Z659" s="37">
        <f t="shared" si="228"/>
        <v>-40335.943664344442</v>
      </c>
      <c r="AA659" s="37">
        <f t="shared" si="229"/>
        <v>95.467809135949608</v>
      </c>
      <c r="AB659" s="37">
        <f t="shared" si="230"/>
        <v>-7418.6950508296313</v>
      </c>
      <c r="AC659" s="37">
        <f t="shared" si="231"/>
        <v>312.77198564097085</v>
      </c>
      <c r="AD659" s="37">
        <f t="shared" si="232"/>
        <v>691.38733564097311</v>
      </c>
      <c r="AE659" s="39">
        <f t="shared" si="233"/>
        <v>84.209309504835119</v>
      </c>
      <c r="AF659" s="39">
        <f t="shared" si="234"/>
        <v>110.27893030869636</v>
      </c>
      <c r="AG659" s="39">
        <f t="shared" si="235"/>
        <v>-4.7181041356526094</v>
      </c>
      <c r="AH659" s="39">
        <f t="shared" si="236"/>
        <v>68.394956358426867</v>
      </c>
      <c r="AI659" s="39">
        <f t="shared" si="237"/>
        <v>233.28078027178833</v>
      </c>
      <c r="AJ659" s="39">
        <f t="shared" si="238"/>
        <v>512.71344897384984</v>
      </c>
      <c r="AK659" s="37">
        <f t="shared" si="239"/>
        <v>60187.604968487285</v>
      </c>
      <c r="AL659" s="37">
        <f t="shared" si="240"/>
        <v>50455.567951284902</v>
      </c>
      <c r="AM659" s="37">
        <f t="shared" si="241"/>
        <v>27835.17727442439</v>
      </c>
    </row>
    <row r="660" spans="12:39">
      <c r="L660">
        <v>656</v>
      </c>
      <c r="M660" s="37">
        <f t="shared" si="226"/>
        <v>4.1217695615098302</v>
      </c>
      <c r="N660" s="37">
        <f t="shared" si="220"/>
        <v>17215.62191755915</v>
      </c>
      <c r="O660" s="37">
        <f t="shared" si="221"/>
        <v>3347.0205040208775</v>
      </c>
      <c r="R660" s="37">
        <f t="shared" si="222"/>
        <v>-21949.064657708597</v>
      </c>
      <c r="S660" s="37">
        <f t="shared" si="223"/>
        <v>7092.9143528146142</v>
      </c>
      <c r="V660" s="37">
        <f t="shared" si="224"/>
        <v>-7784.3780824408514</v>
      </c>
      <c r="W660" s="37">
        <f t="shared" si="225"/>
        <v>-19152.979495979122</v>
      </c>
      <c r="Y660" s="37">
        <f t="shared" si="227"/>
        <v>-16440.834258197778</v>
      </c>
      <c r="Z660" s="37">
        <f t="shared" si="228"/>
        <v>-43958.867772804137</v>
      </c>
      <c r="AA660" s="37">
        <f t="shared" si="229"/>
        <v>251.85380195643503</v>
      </c>
      <c r="AB660" s="37">
        <f t="shared" si="230"/>
        <v>-7073.0013830091448</v>
      </c>
      <c r="AC660" s="37">
        <f t="shared" si="231"/>
        <v>240.65026791628776</v>
      </c>
      <c r="AD660" s="37">
        <f t="shared" si="232"/>
        <v>596.83052671079929</v>
      </c>
      <c r="AE660" s="39">
        <f t="shared" si="233"/>
        <v>73.323594261799528</v>
      </c>
      <c r="AF660" s="39">
        <f t="shared" si="234"/>
        <v>103.54178817670369</v>
      </c>
      <c r="AG660" s="39">
        <f t="shared" si="235"/>
        <v>-3.9427463384414572</v>
      </c>
      <c r="AH660" s="39">
        <f t="shared" si="236"/>
        <v>59.774156016107284</v>
      </c>
      <c r="AI660" s="39">
        <f t="shared" si="237"/>
        <v>171.2694199929297</v>
      </c>
      <c r="AJ660" s="39">
        <f t="shared" si="238"/>
        <v>433.51458251798829</v>
      </c>
      <c r="AK660" s="37">
        <f t="shared" si="239"/>
        <v>63055.130432760037</v>
      </c>
      <c r="AL660" s="37">
        <f t="shared" si="240"/>
        <v>54076.122938877372</v>
      </c>
      <c r="AM660" s="37">
        <f t="shared" si="241"/>
        <v>31136.934839613001</v>
      </c>
    </row>
    <row r="661" spans="12:39">
      <c r="L661">
        <v>657</v>
      </c>
      <c r="M661" s="37">
        <f t="shared" si="226"/>
        <v>4.1280527468170094</v>
      </c>
      <c r="N661" s="37">
        <f t="shared" si="220"/>
        <v>17241.770646857938</v>
      </c>
      <c r="O661" s="37">
        <f t="shared" si="221"/>
        <v>3329.6078319340859</v>
      </c>
      <c r="R661" s="37">
        <f t="shared" si="222"/>
        <v>-21930.760547199443</v>
      </c>
      <c r="S661" s="37">
        <f t="shared" si="223"/>
        <v>7080.7254823538606</v>
      </c>
      <c r="V661" s="37">
        <f t="shared" si="224"/>
        <v>-7758.2293531420637</v>
      </c>
      <c r="W661" s="37">
        <f t="shared" si="225"/>
        <v>-19170.392168065915</v>
      </c>
      <c r="Y661" s="37">
        <f t="shared" si="227"/>
        <v>-16284.826073730022</v>
      </c>
      <c r="Z661" s="37">
        <f t="shared" si="228"/>
        <v>-47420.764648469863</v>
      </c>
      <c r="AA661" s="37">
        <f t="shared" si="229"/>
        <v>372.17893591457891</v>
      </c>
      <c r="AB661" s="37">
        <f t="shared" si="230"/>
        <v>-6774.5861196537453</v>
      </c>
      <c r="AC661" s="37">
        <f t="shared" si="231"/>
        <v>190.20640193325846</v>
      </c>
      <c r="AD661" s="37">
        <f t="shared" si="232"/>
        <v>521.74226150049674</v>
      </c>
      <c r="AE661" s="39">
        <f t="shared" si="233"/>
        <v>64.37168147683704</v>
      </c>
      <c r="AF661" s="39">
        <f t="shared" si="234"/>
        <v>97.433069163178345</v>
      </c>
      <c r="AG661" s="39">
        <f t="shared" si="235"/>
        <v>-3.4258891336645685</v>
      </c>
      <c r="AH661" s="39">
        <f t="shared" si="236"/>
        <v>52.949653921965073</v>
      </c>
      <c r="AI661" s="39">
        <f t="shared" si="237"/>
        <v>129.26060959008601</v>
      </c>
      <c r="AJ661" s="39">
        <f t="shared" si="238"/>
        <v>371.35953841535331</v>
      </c>
      <c r="AK661" s="37">
        <f t="shared" si="239"/>
        <v>65824.607805694177</v>
      </c>
      <c r="AL661" s="37">
        <f t="shared" si="240"/>
        <v>57540.826637418082</v>
      </c>
      <c r="AM661" s="37">
        <f t="shared" si="241"/>
        <v>34328.607310897569</v>
      </c>
    </row>
    <row r="662" spans="12:39">
      <c r="L662">
        <v>658</v>
      </c>
      <c r="M662" s="37">
        <f t="shared" si="226"/>
        <v>4.1343359321241886</v>
      </c>
      <c r="N662" s="37">
        <f t="shared" si="220"/>
        <v>17268.02826632874</v>
      </c>
      <c r="O662" s="37">
        <f t="shared" si="221"/>
        <v>3312.3597997892348</v>
      </c>
      <c r="R662" s="37">
        <f t="shared" si="222"/>
        <v>-21912.380213569882</v>
      </c>
      <c r="S662" s="37">
        <f t="shared" si="223"/>
        <v>7068.6518598524644</v>
      </c>
      <c r="V662" s="37">
        <f t="shared" si="224"/>
        <v>-7731.9717336712583</v>
      </c>
      <c r="W662" s="37">
        <f t="shared" si="225"/>
        <v>-19187.640200210764</v>
      </c>
      <c r="Y662" s="37">
        <f t="shared" si="227"/>
        <v>-16074.960805531075</v>
      </c>
      <c r="Z662" s="37">
        <f t="shared" si="228"/>
        <v>-50742.839925609172</v>
      </c>
      <c r="AA662" s="37">
        <f t="shared" si="229"/>
        <v>467.28213688120815</v>
      </c>
      <c r="AB662" s="37">
        <f t="shared" si="230"/>
        <v>-6513.7149889034972</v>
      </c>
      <c r="AC662" s="37">
        <f t="shared" si="231"/>
        <v>153.64422669527949</v>
      </c>
      <c r="AD662" s="37">
        <f t="shared" si="232"/>
        <v>461.39072696438473</v>
      </c>
      <c r="AE662" s="39">
        <f t="shared" si="233"/>
        <v>56.912486818487984</v>
      </c>
      <c r="AF662" s="39">
        <f t="shared" si="234"/>
        <v>91.8849192215703</v>
      </c>
      <c r="AG662" s="39">
        <f t="shared" si="235"/>
        <v>-3.0646313432808396</v>
      </c>
      <c r="AH662" s="39">
        <f t="shared" si="236"/>
        <v>47.427401840531211</v>
      </c>
      <c r="AI662" s="39">
        <f t="shared" si="237"/>
        <v>99.796371220072331</v>
      </c>
      <c r="AJ662" s="39">
        <f t="shared" si="238"/>
        <v>322.07840590228324</v>
      </c>
      <c r="AK662" s="37">
        <f t="shared" si="239"/>
        <v>68510.081007985515</v>
      </c>
      <c r="AL662" s="37">
        <f t="shared" si="240"/>
        <v>60869.520573981004</v>
      </c>
      <c r="AM662" s="37">
        <f t="shared" si="241"/>
        <v>37419.318042847473</v>
      </c>
    </row>
    <row r="663" spans="12:39">
      <c r="L663">
        <v>659</v>
      </c>
      <c r="M663" s="37">
        <f t="shared" si="226"/>
        <v>4.1406191174313678</v>
      </c>
      <c r="N663" s="37">
        <f t="shared" si="220"/>
        <v>17294.393739365707</v>
      </c>
      <c r="O663" s="37">
        <f t="shared" si="221"/>
        <v>3295.2770885090995</v>
      </c>
      <c r="R663" s="37">
        <f t="shared" si="222"/>
        <v>-21893.924382444005</v>
      </c>
      <c r="S663" s="37">
        <f t="shared" si="223"/>
        <v>7056.69396195637</v>
      </c>
      <c r="V663" s="37">
        <f t="shared" si="224"/>
        <v>-7705.6062606342939</v>
      </c>
      <c r="W663" s="37">
        <f t="shared" si="225"/>
        <v>-19204.722911490899</v>
      </c>
      <c r="Y663" s="37">
        <f t="shared" si="227"/>
        <v>-15822.114208753561</v>
      </c>
      <c r="Z663" s="37">
        <f t="shared" si="228"/>
        <v>-53942.023579190369</v>
      </c>
      <c r="AA663" s="37">
        <f t="shared" si="229"/>
        <v>544.10425022884783</v>
      </c>
      <c r="AB663" s="37">
        <f t="shared" si="230"/>
        <v>-6283.0196254213051</v>
      </c>
      <c r="AC663" s="37">
        <f t="shared" si="231"/>
        <v>126.32899662144726</v>
      </c>
      <c r="AD663" s="37">
        <f t="shared" si="232"/>
        <v>412.19608272940286</v>
      </c>
      <c r="AE663" s="39">
        <f t="shared" si="233"/>
        <v>50.62722417288186</v>
      </c>
      <c r="AF663" s="39">
        <f t="shared" si="234"/>
        <v>86.835720618048896</v>
      </c>
      <c r="AG663" s="39">
        <f t="shared" si="235"/>
        <v>-2.8014762548744603</v>
      </c>
      <c r="AH663" s="39">
        <f t="shared" si="236"/>
        <v>42.876246430920752</v>
      </c>
      <c r="AI663" s="39">
        <f t="shared" si="237"/>
        <v>78.503248703439851</v>
      </c>
      <c r="AJ663" s="39">
        <f t="shared" si="238"/>
        <v>282.48411568043321</v>
      </c>
      <c r="AK663" s="37">
        <f t="shared" si="239"/>
        <v>71122.050925790725</v>
      </c>
      <c r="AL663" s="37">
        <f t="shared" si="240"/>
        <v>64078.366935233578</v>
      </c>
      <c r="AM663" s="37">
        <f t="shared" si="241"/>
        <v>40417.809891055753</v>
      </c>
    </row>
    <row r="664" spans="12:39">
      <c r="L664">
        <v>660</v>
      </c>
      <c r="M664" s="37">
        <f t="shared" si="226"/>
        <v>4.146902302738547</v>
      </c>
      <c r="N664" s="37">
        <f t="shared" si="220"/>
        <v>17320.866025105101</v>
      </c>
      <c r="O664" s="37">
        <f t="shared" si="221"/>
        <v>3278.3603724898712</v>
      </c>
      <c r="R664" s="37">
        <f t="shared" si="222"/>
        <v>-21875.393782426429</v>
      </c>
      <c r="S664" s="37">
        <f t="shared" si="223"/>
        <v>7044.8522607429095</v>
      </c>
      <c r="V664" s="37">
        <f t="shared" si="224"/>
        <v>-7679.1339748948994</v>
      </c>
      <c r="W664" s="37">
        <f t="shared" si="225"/>
        <v>-19221.639627510129</v>
      </c>
      <c r="Y664" s="37">
        <f t="shared" si="227"/>
        <v>-15534.270959061456</v>
      </c>
      <c r="Z664" s="37">
        <f t="shared" si="228"/>
        <v>-57032.00888155985</v>
      </c>
      <c r="AA664" s="37">
        <f t="shared" si="229"/>
        <v>607.26874853957145</v>
      </c>
      <c r="AB664" s="37">
        <f t="shared" si="230"/>
        <v>-6076.9215840566039</v>
      </c>
      <c r="AC664" s="37">
        <f t="shared" si="231"/>
        <v>105.39268373797982</v>
      </c>
      <c r="AD664" s="37">
        <f t="shared" si="232"/>
        <v>371.53397346726956</v>
      </c>
      <c r="AE664" s="39">
        <f t="shared" si="233"/>
        <v>45.279771133047191</v>
      </c>
      <c r="AF664" s="39">
        <f t="shared" si="234"/>
        <v>82.23032340467006</v>
      </c>
      <c r="AG664" s="39">
        <f t="shared" si="235"/>
        <v>-2.6026689184435532</v>
      </c>
      <c r="AH664" s="39">
        <f t="shared" si="236"/>
        <v>39.066885710603266</v>
      </c>
      <c r="AI664" s="39">
        <f t="shared" si="237"/>
        <v>62.715581523376187</v>
      </c>
      <c r="AJ664" s="39">
        <f t="shared" si="238"/>
        <v>250.23676435199624</v>
      </c>
      <c r="AK664" s="37">
        <f t="shared" si="239"/>
        <v>73668.613281924336</v>
      </c>
      <c r="AL664" s="37">
        <f t="shared" si="240"/>
        <v>67180.599510309534</v>
      </c>
      <c r="AM664" s="37">
        <f t="shared" si="241"/>
        <v>43331.981667798806</v>
      </c>
    </row>
    <row r="665" spans="12:39">
      <c r="L665">
        <v>661</v>
      </c>
      <c r="M665" s="37">
        <f t="shared" si="226"/>
        <v>4.1531854880457262</v>
      </c>
      <c r="N665" s="37">
        <f t="shared" si="220"/>
        <v>17347.444078466411</v>
      </c>
      <c r="O665" s="37">
        <f t="shared" si="221"/>
        <v>3261.6103195745318</v>
      </c>
      <c r="R665" s="37">
        <f t="shared" si="222"/>
        <v>-21856.789145073511</v>
      </c>
      <c r="S665" s="37">
        <f t="shared" si="223"/>
        <v>7033.1272237021731</v>
      </c>
      <c r="V665" s="37">
        <f t="shared" si="224"/>
        <v>-7652.555921533587</v>
      </c>
      <c r="W665" s="37">
        <f t="shared" si="225"/>
        <v>-19238.389680425469</v>
      </c>
      <c r="Y665" s="37">
        <f t="shared" si="227"/>
        <v>-15217.462499324422</v>
      </c>
      <c r="Z665" s="37">
        <f t="shared" si="228"/>
        <v>-60024.027926904746</v>
      </c>
      <c r="AA665" s="37">
        <f t="shared" si="229"/>
        <v>659.96509040856131</v>
      </c>
      <c r="AB665" s="37">
        <f t="shared" si="230"/>
        <v>-5891.1545973229695</v>
      </c>
      <c r="AC665" s="37">
        <f t="shared" si="231"/>
        <v>88.993220619332959</v>
      </c>
      <c r="AD665" s="37">
        <f t="shared" si="232"/>
        <v>337.48588132117897</v>
      </c>
      <c r="AE665" s="39">
        <f t="shared" si="233"/>
        <v>40.69159585682597</v>
      </c>
      <c r="AF665" s="39">
        <f t="shared" si="234"/>
        <v>78.019830505373477</v>
      </c>
      <c r="AG665" s="39">
        <f t="shared" si="235"/>
        <v>-2.4475436516997662</v>
      </c>
      <c r="AH665" s="39">
        <f t="shared" si="236"/>
        <v>35.835968875253528</v>
      </c>
      <c r="AI665" s="39">
        <f t="shared" si="237"/>
        <v>50.749168414206757</v>
      </c>
      <c r="AJ665" s="39">
        <f t="shared" si="238"/>
        <v>223.63008194055197</v>
      </c>
      <c r="AK665" s="37">
        <f t="shared" si="239"/>
        <v>76156.18170814983</v>
      </c>
      <c r="AL665" s="37">
        <f t="shared" si="240"/>
        <v>70187.15802804174</v>
      </c>
      <c r="AM665" s="37">
        <f t="shared" si="241"/>
        <v>46168.816648120832</v>
      </c>
    </row>
    <row r="666" spans="12:39">
      <c r="L666">
        <v>662</v>
      </c>
      <c r="M666" s="37">
        <f t="shared" si="226"/>
        <v>4.1594686733529054</v>
      </c>
      <c r="N666" s="37">
        <f t="shared" si="220"/>
        <v>17374.126850193603</v>
      </c>
      <c r="O666" s="37">
        <f t="shared" si="221"/>
        <v>3245.02759102649</v>
      </c>
      <c r="R666" s="37">
        <f t="shared" si="222"/>
        <v>-21838.111204864479</v>
      </c>
      <c r="S666" s="37">
        <f t="shared" si="223"/>
        <v>7021.5193137185433</v>
      </c>
      <c r="V666" s="37">
        <f t="shared" si="224"/>
        <v>-7625.8731498063971</v>
      </c>
      <c r="W666" s="37">
        <f t="shared" si="225"/>
        <v>-19254.97240897351</v>
      </c>
      <c r="Y666" s="37">
        <f t="shared" si="227"/>
        <v>-14876.355801542724</v>
      </c>
      <c r="Z666" s="37">
        <f t="shared" si="228"/>
        <v>-62927.41949040108</v>
      </c>
      <c r="AA666" s="37">
        <f t="shared" si="229"/>
        <v>704.4617007182278</v>
      </c>
      <c r="AB666" s="37">
        <f t="shared" si="230"/>
        <v>-5722.4116566623798</v>
      </c>
      <c r="AC666" s="37">
        <f t="shared" si="231"/>
        <v>75.907230250610013</v>
      </c>
      <c r="AD666" s="37">
        <f t="shared" si="232"/>
        <v>308.63790333122415</v>
      </c>
      <c r="AE666" s="39">
        <f t="shared" si="233"/>
        <v>36.725330267152067</v>
      </c>
      <c r="AF666" s="39">
        <f t="shared" si="234"/>
        <v>74.161138146601672</v>
      </c>
      <c r="AG666" s="39">
        <f t="shared" si="235"/>
        <v>-2.3229845790560644</v>
      </c>
      <c r="AH666" s="39">
        <f t="shared" si="236"/>
        <v>33.064214513092722</v>
      </c>
      <c r="AI666" s="39">
        <f t="shared" si="237"/>
        <v>41.504884562514015</v>
      </c>
      <c r="AJ666" s="39">
        <f t="shared" si="238"/>
        <v>201.41255067152974</v>
      </c>
      <c r="AK666" s="37">
        <f t="shared" si="239"/>
        <v>78589.958710211373</v>
      </c>
      <c r="AL666" s="37">
        <f t="shared" si="240"/>
        <v>73107.183254460819</v>
      </c>
      <c r="AM666" s="37">
        <f t="shared" si="241"/>
        <v>48934.44536241873</v>
      </c>
    </row>
    <row r="667" spans="12:39">
      <c r="L667">
        <v>663</v>
      </c>
      <c r="M667" s="37">
        <f t="shared" si="226"/>
        <v>4.1657518586600846</v>
      </c>
      <c r="N667" s="37">
        <f t="shared" si="220"/>
        <v>17400.913286896532</v>
      </c>
      <c r="O667" s="37">
        <f t="shared" si="221"/>
        <v>3228.6128415034755</v>
      </c>
      <c r="R667" s="37">
        <f t="shared" si="222"/>
        <v>-21819.360699172426</v>
      </c>
      <c r="S667" s="37">
        <f t="shared" si="223"/>
        <v>7010.0289890524327</v>
      </c>
      <c r="V667" s="37">
        <f t="shared" si="224"/>
        <v>-7599.0867131034674</v>
      </c>
      <c r="W667" s="37">
        <f t="shared" si="225"/>
        <v>-19271.387158496524</v>
      </c>
      <c r="Y667" s="37">
        <f t="shared" si="227"/>
        <v>-14514.636547402284</v>
      </c>
      <c r="Z667" s="37">
        <f t="shared" si="228"/>
        <v>-65750.045580815873</v>
      </c>
      <c r="AA667" s="37">
        <f t="shared" si="229"/>
        <v>742.41531584353277</v>
      </c>
      <c r="AB667" s="37">
        <f t="shared" si="230"/>
        <v>-5568.0927049967677</v>
      </c>
      <c r="AC667" s="37">
        <f t="shared" si="231"/>
        <v>65.297715269555724</v>
      </c>
      <c r="AD667" s="37">
        <f t="shared" si="232"/>
        <v>283.93514979375709</v>
      </c>
      <c r="AE667" s="39">
        <f t="shared" si="233"/>
        <v>33.273676860116971</v>
      </c>
      <c r="AF667" s="39">
        <f t="shared" si="234"/>
        <v>70.616370052094538</v>
      </c>
      <c r="AG667" s="39">
        <f t="shared" si="235"/>
        <v>-2.2204029314451543</v>
      </c>
      <c r="AH667" s="39">
        <f t="shared" si="236"/>
        <v>30.662621486839647</v>
      </c>
      <c r="AI667" s="39">
        <f t="shared" si="237"/>
        <v>34.244441340883903</v>
      </c>
      <c r="AJ667" s="39">
        <f t="shared" si="238"/>
        <v>182.65615825482294</v>
      </c>
      <c r="AK667" s="37">
        <f t="shared" si="239"/>
        <v>80974.250929483009</v>
      </c>
      <c r="AL667" s="37">
        <f t="shared" si="240"/>
        <v>75948.394437952258</v>
      </c>
      <c r="AM667" s="37">
        <f t="shared" si="241"/>
        <v>51634.246727187296</v>
      </c>
    </row>
    <row r="668" spans="12:39">
      <c r="L668">
        <v>664</v>
      </c>
      <c r="M668" s="37">
        <f t="shared" si="226"/>
        <v>4.1720350439672638</v>
      </c>
      <c r="N668" s="37">
        <f t="shared" si="220"/>
        <v>17427.802331092546</v>
      </c>
      <c r="O668" s="37">
        <f t="shared" si="221"/>
        <v>3212.3667190316919</v>
      </c>
      <c r="R668" s="37">
        <f t="shared" si="222"/>
        <v>-21800.538368235219</v>
      </c>
      <c r="S668" s="37">
        <f t="shared" si="223"/>
        <v>6998.6567033221836</v>
      </c>
      <c r="V668" s="37">
        <f t="shared" si="224"/>
        <v>-7572.1976689074545</v>
      </c>
      <c r="W668" s="37">
        <f t="shared" si="225"/>
        <v>-19287.633280968308</v>
      </c>
      <c r="Y668" s="37">
        <f t="shared" si="227"/>
        <v>-14135.266675071824</v>
      </c>
      <c r="Z668" s="37">
        <f t="shared" si="228"/>
        <v>-68498.600039590034</v>
      </c>
      <c r="AA668" s="37">
        <f t="shared" si="229"/>
        <v>775.06417347831064</v>
      </c>
      <c r="AB668" s="37">
        <f t="shared" si="230"/>
        <v>-5426.1251300998892</v>
      </c>
      <c r="AC668" s="37">
        <f t="shared" si="231"/>
        <v>56.576761829011247</v>
      </c>
      <c r="AD668" s="37">
        <f t="shared" si="232"/>
        <v>262.5797763404957</v>
      </c>
      <c r="AE668" s="39">
        <f t="shared" si="233"/>
        <v>30.251719800686601</v>
      </c>
      <c r="AF668" s="39">
        <f t="shared" si="234"/>
        <v>67.352289218267558</v>
      </c>
      <c r="AG668" s="39">
        <f t="shared" si="235"/>
        <v>-2.1340175346068864</v>
      </c>
      <c r="AH668" s="39">
        <f t="shared" si="236"/>
        <v>28.563513402142544</v>
      </c>
      <c r="AI668" s="39">
        <f t="shared" si="237"/>
        <v>28.459059562931536</v>
      </c>
      <c r="AJ668" s="39">
        <f t="shared" si="238"/>
        <v>166.66397372008561</v>
      </c>
      <c r="AK668" s="37">
        <f t="shared" si="239"/>
        <v>83312.685942513242</v>
      </c>
      <c r="AL668" s="37">
        <f t="shared" si="240"/>
        <v>78717.37613226223</v>
      </c>
      <c r="AM668" s="37">
        <f t="shared" si="241"/>
        <v>54272.951858367727</v>
      </c>
    </row>
    <row r="669" spans="12:39">
      <c r="L669">
        <v>665</v>
      </c>
      <c r="M669" s="37">
        <f t="shared" si="226"/>
        <v>4.178318229274443</v>
      </c>
      <c r="N669" s="37">
        <f t="shared" si="220"/>
        <v>17454.792921248219</v>
      </c>
      <c r="O669" s="37">
        <f t="shared" si="221"/>
        <v>3196.2898649802364</v>
      </c>
      <c r="R669" s="37">
        <f t="shared" si="222"/>
        <v>-21781.644955126245</v>
      </c>
      <c r="S669" s="37">
        <f t="shared" si="223"/>
        <v>6987.4029054861658</v>
      </c>
      <c r="V669" s="37">
        <f t="shared" si="224"/>
        <v>-7545.2070787517796</v>
      </c>
      <c r="W669" s="37">
        <f t="shared" si="225"/>
        <v>-19303.710135019763</v>
      </c>
      <c r="Y669" s="37">
        <f t="shared" si="227"/>
        <v>-13740.662493104042</v>
      </c>
      <c r="Z669" s="37">
        <f t="shared" si="228"/>
        <v>-71178.840132597412</v>
      </c>
      <c r="AA669" s="37">
        <f t="shared" si="229"/>
        <v>803.35255439281627</v>
      </c>
      <c r="AB669" s="37">
        <f t="shared" si="230"/>
        <v>-5294.8352419296416</v>
      </c>
      <c r="AC669" s="37">
        <f t="shared" si="231"/>
        <v>49.321681682836299</v>
      </c>
      <c r="AD669" s="37">
        <f t="shared" si="232"/>
        <v>243.96001437882742</v>
      </c>
      <c r="AE669" s="39">
        <f t="shared" si="233"/>
        <v>27.591474713341103</v>
      </c>
      <c r="AF669" s="39">
        <f t="shared" si="234"/>
        <v>64.339733353998398</v>
      </c>
      <c r="AG669" s="39">
        <f t="shared" si="235"/>
        <v>-2.0598405347874555</v>
      </c>
      <c r="AH669" s="39">
        <f t="shared" si="236"/>
        <v>26.714562889112834</v>
      </c>
      <c r="AI669" s="39">
        <f t="shared" si="237"/>
        <v>23.790047504282654</v>
      </c>
      <c r="AJ669" s="39">
        <f t="shared" si="238"/>
        <v>152.9057181357162</v>
      </c>
      <c r="AK669" s="37">
        <f t="shared" si="239"/>
        <v>85608.36518754682</v>
      </c>
      <c r="AL669" s="37">
        <f t="shared" si="240"/>
        <v>81419.797293404277</v>
      </c>
      <c r="AM669" s="37">
        <f t="shared" si="241"/>
        <v>56854.738232290656</v>
      </c>
    </row>
    <row r="670" spans="12:39">
      <c r="L670">
        <v>666</v>
      </c>
      <c r="M670" s="37">
        <f t="shared" si="226"/>
        <v>4.1846014145816222</v>
      </c>
      <c r="N670" s="37">
        <f t="shared" si="220"/>
        <v>17481.883991821273</v>
      </c>
      <c r="O670" s="37">
        <f t="shared" si="221"/>
        <v>3180.3829140357793</v>
      </c>
      <c r="R670" s="37">
        <f t="shared" si="222"/>
        <v>-21762.681205725108</v>
      </c>
      <c r="S670" s="37">
        <f t="shared" si="223"/>
        <v>6976.268039825045</v>
      </c>
      <c r="V670" s="37">
        <f t="shared" si="224"/>
        <v>-7518.1160081787284</v>
      </c>
      <c r="W670" s="37">
        <f t="shared" si="225"/>
        <v>-19319.617085964222</v>
      </c>
      <c r="Y670" s="37">
        <f t="shared" si="227"/>
        <v>-13332.82100569728</v>
      </c>
      <c r="Z670" s="37">
        <f t="shared" si="228"/>
        <v>-73795.762751764865</v>
      </c>
      <c r="AA670" s="37">
        <f t="shared" si="229"/>
        <v>828.01339523423439</v>
      </c>
      <c r="AB670" s="37">
        <f t="shared" si="230"/>
        <v>-5172.8552347402283</v>
      </c>
      <c r="AC670" s="37">
        <f t="shared" si="231"/>
        <v>43.222229535435531</v>
      </c>
      <c r="AD670" s="37">
        <f t="shared" si="232"/>
        <v>227.60053361309775</v>
      </c>
      <c r="AE670" s="39">
        <f t="shared" si="233"/>
        <v>25.237949405908619</v>
      </c>
      <c r="AF670" s="39">
        <f t="shared" si="234"/>
        <v>61.553096477886072</v>
      </c>
      <c r="AG670" s="39">
        <f t="shared" si="235"/>
        <v>-1.9950597946209281</v>
      </c>
      <c r="AH670" s="39">
        <f t="shared" si="236"/>
        <v>25.074706614071356</v>
      </c>
      <c r="AI670" s="39">
        <f t="shared" si="237"/>
        <v>19.979339924147837</v>
      </c>
      <c r="AJ670" s="39">
        <f t="shared" si="238"/>
        <v>140.97273052114031</v>
      </c>
      <c r="AK670" s="37">
        <f t="shared" si="239"/>
        <v>87863.974401281754</v>
      </c>
      <c r="AL670" s="37">
        <f t="shared" si="240"/>
        <v>84060.580124646629</v>
      </c>
      <c r="AM670" s="37">
        <f t="shared" si="241"/>
        <v>59383.310984440825</v>
      </c>
    </row>
    <row r="671" spans="12:39">
      <c r="L671">
        <v>667</v>
      </c>
      <c r="M671" s="37">
        <f t="shared" si="226"/>
        <v>4.1908845998888014</v>
      </c>
      <c r="N671" s="37">
        <f t="shared" si="220"/>
        <v>17509.074473302622</v>
      </c>
      <c r="O671" s="37">
        <f t="shared" si="221"/>
        <v>3164.6464941775075</v>
      </c>
      <c r="R671" s="37">
        <f t="shared" si="222"/>
        <v>-21743.647868688167</v>
      </c>
      <c r="S671" s="37">
        <f t="shared" si="223"/>
        <v>6965.2525459242552</v>
      </c>
      <c r="V671" s="37">
        <f t="shared" si="224"/>
        <v>-7490.9255266973796</v>
      </c>
      <c r="W671" s="37">
        <f t="shared" si="225"/>
        <v>-19335.353505822492</v>
      </c>
      <c r="Y671" s="37">
        <f t="shared" si="227"/>
        <v>-12913.411529388235</v>
      </c>
      <c r="Z671" s="37">
        <f t="shared" si="228"/>
        <v>-76353.740302433333</v>
      </c>
      <c r="AA671" s="37">
        <f t="shared" si="229"/>
        <v>849.6245100019521</v>
      </c>
      <c r="AB671" s="37">
        <f t="shared" si="230"/>
        <v>-5059.0549679336791</v>
      </c>
      <c r="AC671" s="37">
        <f t="shared" si="231"/>
        <v>38.046460672133392</v>
      </c>
      <c r="AD671" s="37">
        <f t="shared" si="232"/>
        <v>213.12738183061904</v>
      </c>
      <c r="AE671" s="39">
        <f t="shared" si="233"/>
        <v>23.146247714533441</v>
      </c>
      <c r="AF671" s="39">
        <f t="shared" si="234"/>
        <v>58.969865311508585</v>
      </c>
      <c r="AG671" s="39">
        <f t="shared" si="235"/>
        <v>-1.9376521130512194</v>
      </c>
      <c r="AH671" s="39">
        <f t="shared" si="236"/>
        <v>23.611291675928463</v>
      </c>
      <c r="AI671" s="39">
        <f t="shared" si="237"/>
        <v>16.837865070651173</v>
      </c>
      <c r="AJ671" s="39">
        <f t="shared" si="238"/>
        <v>130.54622484318199</v>
      </c>
      <c r="AK671" s="37">
        <f t="shared" si="239"/>
        <v>90081.865107305581</v>
      </c>
      <c r="AL671" s="37">
        <f t="shared" si="240"/>
        <v>86644.031533464018</v>
      </c>
      <c r="AM671" s="37">
        <f t="shared" si="241"/>
        <v>61861.971607215091</v>
      </c>
    </row>
    <row r="672" spans="12:39">
      <c r="L672">
        <v>668</v>
      </c>
      <c r="M672" s="37">
        <f t="shared" si="226"/>
        <v>4.1971677851959805</v>
      </c>
      <c r="N672" s="37">
        <f t="shared" si="220"/>
        <v>17536.363292258615</v>
      </c>
      <c r="O672" s="37">
        <f t="shared" si="221"/>
        <v>3149.0812266523308</v>
      </c>
      <c r="R672" s="37">
        <f t="shared" si="222"/>
        <v>-21724.545695418969</v>
      </c>
      <c r="S672" s="37">
        <f t="shared" si="223"/>
        <v>6954.3568586566307</v>
      </c>
      <c r="V672" s="37">
        <f t="shared" si="224"/>
        <v>-7463.6367077413852</v>
      </c>
      <c r="W672" s="37">
        <f t="shared" si="225"/>
        <v>-19350.918773347668</v>
      </c>
      <c r="Y672" s="37">
        <f t="shared" si="227"/>
        <v>-12483.843466803242</v>
      </c>
      <c r="Z672" s="37">
        <f t="shared" si="228"/>
        <v>-78856.62686367135</v>
      </c>
      <c r="AA672" s="37">
        <f t="shared" si="229"/>
        <v>868.64774033801882</v>
      </c>
      <c r="AB672" s="37">
        <f t="shared" si="230"/>
        <v>-4952.4912770183691</v>
      </c>
      <c r="AC672" s="37">
        <f t="shared" si="231"/>
        <v>33.618093115615913</v>
      </c>
      <c r="AD672" s="37">
        <f t="shared" si="232"/>
        <v>200.24292365688854</v>
      </c>
      <c r="AE672" s="39">
        <f t="shared" si="233"/>
        <v>21.27940795175601</v>
      </c>
      <c r="AF672" s="39">
        <f t="shared" si="234"/>
        <v>56.57021141133076</v>
      </c>
      <c r="AG672" s="39">
        <f t="shared" si="235"/>
        <v>-1.8861348672486662</v>
      </c>
      <c r="AH672" s="39">
        <f t="shared" si="236"/>
        <v>22.298043072074446</v>
      </c>
      <c r="AI672" s="39">
        <f t="shared" si="237"/>
        <v>14.224820031108573</v>
      </c>
      <c r="AJ672" s="39">
        <f t="shared" si="238"/>
        <v>121.37466917348333</v>
      </c>
      <c r="AK672" s="37">
        <f t="shared" si="239"/>
        <v>92264.11593705941</v>
      </c>
      <c r="AL672" s="37">
        <f t="shared" si="240"/>
        <v>89173.946568609579</v>
      </c>
      <c r="AM672" s="37">
        <f t="shared" si="241"/>
        <v>64293.675485554311</v>
      </c>
    </row>
    <row r="673" spans="12:39">
      <c r="L673">
        <v>669</v>
      </c>
      <c r="M673" s="37">
        <f t="shared" si="226"/>
        <v>4.2034509705031597</v>
      </c>
      <c r="N673" s="37">
        <f t="shared" si="220"/>
        <v>17563.749371373411</v>
      </c>
      <c r="O673" s="37">
        <f t="shared" si="221"/>
        <v>3133.687725950359</v>
      </c>
      <c r="R673" s="37">
        <f t="shared" si="222"/>
        <v>-21705.375440038613</v>
      </c>
      <c r="S673" s="37">
        <f t="shared" si="223"/>
        <v>6943.5814081652516</v>
      </c>
      <c r="V673" s="37">
        <f t="shared" si="224"/>
        <v>-7436.2506286265907</v>
      </c>
      <c r="W673" s="37">
        <f t="shared" si="225"/>
        <v>-19366.31227404964</v>
      </c>
      <c r="Y673" s="37">
        <f t="shared" si="227"/>
        <v>-12045.317334994781</v>
      </c>
      <c r="Z673" s="37">
        <f t="shared" si="228"/>
        <v>-81307.842136723411</v>
      </c>
      <c r="AA673" s="37">
        <f t="shared" si="229"/>
        <v>885.45678689582678</v>
      </c>
      <c r="AB673" s="37">
        <f t="shared" si="230"/>
        <v>-4852.3698151899252</v>
      </c>
      <c r="AC673" s="37">
        <f t="shared" si="231"/>
        <v>29.801157681821408</v>
      </c>
      <c r="AD673" s="37">
        <f t="shared" si="232"/>
        <v>188.70769837932221</v>
      </c>
      <c r="AE673" s="39">
        <f t="shared" si="233"/>
        <v>19.606767844594831</v>
      </c>
      <c r="AF673" s="39">
        <f t="shared" si="234"/>
        <v>54.336636000563615</v>
      </c>
      <c r="AG673" s="39">
        <f t="shared" si="235"/>
        <v>-1.8394029219774484</v>
      </c>
      <c r="AH673" s="39">
        <f t="shared" si="236"/>
        <v>21.1135904094088</v>
      </c>
      <c r="AI673" s="39">
        <f t="shared" si="237"/>
        <v>12.033792759204024</v>
      </c>
      <c r="AJ673" s="39">
        <f t="shared" si="238"/>
        <v>113.25747196934979</v>
      </c>
      <c r="AK673" s="37">
        <f t="shared" si="239"/>
        <v>94412.57960717789</v>
      </c>
      <c r="AL673" s="37">
        <f t="shared" si="240"/>
        <v>91653.690662000838</v>
      </c>
      <c r="AM673" s="37">
        <f t="shared" si="241"/>
        <v>66681.079964105331</v>
      </c>
    </row>
    <row r="674" spans="12:39">
      <c r="L674">
        <v>670</v>
      </c>
      <c r="M674" s="37">
        <f t="shared" si="226"/>
        <v>4.2097341558103389</v>
      </c>
      <c r="N674" s="37">
        <f t="shared" si="220"/>
        <v>17591.231629491493</v>
      </c>
      <c r="O674" s="37">
        <f t="shared" si="221"/>
        <v>3118.4665997806442</v>
      </c>
      <c r="R674" s="37">
        <f t="shared" si="222"/>
        <v>-21686.137859355953</v>
      </c>
      <c r="S674" s="37">
        <f t="shared" si="223"/>
        <v>6932.9266198464502</v>
      </c>
      <c r="V674" s="37">
        <f t="shared" si="224"/>
        <v>-7408.7683705085065</v>
      </c>
      <c r="W674" s="37">
        <f t="shared" si="225"/>
        <v>-19381.533400219356</v>
      </c>
      <c r="Y674" s="37">
        <f t="shared" si="227"/>
        <v>-11598.86379683664</v>
      </c>
      <c r="Z674" s="37">
        <f t="shared" si="228"/>
        <v>-83710.438582020957</v>
      </c>
      <c r="AA674" s="37">
        <f t="shared" si="229"/>
        <v>900.35736573673751</v>
      </c>
      <c r="AB674" s="37">
        <f t="shared" si="230"/>
        <v>-4758.0159660002646</v>
      </c>
      <c r="AC674" s="37">
        <f t="shared" si="231"/>
        <v>26.489375935782093</v>
      </c>
      <c r="AD674" s="37">
        <f t="shared" si="232"/>
        <v>178.32711896862017</v>
      </c>
      <c r="AE674" s="39">
        <f t="shared" si="233"/>
        <v>18.102712742690091</v>
      </c>
      <c r="AF674" s="39">
        <f t="shared" si="234"/>
        <v>52.253662644363814</v>
      </c>
      <c r="AG674" s="39">
        <f t="shared" si="235"/>
        <v>-1.7966193429897204</v>
      </c>
      <c r="AH674" s="39">
        <f t="shared" si="236"/>
        <v>20.040382934526654</v>
      </c>
      <c r="AI674" s="39">
        <f t="shared" si="237"/>
        <v>10.183282536081723</v>
      </c>
      <c r="AJ674" s="39">
        <f t="shared" si="238"/>
        <v>106.03307338972971</v>
      </c>
      <c r="AK674" s="37">
        <f t="shared" si="239"/>
        <v>96528.91949864378</v>
      </c>
      <c r="AL674" s="37">
        <f t="shared" si="240"/>
        <v>94086.265675383387</v>
      </c>
      <c r="AM674" s="37">
        <f t="shared" si="241"/>
        <v>69026.584542065204</v>
      </c>
    </row>
    <row r="675" spans="12:39">
      <c r="L675">
        <v>671</v>
      </c>
      <c r="M675" s="37">
        <f t="shared" si="226"/>
        <v>4.2160173411175181</v>
      </c>
      <c r="N675" s="37">
        <f t="shared" si="220"/>
        <v>17618.808981660372</v>
      </c>
      <c r="O675" s="37">
        <f t="shared" si="221"/>
        <v>3103.4184490471816</v>
      </c>
      <c r="R675" s="37">
        <f t="shared" si="222"/>
        <v>-21666.833712837739</v>
      </c>
      <c r="S675" s="37">
        <f t="shared" si="223"/>
        <v>6922.392914333027</v>
      </c>
      <c r="V675" s="37">
        <f t="shared" si="224"/>
        <v>-7381.1910183396267</v>
      </c>
      <c r="W675" s="37">
        <f t="shared" si="225"/>
        <v>-19396.581550952818</v>
      </c>
      <c r="Y675" s="37">
        <f t="shared" si="227"/>
        <v>-11145.373941976299</v>
      </c>
      <c r="Z675" s="37">
        <f t="shared" si="228"/>
        <v>-86067.155675150017</v>
      </c>
      <c r="AA675" s="37">
        <f t="shared" si="229"/>
        <v>913.60205370462859</v>
      </c>
      <c r="AB675" s="37">
        <f t="shared" si="230"/>
        <v>-4668.8524065159545</v>
      </c>
      <c r="AC675" s="37">
        <f t="shared" si="231"/>
        <v>23.598672662691225</v>
      </c>
      <c r="AD675" s="37">
        <f t="shared" si="232"/>
        <v>168.94159936838537</v>
      </c>
      <c r="AE675" s="39">
        <f t="shared" si="233"/>
        <v>16.745706764551215</v>
      </c>
      <c r="AF675" s="39">
        <f t="shared" si="234"/>
        <v>50.307572310681124</v>
      </c>
      <c r="AG675" s="39">
        <f t="shared" si="235"/>
        <v>-1.7571408062353013</v>
      </c>
      <c r="AH675" s="39">
        <f t="shared" si="236"/>
        <v>19.063878956559936</v>
      </c>
      <c r="AI675" s="39">
        <f t="shared" si="237"/>
        <v>8.6101067043753119</v>
      </c>
      <c r="AJ675" s="39">
        <f t="shared" si="238"/>
        <v>99.570148101144326</v>
      </c>
      <c r="AK675" s="37">
        <f t="shared" si="239"/>
        <v>98614.638564075751</v>
      </c>
      <c r="AL675" s="37">
        <f t="shared" si="240"/>
        <v>96474.363445119132</v>
      </c>
      <c r="AM675" s="37">
        <f t="shared" si="241"/>
        <v>71332.364580481473</v>
      </c>
    </row>
    <row r="676" spans="12:39">
      <c r="L676">
        <v>672</v>
      </c>
      <c r="M676" s="37">
        <f t="shared" si="226"/>
        <v>4.2223005264246973</v>
      </c>
      <c r="N676" s="37">
        <f t="shared" si="220"/>
        <v>17646.480339173406</v>
      </c>
      <c r="O676" s="37">
        <f t="shared" si="221"/>
        <v>3088.5438678251976</v>
      </c>
      <c r="R676" s="37">
        <f t="shared" si="222"/>
        <v>-21647.463762578616</v>
      </c>
      <c r="S676" s="37">
        <f t="shared" si="223"/>
        <v>6911.9807074776381</v>
      </c>
      <c r="V676" s="37">
        <f t="shared" si="224"/>
        <v>-7353.519660826596</v>
      </c>
      <c r="W676" s="37">
        <f t="shared" si="225"/>
        <v>-19411.456132174804</v>
      </c>
      <c r="Y676" s="37">
        <f t="shared" si="227"/>
        <v>-10685.623081041149</v>
      </c>
      <c r="Z676" s="37">
        <f t="shared" si="228"/>
        <v>-88380.464178486945</v>
      </c>
      <c r="AA676" s="37">
        <f t="shared" si="229"/>
        <v>925.40139003597415</v>
      </c>
      <c r="AB676" s="37">
        <f t="shared" si="230"/>
        <v>-4584.3816068317619</v>
      </c>
      <c r="AC676" s="37">
        <f t="shared" si="231"/>
        <v>21.061808171819351</v>
      </c>
      <c r="AD676" s="37">
        <f t="shared" si="232"/>
        <v>160.41913933717734</v>
      </c>
      <c r="AE676" s="39">
        <f t="shared" si="233"/>
        <v>15.517535465242039</v>
      </c>
      <c r="AF676" s="39">
        <f t="shared" si="234"/>
        <v>48.486175411337243</v>
      </c>
      <c r="AG676" s="39">
        <f t="shared" si="235"/>
        <v>-1.7204658259573047</v>
      </c>
      <c r="AH676" s="39">
        <f t="shared" si="236"/>
        <v>18.171932275618413</v>
      </c>
      <c r="AI676" s="39">
        <f t="shared" si="237"/>
        <v>7.264738532534615</v>
      </c>
      <c r="AJ676" s="39">
        <f t="shared" si="238"/>
        <v>93.761031650221682</v>
      </c>
      <c r="AK676" s="37">
        <f t="shared" si="239"/>
        <v>100671.10248206207</v>
      </c>
      <c r="AL676" s="37">
        <f t="shared" si="240"/>
        <v>98820.409579008454</v>
      </c>
      <c r="AM676" s="37">
        <f t="shared" si="241"/>
        <v>73600.399678737303</v>
      </c>
    </row>
    <row r="677" spans="12:39">
      <c r="L677">
        <v>673</v>
      </c>
      <c r="M677" s="37">
        <f t="shared" si="226"/>
        <v>4.2285837117318765</v>
      </c>
      <c r="N677" s="37">
        <f t="shared" si="220"/>
        <v>17674.244609612775</v>
      </c>
      <c r="O677" s="37">
        <f t="shared" si="221"/>
        <v>3073.8434433376897</v>
      </c>
      <c r="R677" s="37">
        <f t="shared" si="222"/>
        <v>-21628.028773271057</v>
      </c>
      <c r="S677" s="37">
        <f t="shared" si="223"/>
        <v>6901.6904103363831</v>
      </c>
      <c r="V677" s="37">
        <f t="shared" si="224"/>
        <v>-7325.7553903872267</v>
      </c>
      <c r="W677" s="37">
        <f t="shared" si="225"/>
        <v>-19426.15655666231</v>
      </c>
      <c r="Y677" s="37">
        <f t="shared" si="227"/>
        <v>-10220.289660001685</v>
      </c>
      <c r="Z677" s="37">
        <f t="shared" si="228"/>
        <v>-90652.602589485687</v>
      </c>
      <c r="AA677" s="37">
        <f t="shared" si="229"/>
        <v>935.93229412188384</v>
      </c>
      <c r="AB677" s="37">
        <f t="shared" si="230"/>
        <v>-4504.1720371631736</v>
      </c>
      <c r="AC677" s="37">
        <f t="shared" si="231"/>
        <v>18.824470551766467</v>
      </c>
      <c r="AD677" s="37">
        <f t="shared" si="232"/>
        <v>152.64969231276149</v>
      </c>
      <c r="AE677" s="39">
        <f t="shared" si="233"/>
        <v>14.402708455351993</v>
      </c>
      <c r="AF677" s="39">
        <f t="shared" si="234"/>
        <v>46.778615795382507</v>
      </c>
      <c r="AG677" s="39">
        <f t="shared" si="235"/>
        <v>-1.6861982624011069</v>
      </c>
      <c r="AH677" s="39">
        <f t="shared" si="236"/>
        <v>17.354322131443531</v>
      </c>
      <c r="AI677" s="39">
        <f t="shared" si="237"/>
        <v>6.107960358815582</v>
      </c>
      <c r="AJ677" s="39">
        <f t="shared" si="238"/>
        <v>88.516754385935442</v>
      </c>
      <c r="AK677" s="37">
        <f t="shared" si="239"/>
        <v>102699.55843246804</v>
      </c>
      <c r="AL677" s="37">
        <f t="shared" si="240"/>
        <v>101126.59957880128</v>
      </c>
      <c r="AM677" s="37">
        <f t="shared" si="241"/>
        <v>75832.497668855518</v>
      </c>
    </row>
    <row r="678" spans="12:39">
      <c r="L678">
        <v>674</v>
      </c>
      <c r="M678" s="37">
        <f t="shared" si="226"/>
        <v>4.2348668970390557</v>
      </c>
      <c r="N678" s="37">
        <f t="shared" si="220"/>
        <v>17702.100696892623</v>
      </c>
      <c r="O678" s="37">
        <f t="shared" si="221"/>
        <v>3059.3177559322439</v>
      </c>
      <c r="R678" s="37">
        <f t="shared" si="222"/>
        <v>-21608.529512175162</v>
      </c>
      <c r="S678" s="37">
        <f t="shared" si="223"/>
        <v>6891.522429152571</v>
      </c>
      <c r="V678" s="37">
        <f t="shared" si="224"/>
        <v>-7297.8993031073751</v>
      </c>
      <c r="W678" s="37">
        <f t="shared" si="225"/>
        <v>-19440.682244067757</v>
      </c>
      <c r="Y678" s="37">
        <f t="shared" si="227"/>
        <v>-9749.9704541217707</v>
      </c>
      <c r="Z678" s="37">
        <f t="shared" si="228"/>
        <v>-92885.607396528168</v>
      </c>
      <c r="AA678" s="37">
        <f t="shared" si="229"/>
        <v>945.34452939776702</v>
      </c>
      <c r="AB678" s="37">
        <f t="shared" si="230"/>
        <v>-4427.8471910067929</v>
      </c>
      <c r="AC678" s="37">
        <f t="shared" si="231"/>
        <v>16.842390354150453</v>
      </c>
      <c r="AD678" s="37">
        <f t="shared" si="232"/>
        <v>145.54084205563117</v>
      </c>
      <c r="AE678" s="39">
        <f t="shared" si="233"/>
        <v>13.387984244369564</v>
      </c>
      <c r="AF678" s="39">
        <f t="shared" si="234"/>
        <v>45.175202182427242</v>
      </c>
      <c r="AG678" s="39">
        <f t="shared" si="235"/>
        <v>-1.6540212305829936</v>
      </c>
      <c r="AH678" s="39">
        <f t="shared" si="236"/>
        <v>16.602389114450457</v>
      </c>
      <c r="AI678" s="39">
        <f t="shared" si="237"/>
        <v>5.1084273403638827</v>
      </c>
      <c r="AJ678" s="39">
        <f t="shared" si="238"/>
        <v>83.763250758753458</v>
      </c>
      <c r="AK678" s="37">
        <f t="shared" si="239"/>
        <v>104701.15049220332</v>
      </c>
      <c r="AL678" s="37">
        <f t="shared" si="240"/>
        <v>103394.92886522002</v>
      </c>
      <c r="AM678" s="37">
        <f t="shared" si="241"/>
        <v>78030.314998987116</v>
      </c>
    </row>
    <row r="679" spans="12:39">
      <c r="L679">
        <v>675</v>
      </c>
      <c r="M679" s="37">
        <f t="shared" si="226"/>
        <v>4.2411500823462349</v>
      </c>
      <c r="N679" s="37">
        <f t="shared" si="220"/>
        <v>17730.047501302328</v>
      </c>
      <c r="O679" s="37">
        <f t="shared" si="221"/>
        <v>3044.9673790581292</v>
      </c>
      <c r="R679" s="37">
        <f t="shared" si="222"/>
        <v>-21588.966749088369</v>
      </c>
      <c r="S679" s="37">
        <f t="shared" si="223"/>
        <v>6881.4771653406897</v>
      </c>
      <c r="V679" s="37">
        <f t="shared" si="224"/>
        <v>-7269.9524986976712</v>
      </c>
      <c r="W679" s="37">
        <f t="shared" si="225"/>
        <v>-19455.032620941871</v>
      </c>
      <c r="Y679" s="37">
        <f t="shared" si="227"/>
        <v>-9275.1928906286175</v>
      </c>
      <c r="Z679" s="37">
        <f t="shared" si="228"/>
        <v>-95081.338386774616</v>
      </c>
      <c r="AA679" s="37">
        <f t="shared" si="229"/>
        <v>953.76572457484224</v>
      </c>
      <c r="AB679" s="37">
        <f t="shared" si="230"/>
        <v>-4355.0767699789776</v>
      </c>
      <c r="AC679" s="37">
        <f t="shared" si="231"/>
        <v>15.079182396067241</v>
      </c>
      <c r="AD679" s="37">
        <f t="shared" si="232"/>
        <v>139.01445073261527</v>
      </c>
      <c r="AE679" s="39">
        <f t="shared" si="233"/>
        <v>12.461989379496199</v>
      </c>
      <c r="AF679" s="39">
        <f t="shared" si="234"/>
        <v>43.667263074454873</v>
      </c>
      <c r="AG679" s="39">
        <f t="shared" si="235"/>
        <v>-1.6236781972833398</v>
      </c>
      <c r="AH679" s="39">
        <f t="shared" si="236"/>
        <v>15.908750277743627</v>
      </c>
      <c r="AI679" s="39">
        <f t="shared" si="237"/>
        <v>4.2408712138543816</v>
      </c>
      <c r="AJ679" s="39">
        <f t="shared" si="238"/>
        <v>79.438437380416758</v>
      </c>
      <c r="AK679" s="37">
        <f t="shared" si="239"/>
        <v>106676.9323893665</v>
      </c>
      <c r="AL679" s="37">
        <f t="shared" si="240"/>
        <v>105627.21791607054</v>
      </c>
      <c r="AM679" s="37">
        <f t="shared" si="241"/>
        <v>80195.374131362361</v>
      </c>
    </row>
    <row r="680" spans="12:39">
      <c r="L680">
        <v>676</v>
      </c>
      <c r="M680" s="37">
        <f t="shared" si="226"/>
        <v>4.2474332676534141</v>
      </c>
      <c r="N680" s="37">
        <f t="shared" si="220"/>
        <v>17758.083919549899</v>
      </c>
      <c r="O680" s="37">
        <f t="shared" si="221"/>
        <v>3030.7928792436505</v>
      </c>
      <c r="R680" s="37">
        <f t="shared" si="222"/>
        <v>-21569.34125631507</v>
      </c>
      <c r="S680" s="37">
        <f t="shared" si="223"/>
        <v>6871.5550154705552</v>
      </c>
      <c r="V680" s="37">
        <f t="shared" si="224"/>
        <v>-7241.9160804501007</v>
      </c>
      <c r="W680" s="37">
        <f t="shared" si="225"/>
        <v>-19469.207120756349</v>
      </c>
      <c r="Y680" s="37">
        <f t="shared" si="227"/>
        <v>-8796.4251305416892</v>
      </c>
      <c r="Z680" s="37">
        <f t="shared" si="228"/>
        <v>-97241.499965422525</v>
      </c>
      <c r="AA680" s="37">
        <f t="shared" si="229"/>
        <v>961.30531577287582</v>
      </c>
      <c r="AB680" s="37">
        <f t="shared" si="230"/>
        <v>-4285.5695446126701</v>
      </c>
      <c r="AC680" s="37">
        <f t="shared" si="231"/>
        <v>13.504712051082171</v>
      </c>
      <c r="AD680" s="37">
        <f t="shared" si="232"/>
        <v>133.00403573594119</v>
      </c>
      <c r="AE680" s="39">
        <f t="shared" si="233"/>
        <v>11.614910978450407</v>
      </c>
      <c r="AF680" s="39">
        <f t="shared" si="234"/>
        <v>42.247021716506524</v>
      </c>
      <c r="AG680" s="39">
        <f t="shared" si="235"/>
        <v>-1.5949591159162719</v>
      </c>
      <c r="AH680" s="39">
        <f t="shared" si="236"/>
        <v>15.267074122980821</v>
      </c>
      <c r="AI680" s="39">
        <f t="shared" si="237"/>
        <v>3.4847601885480359</v>
      </c>
      <c r="AJ680" s="39">
        <f t="shared" si="238"/>
        <v>75.489939896453848</v>
      </c>
      <c r="AK680" s="37">
        <f t="shared" si="239"/>
        <v>108627.87816810886</v>
      </c>
      <c r="AL680" s="37">
        <f t="shared" si="240"/>
        <v>107825.13345546705</v>
      </c>
      <c r="AM680" s="37">
        <f t="shared" si="241"/>
        <v>82329.078461588535</v>
      </c>
    </row>
    <row r="681" spans="12:39">
      <c r="L681">
        <v>677</v>
      </c>
      <c r="M681" s="37">
        <f t="shared" si="226"/>
        <v>4.2537164529605933</v>
      </c>
      <c r="N681" s="37">
        <f t="shared" si="220"/>
        <v>17786.208844805551</v>
      </c>
      <c r="O681" s="37">
        <f t="shared" si="221"/>
        <v>3016.7948160737915</v>
      </c>
      <c r="R681" s="37">
        <f t="shared" si="222"/>
        <v>-21549.653808636114</v>
      </c>
      <c r="S681" s="37">
        <f t="shared" si="223"/>
        <v>6861.7563712516539</v>
      </c>
      <c r="V681" s="37">
        <f t="shared" si="224"/>
        <v>-7213.791155194448</v>
      </c>
      <c r="W681" s="37">
        <f t="shared" si="225"/>
        <v>-19483.205183926209</v>
      </c>
      <c r="Y681" s="37">
        <f t="shared" si="227"/>
        <v>-8314.0843836488657</v>
      </c>
      <c r="Z681" s="37">
        <f t="shared" si="228"/>
        <v>-99367.65923326186</v>
      </c>
      <c r="AA681" s="37">
        <f t="shared" si="229"/>
        <v>968.05767179841689</v>
      </c>
      <c r="AB681" s="37">
        <f t="shared" si="230"/>
        <v>-4219.0675267446995</v>
      </c>
      <c r="AC681" s="37">
        <f t="shared" si="231"/>
        <v>12.093844857427127</v>
      </c>
      <c r="AD681" s="37">
        <f t="shared" si="232"/>
        <v>127.4526986907604</v>
      </c>
      <c r="AE681" s="39">
        <f t="shared" si="233"/>
        <v>10.83824685692152</v>
      </c>
      <c r="AF681" s="39">
        <f t="shared" si="234"/>
        <v>40.907488163747388</v>
      </c>
      <c r="AG681" s="39">
        <f t="shared" si="235"/>
        <v>-1.5676901384009725</v>
      </c>
      <c r="AH681" s="39">
        <f t="shared" si="236"/>
        <v>14.671901327105294</v>
      </c>
      <c r="AI681" s="39">
        <f t="shared" si="237"/>
        <v>2.8232881389065807</v>
      </c>
      <c r="AJ681" s="39">
        <f t="shared" si="238"/>
        <v>71.873309199907709</v>
      </c>
      <c r="AK681" s="37">
        <f t="shared" si="239"/>
        <v>110554.89118298188</v>
      </c>
      <c r="AL681" s="37">
        <f t="shared" si="240"/>
        <v>109990.20642746046</v>
      </c>
      <c r="AM681" s="37">
        <f t="shared" si="241"/>
        <v>84432.725171000726</v>
      </c>
    </row>
    <row r="682" spans="12:39">
      <c r="L682">
        <v>678</v>
      </c>
      <c r="M682" s="37">
        <f t="shared" si="226"/>
        <v>4.2599996382677725</v>
      </c>
      <c r="N682" s="37">
        <f t="shared" si="220"/>
        <v>17814.421166745393</v>
      </c>
      <c r="O682" s="37">
        <f t="shared" si="221"/>
        <v>3002.9737421681166</v>
      </c>
      <c r="R682" s="37">
        <f t="shared" si="222"/>
        <v>-21529.905183278224</v>
      </c>
      <c r="S682" s="37">
        <f t="shared" si="223"/>
        <v>6852.0816195176812</v>
      </c>
      <c r="V682" s="37">
        <f t="shared" si="224"/>
        <v>-7185.5788332546072</v>
      </c>
      <c r="W682" s="37">
        <f t="shared" si="225"/>
        <v>-19497.026257831883</v>
      </c>
      <c r="Y682" s="37">
        <f t="shared" si="227"/>
        <v>-7828.5438171424785</v>
      </c>
      <c r="Z682" s="37">
        <f t="shared" si="228"/>
        <v>-101461.26140929786</v>
      </c>
      <c r="AA682" s="37">
        <f t="shared" si="229"/>
        <v>974.10459422713041</v>
      </c>
      <c r="AB682" s="37">
        <f t="shared" si="230"/>
        <v>-4155.3411773993193</v>
      </c>
      <c r="AC682" s="37">
        <f t="shared" si="231"/>
        <v>10.825479691254429</v>
      </c>
      <c r="AD682" s="37">
        <f t="shared" si="232"/>
        <v>122.31147686983343</v>
      </c>
      <c r="AE682" s="39">
        <f t="shared" si="233"/>
        <v>10.12460119719235</v>
      </c>
      <c r="AF682" s="39">
        <f t="shared" si="234"/>
        <v>39.642365944875536</v>
      </c>
      <c r="AG682" s="39">
        <f t="shared" si="235"/>
        <v>-1.5417258977381434</v>
      </c>
      <c r="AH682" s="39">
        <f t="shared" si="236"/>
        <v>14.118500755176832</v>
      </c>
      <c r="AI682" s="39">
        <f t="shared" si="237"/>
        <v>2.242604391800223</v>
      </c>
      <c r="AJ682" s="39">
        <f t="shared" si="238"/>
        <v>68.550610169781066</v>
      </c>
      <c r="AK682" s="37">
        <f t="shared" si="239"/>
        <v>112458.81174406905</v>
      </c>
      <c r="AL682" s="37">
        <f t="shared" si="240"/>
        <v>112123.84733214899</v>
      </c>
      <c r="AM682" s="37">
        <f t="shared" si="241"/>
        <v>86507.516347496843</v>
      </c>
    </row>
    <row r="683" spans="12:39">
      <c r="L683">
        <v>679</v>
      </c>
      <c r="M683" s="37">
        <f t="shared" si="226"/>
        <v>4.2662828235749517</v>
      </c>
      <c r="N683" s="37">
        <f t="shared" si="220"/>
        <v>17842.719771595261</v>
      </c>
      <c r="O683" s="37">
        <f t="shared" si="221"/>
        <v>2989.3302031589592</v>
      </c>
      <c r="R683" s="37">
        <f t="shared" si="222"/>
        <v>-21510.096159883316</v>
      </c>
      <c r="S683" s="37">
        <f t="shared" si="223"/>
        <v>6842.5311422112718</v>
      </c>
      <c r="V683" s="37">
        <f t="shared" si="224"/>
        <v>-7157.2802284047384</v>
      </c>
      <c r="W683" s="37">
        <f t="shared" si="225"/>
        <v>-19510.669796841041</v>
      </c>
      <c r="Y683" s="37">
        <f t="shared" si="227"/>
        <v>-7340.1383350675069</v>
      </c>
      <c r="Z683" s="37">
        <f t="shared" si="228"/>
        <v>-103523.64306338879</v>
      </c>
      <c r="AA683" s="37">
        <f t="shared" si="229"/>
        <v>979.51733407275765</v>
      </c>
      <c r="AB683" s="37">
        <f t="shared" si="230"/>
        <v>-4094.1854389644027</v>
      </c>
      <c r="AC683" s="37">
        <f t="shared" si="231"/>
        <v>9.6817940888763196</v>
      </c>
      <c r="AD683" s="37">
        <f t="shared" si="232"/>
        <v>117.53802064980817</v>
      </c>
      <c r="AE683" s="39">
        <f t="shared" si="233"/>
        <v>9.4675164830765599</v>
      </c>
      <c r="AF683" s="39">
        <f t="shared" si="234"/>
        <v>38.445971188289043</v>
      </c>
      <c r="AG683" s="39">
        <f t="shared" si="235"/>
        <v>-1.5169436591468051</v>
      </c>
      <c r="AH683" s="39">
        <f t="shared" si="236"/>
        <v>13.602752942022063</v>
      </c>
      <c r="AI683" s="39">
        <f t="shared" si="237"/>
        <v>1.731221264946565</v>
      </c>
      <c r="AJ683" s="39">
        <f t="shared" si="238"/>
        <v>65.48929651949706</v>
      </c>
      <c r="AK683" s="37">
        <f t="shared" si="239"/>
        <v>114340.42366218251</v>
      </c>
      <c r="AL683" s="37">
        <f t="shared" si="240"/>
        <v>114227.3593836386</v>
      </c>
      <c r="AM683" s="37">
        <f t="shared" si="241"/>
        <v>88554.568649175388</v>
      </c>
    </row>
    <row r="684" spans="12:39">
      <c r="L684">
        <v>680</v>
      </c>
      <c r="M684" s="37">
        <f t="shared" si="226"/>
        <v>4.2725660088821309</v>
      </c>
      <c r="N684" s="37">
        <f t="shared" si="220"/>
        <v>17871.103542174693</v>
      </c>
      <c r="O684" s="37">
        <f t="shared" si="221"/>
        <v>2975.8647376698764</v>
      </c>
      <c r="R684" s="37">
        <f t="shared" si="222"/>
        <v>-21490.227520477718</v>
      </c>
      <c r="S684" s="37">
        <f t="shared" si="223"/>
        <v>6833.1053163689139</v>
      </c>
      <c r="V684" s="37">
        <f t="shared" si="224"/>
        <v>-7128.896457825309</v>
      </c>
      <c r="W684" s="37">
        <f t="shared" si="225"/>
        <v>-19524.135262330125</v>
      </c>
      <c r="Y684" s="37">
        <f t="shared" si="227"/>
        <v>-6849.169443770018</v>
      </c>
      <c r="Z684" s="37">
        <f t="shared" si="228"/>
        <v>-105556.04353028977</v>
      </c>
      <c r="AA684" s="37">
        <f t="shared" si="229"/>
        <v>984.35823111719583</v>
      </c>
      <c r="AB684" s="37">
        <f t="shared" si="230"/>
        <v>-4035.4164286394985</v>
      </c>
      <c r="AC684" s="37">
        <f t="shared" si="231"/>
        <v>8.6476499605174002</v>
      </c>
      <c r="AD684" s="37">
        <f t="shared" si="232"/>
        <v>113.095524769477</v>
      </c>
      <c r="AE684" s="39">
        <f t="shared" si="233"/>
        <v>8.861334507251506</v>
      </c>
      <c r="AF684" s="39">
        <f t="shared" si="234"/>
        <v>37.313162401034553</v>
      </c>
      <c r="AG684" s="39">
        <f t="shared" si="235"/>
        <v>-1.4932388439240156</v>
      </c>
      <c r="AH684" s="39">
        <f t="shared" si="236"/>
        <v>13.121055138822328</v>
      </c>
      <c r="AI684" s="39">
        <f t="shared" si="237"/>
        <v>1.2795542971899101</v>
      </c>
      <c r="AJ684" s="39">
        <f t="shared" si="238"/>
        <v>62.661307229620114</v>
      </c>
      <c r="AK684" s="37">
        <f t="shared" si="239"/>
        <v>116200.45988955056</v>
      </c>
      <c r="AL684" s="37">
        <f t="shared" si="240"/>
        <v>116301.94985765671</v>
      </c>
      <c r="AM684" s="37">
        <f t="shared" si="241"/>
        <v>90574.921736049597</v>
      </c>
    </row>
    <row r="685" spans="12:39">
      <c r="L685">
        <v>681</v>
      </c>
      <c r="M685" s="37">
        <f t="shared" si="226"/>
        <v>4.2788491941893101</v>
      </c>
      <c r="N685" s="37">
        <f t="shared" si="220"/>
        <v>17899.571357941022</v>
      </c>
      <c r="O685" s="37">
        <f t="shared" si="221"/>
        <v>2962.5778772943904</v>
      </c>
      <c r="R685" s="37">
        <f t="shared" si="222"/>
        <v>-21470.300049441285</v>
      </c>
      <c r="S685" s="37">
        <f t="shared" si="223"/>
        <v>6823.8045141060738</v>
      </c>
      <c r="V685" s="37">
        <f t="shared" si="224"/>
        <v>-7100.4286420589779</v>
      </c>
      <c r="W685" s="37">
        <f t="shared" si="225"/>
        <v>-19537.422122705611</v>
      </c>
      <c r="Y685" s="37">
        <f t="shared" si="227"/>
        <v>-6355.9093719663551</v>
      </c>
      <c r="Z685" s="37">
        <f t="shared" si="228"/>
        <v>-107559.61480401333</v>
      </c>
      <c r="AA685" s="37">
        <f t="shared" si="229"/>
        <v>988.68205609745451</v>
      </c>
      <c r="AB685" s="37">
        <f t="shared" si="230"/>
        <v>-3978.8686662547598</v>
      </c>
      <c r="AC685" s="37">
        <f t="shared" si="231"/>
        <v>7.7101217557106008</v>
      </c>
      <c r="AD685" s="37">
        <f t="shared" si="232"/>
        <v>108.95185874330068</v>
      </c>
      <c r="AE685" s="39">
        <f t="shared" si="233"/>
        <v>8.3010808293916707</v>
      </c>
      <c r="AF685" s="39">
        <f t="shared" si="234"/>
        <v>36.239279366421869</v>
      </c>
      <c r="AG685" s="39">
        <f t="shared" si="235"/>
        <v>-1.4705215719223901</v>
      </c>
      <c r="AH685" s="39">
        <f t="shared" si="236"/>
        <v>12.670243423991574</v>
      </c>
      <c r="AI685" s="39">
        <f t="shared" si="237"/>
        <v>0.87956249824131993</v>
      </c>
      <c r="AJ685" s="39">
        <f t="shared" si="238"/>
        <v>60.042335952887228</v>
      </c>
      <c r="AK685" s="37">
        <f t="shared" si="239"/>
        <v>118039.60741069596</v>
      </c>
      <c r="AL685" s="37">
        <f t="shared" si="240"/>
        <v>118348.73992541697</v>
      </c>
      <c r="AM685" s="37">
        <f t="shared" si="241"/>
        <v>92569.545655643728</v>
      </c>
    </row>
    <row r="686" spans="12:39">
      <c r="L686">
        <v>682</v>
      </c>
      <c r="M686" s="37">
        <f t="shared" si="226"/>
        <v>4.2851323794964893</v>
      </c>
      <c r="N686" s="37">
        <f t="shared" si="220"/>
        <v>17928.122095033632</v>
      </c>
      <c r="O686" s="37">
        <f t="shared" si="221"/>
        <v>2949.4701465749986</v>
      </c>
      <c r="R686" s="37">
        <f t="shared" si="222"/>
        <v>-21450.314533476459</v>
      </c>
      <c r="S686" s="37">
        <f t="shared" si="223"/>
        <v>6814.6291026024992</v>
      </c>
      <c r="V686" s="37">
        <f t="shared" si="224"/>
        <v>-7071.877904966369</v>
      </c>
      <c r="W686" s="37">
        <f t="shared" si="225"/>
        <v>-19550.529853425003</v>
      </c>
      <c r="Y686" s="37">
        <f t="shared" si="227"/>
        <v>-5860.604578698164</v>
      </c>
      <c r="Z686" s="37">
        <f t="shared" si="228"/>
        <v>-109535.4301547978</v>
      </c>
      <c r="AA686" s="37">
        <f t="shared" si="229"/>
        <v>992.5371169753098</v>
      </c>
      <c r="AB686" s="37">
        <f t="shared" si="230"/>
        <v>-3924.3927368831096</v>
      </c>
      <c r="AC686" s="37">
        <f t="shared" si="231"/>
        <v>6.85811897175242</v>
      </c>
      <c r="AD686" s="37">
        <f t="shared" si="232"/>
        <v>105.07885473510353</v>
      </c>
      <c r="AE686" s="39">
        <f t="shared" si="233"/>
        <v>7.7823682614222793</v>
      </c>
      <c r="AF686" s="39">
        <f t="shared" si="234"/>
        <v>35.220089860113127</v>
      </c>
      <c r="AG686" s="39">
        <f t="shared" si="235"/>
        <v>-1.4487139670796625</v>
      </c>
      <c r="AH686" s="39">
        <f t="shared" si="236"/>
        <v>12.247528417320884</v>
      </c>
      <c r="AI686" s="39">
        <f t="shared" si="237"/>
        <v>0.52446467740980296</v>
      </c>
      <c r="AJ686" s="39">
        <f t="shared" si="238"/>
        <v>57.611236457669527</v>
      </c>
      <c r="AK686" s="37">
        <f t="shared" si="239"/>
        <v>119858.5115070863</v>
      </c>
      <c r="AL686" s="37">
        <f t="shared" si="240"/>
        <v>120368.7732145363</v>
      </c>
      <c r="AM686" s="37">
        <f t="shared" si="241"/>
        <v>94539.347336405539</v>
      </c>
    </row>
    <row r="687" spans="12:39">
      <c r="L687">
        <v>683</v>
      </c>
      <c r="M687" s="37">
        <f t="shared" si="226"/>
        <v>4.2914155648036685</v>
      </c>
      <c r="N687" s="37">
        <f t="shared" si="220"/>
        <v>17956.754626318303</v>
      </c>
      <c r="O687" s="37">
        <f t="shared" si="221"/>
        <v>2936.5420629824639</v>
      </c>
      <c r="R687" s="37">
        <f t="shared" si="222"/>
        <v>-21430.271761577187</v>
      </c>
      <c r="S687" s="37">
        <f t="shared" si="223"/>
        <v>6805.5794440877244</v>
      </c>
      <c r="V687" s="37">
        <f t="shared" si="224"/>
        <v>-7043.2453736816951</v>
      </c>
      <c r="W687" s="37">
        <f t="shared" si="225"/>
        <v>-19563.457937017534</v>
      </c>
      <c r="Y687" s="37">
        <f t="shared" si="227"/>
        <v>-5363.4787553390397</v>
      </c>
      <c r="Z687" s="37">
        <f t="shared" si="228"/>
        <v>-111484.49166639746</v>
      </c>
      <c r="AA687" s="37">
        <f t="shared" si="229"/>
        <v>995.96617646118602</v>
      </c>
      <c r="AB687" s="37">
        <f t="shared" si="230"/>
        <v>-3871.8533095155576</v>
      </c>
      <c r="AC687" s="37">
        <f t="shared" si="231"/>
        <v>6.0820819719644845</v>
      </c>
      <c r="AD687" s="37">
        <f t="shared" si="232"/>
        <v>101.45172081841449</v>
      </c>
      <c r="AE687" s="39">
        <f t="shared" si="233"/>
        <v>7.3013158759652512</v>
      </c>
      <c r="AF687" s="39">
        <f t="shared" si="234"/>
        <v>34.251743082153169</v>
      </c>
      <c r="AG687" s="39">
        <f t="shared" si="235"/>
        <v>-1.4277480397113143</v>
      </c>
      <c r="AH687" s="39">
        <f t="shared" si="236"/>
        <v>11.850441913941431</v>
      </c>
      <c r="AI687" s="39">
        <f t="shared" si="237"/>
        <v>0.20851413571054786</v>
      </c>
      <c r="AJ687" s="39">
        <f t="shared" si="238"/>
        <v>55.349535822319886</v>
      </c>
      <c r="AK687" s="37">
        <f t="shared" si="239"/>
        <v>121657.77949512123</v>
      </c>
      <c r="AL687" s="37">
        <f t="shared" si="240"/>
        <v>122363.02329375655</v>
      </c>
      <c r="AM687" s="37">
        <f t="shared" si="241"/>
        <v>96485.176317031743</v>
      </c>
    </row>
    <row r="688" spans="12:39">
      <c r="L688">
        <v>684</v>
      </c>
      <c r="M688" s="37">
        <f t="shared" si="226"/>
        <v>4.2976987501108477</v>
      </c>
      <c r="N688" s="37">
        <f t="shared" si="220"/>
        <v>17985.467821431736</v>
      </c>
      <c r="O688" s="37">
        <f t="shared" si="221"/>
        <v>2923.7941368953916</v>
      </c>
      <c r="R688" s="37">
        <f t="shared" si="222"/>
        <v>-21410.172524997786</v>
      </c>
      <c r="S688" s="37">
        <f t="shared" si="223"/>
        <v>6796.6558958267742</v>
      </c>
      <c r="V688" s="37">
        <f t="shared" si="224"/>
        <v>-7014.5321785682654</v>
      </c>
      <c r="W688" s="37">
        <f t="shared" si="225"/>
        <v>-19576.205863104609</v>
      </c>
      <c r="Y688" s="37">
        <f t="shared" si="227"/>
        <v>-4864.7354068619507</v>
      </c>
      <c r="Z688" s="37">
        <f t="shared" si="228"/>
        <v>-113407.73685605293</v>
      </c>
      <c r="AA688" s="37">
        <f t="shared" si="229"/>
        <v>999.00721744716827</v>
      </c>
      <c r="AB688" s="37">
        <f t="shared" si="230"/>
        <v>-3821.1274491063505</v>
      </c>
      <c r="AC688" s="37">
        <f t="shared" si="231"/>
        <v>5.3737352272781589</v>
      </c>
      <c r="AD688" s="37">
        <f t="shared" si="232"/>
        <v>98.048554759784096</v>
      </c>
      <c r="AE688" s="39">
        <f t="shared" si="233"/>
        <v>6.8544807453941425</v>
      </c>
      <c r="AF688" s="39">
        <f t="shared" si="234"/>
        <v>33.330728869139016</v>
      </c>
      <c r="AG688" s="39">
        <f t="shared" si="235"/>
        <v>-1.4075640084973626</v>
      </c>
      <c r="AH688" s="39">
        <f t="shared" si="236"/>
        <v>11.476792341472956</v>
      </c>
      <c r="AI688" s="39">
        <f t="shared" si="237"/>
        <v>-7.318150961862141E-2</v>
      </c>
      <c r="AJ688" s="39">
        <f t="shared" si="238"/>
        <v>53.241033549172123</v>
      </c>
      <c r="AK688" s="37">
        <f t="shared" si="239"/>
        <v>123437.98401831502</v>
      </c>
      <c r="AL688" s="37">
        <f t="shared" si="240"/>
        <v>124332.40024320733</v>
      </c>
      <c r="AM688" s="37">
        <f t="shared" si="241"/>
        <v>98407.829818771599</v>
      </c>
    </row>
    <row r="689" spans="12:39">
      <c r="L689">
        <v>685</v>
      </c>
      <c r="M689" s="37">
        <f t="shared" si="226"/>
        <v>4.3039819354180269</v>
      </c>
      <c r="N689" s="37">
        <f t="shared" si="220"/>
        <v>18014.260546826143</v>
      </c>
      <c r="O689" s="37">
        <f t="shared" si="221"/>
        <v>2911.2268715800747</v>
      </c>
      <c r="R689" s="37">
        <f t="shared" si="222"/>
        <v>-21390.0176172217</v>
      </c>
      <c r="S689" s="37">
        <f t="shared" si="223"/>
        <v>6787.8588101060523</v>
      </c>
      <c r="V689" s="37">
        <f t="shared" si="224"/>
        <v>-6985.7394531738564</v>
      </c>
      <c r="W689" s="37">
        <f t="shared" si="225"/>
        <v>-19588.773128419925</v>
      </c>
      <c r="Y689" s="37">
        <f t="shared" si="227"/>
        <v>-4364.5600812349567</v>
      </c>
      <c r="Z689" s="37">
        <f t="shared" si="228"/>
        <v>-115306.04451126112</v>
      </c>
      <c r="AA689" s="37">
        <f t="shared" si="229"/>
        <v>1001.6940850608073</v>
      </c>
      <c r="AB689" s="37">
        <f t="shared" si="230"/>
        <v>-3772.1031717264586</v>
      </c>
      <c r="AC689" s="37">
        <f t="shared" si="231"/>
        <v>4.7258858763883271</v>
      </c>
      <c r="AD689" s="37">
        <f t="shared" si="232"/>
        <v>94.849938908637171</v>
      </c>
      <c r="AE689" s="39">
        <f t="shared" si="233"/>
        <v>6.438800172843802</v>
      </c>
      <c r="AF689" s="39">
        <f t="shared" si="234"/>
        <v>32.453841891213521</v>
      </c>
      <c r="AG689" s="39">
        <f t="shared" si="235"/>
        <v>-1.3881089604104824</v>
      </c>
      <c r="AH689" s="39">
        <f t="shared" si="236"/>
        <v>11.124627390299532</v>
      </c>
      <c r="AI689" s="39">
        <f t="shared" si="237"/>
        <v>-0.32480533604499251</v>
      </c>
      <c r="AJ689" s="39">
        <f t="shared" si="238"/>
        <v>51.271469627124127</v>
      </c>
      <c r="AK689" s="37">
        <f t="shared" si="239"/>
        <v>125199.66595983376</v>
      </c>
      <c r="AL689" s="37">
        <f t="shared" si="240"/>
        <v>126277.75644392589</v>
      </c>
      <c r="AM689" s="37">
        <f t="shared" si="241"/>
        <v>100308.05725057911</v>
      </c>
    </row>
    <row r="690" spans="12:39">
      <c r="L690">
        <v>686</v>
      </c>
      <c r="M690" s="37">
        <f t="shared" si="226"/>
        <v>4.3102651207252061</v>
      </c>
      <c r="N690" s="37">
        <f t="shared" si="220"/>
        <v>18043.131665814031</v>
      </c>
      <c r="O690" s="37">
        <f t="shared" si="221"/>
        <v>2898.8407631706295</v>
      </c>
      <c r="R690" s="37">
        <f t="shared" si="222"/>
        <v>-21369.807833930176</v>
      </c>
      <c r="S690" s="37">
        <f t="shared" si="223"/>
        <v>6779.18853421944</v>
      </c>
      <c r="V690" s="37">
        <f t="shared" si="224"/>
        <v>-6956.8683341859669</v>
      </c>
      <c r="W690" s="37">
        <f t="shared" si="225"/>
        <v>-19601.159236829371</v>
      </c>
      <c r="Y690" s="37">
        <f t="shared" si="227"/>
        <v>-3863.1223029700045</v>
      </c>
      <c r="Z690" s="37">
        <f t="shared" si="228"/>
        <v>-117180.23985476077</v>
      </c>
      <c r="AA690" s="37">
        <f t="shared" si="229"/>
        <v>1004.0570279990014</v>
      </c>
      <c r="AB690" s="37">
        <f t="shared" si="230"/>
        <v>-3724.67820227214</v>
      </c>
      <c r="AC690" s="37">
        <f t="shared" si="231"/>
        <v>4.1322583048704118</v>
      </c>
      <c r="AD690" s="37">
        <f t="shared" si="232"/>
        <v>91.838600925138536</v>
      </c>
      <c r="AE690" s="39">
        <f t="shared" si="233"/>
        <v>6.0515426106622119</v>
      </c>
      <c r="AF690" s="39">
        <f t="shared" si="234"/>
        <v>31.618150156937499</v>
      </c>
      <c r="AG690" s="39">
        <f t="shared" si="235"/>
        <v>-1.369335772411147</v>
      </c>
      <c r="AH690" s="39">
        <f t="shared" si="236"/>
        <v>10.792202509473483</v>
      </c>
      <c r="AI690" s="39">
        <f t="shared" si="237"/>
        <v>-0.5499485333806533</v>
      </c>
      <c r="AJ690" s="39">
        <f t="shared" si="238"/>
        <v>49.42824825872755</v>
      </c>
      <c r="AK690" s="37">
        <f t="shared" si="239"/>
        <v>126943.33702990158</v>
      </c>
      <c r="AL690" s="37">
        <f t="shared" si="240"/>
        <v>128199.89169778337</v>
      </c>
      <c r="AM690" s="37">
        <f t="shared" si="241"/>
        <v>102186.56422286859</v>
      </c>
    </row>
    <row r="691" spans="12:39">
      <c r="L691">
        <v>687</v>
      </c>
      <c r="M691" s="37">
        <f t="shared" si="226"/>
        <v>4.3165483060323853</v>
      </c>
      <c r="N691" s="37">
        <f t="shared" si="220"/>
        <v>18072.080038613061</v>
      </c>
      <c r="O691" s="37">
        <f t="shared" si="221"/>
        <v>2886.6363006494075</v>
      </c>
      <c r="R691" s="37">
        <f t="shared" si="222"/>
        <v>-21349.54397297086</v>
      </c>
      <c r="S691" s="37">
        <f t="shared" si="223"/>
        <v>6770.6454104545855</v>
      </c>
      <c r="V691" s="37">
        <f t="shared" si="224"/>
        <v>-6927.9199613869396</v>
      </c>
      <c r="W691" s="37">
        <f t="shared" si="225"/>
        <v>-19613.363699350593</v>
      </c>
      <c r="Y691" s="37">
        <f t="shared" si="227"/>
        <v>-3360.5772566823948</v>
      </c>
      <c r="Z691" s="37">
        <f t="shared" si="228"/>
        <v>-119031.09913078119</v>
      </c>
      <c r="AA691" s="37">
        <f t="shared" si="229"/>
        <v>1006.1231571514367</v>
      </c>
      <c r="AB691" s="37">
        <f t="shared" si="230"/>
        <v>-3678.7589018095705</v>
      </c>
      <c r="AC691" s="37">
        <f t="shared" si="231"/>
        <v>3.5873575430418834</v>
      </c>
      <c r="AD691" s="37">
        <f t="shared" si="232"/>
        <v>88.999128259690124</v>
      </c>
      <c r="AE691" s="39">
        <f t="shared" si="233"/>
        <v>5.6902658041302043</v>
      </c>
      <c r="AF691" s="39">
        <f t="shared" si="234"/>
        <v>30.820967248869479</v>
      </c>
      <c r="AG691" s="39">
        <f t="shared" si="235"/>
        <v>-1.3512022374259489</v>
      </c>
      <c r="AH691" s="39">
        <f t="shared" si="236"/>
        <v>10.47795422548891</v>
      </c>
      <c r="AI691" s="39">
        <f t="shared" si="237"/>
        <v>-0.75170602366237227</v>
      </c>
      <c r="AJ691" s="39">
        <f t="shared" si="238"/>
        <v>47.700206785331737</v>
      </c>
      <c r="AK691" s="37">
        <f t="shared" si="239"/>
        <v>128669.48207329119</v>
      </c>
      <c r="AL691" s="37">
        <f t="shared" si="240"/>
        <v>130099.55777068698</v>
      </c>
      <c r="AM691" s="37">
        <f t="shared" si="241"/>
        <v>104044.01613398884</v>
      </c>
    </row>
    <row r="692" spans="12:39">
      <c r="L692">
        <v>688</v>
      </c>
      <c r="M692" s="37">
        <f t="shared" si="226"/>
        <v>4.3228314913395645</v>
      </c>
      <c r="N692" s="37">
        <f t="shared" si="220"/>
        <v>18101.104522391037</v>
      </c>
      <c r="O692" s="37">
        <f t="shared" si="221"/>
        <v>2874.6139658276925</v>
      </c>
      <c r="R692" s="37">
        <f t="shared" si="222"/>
        <v>-21329.226834326277</v>
      </c>
      <c r="S692" s="37">
        <f t="shared" si="223"/>
        <v>6762.2297760793845</v>
      </c>
      <c r="V692" s="37">
        <f t="shared" si="224"/>
        <v>-6898.895477608964</v>
      </c>
      <c r="W692" s="37">
        <f t="shared" si="225"/>
        <v>-19625.386034172308</v>
      </c>
      <c r="Y692" s="37">
        <f t="shared" si="227"/>
        <v>-2857.0672584137965</v>
      </c>
      <c r="Z692" s="37">
        <f t="shared" si="228"/>
        <v>-120859.35369065352</v>
      </c>
      <c r="AA692" s="37">
        <f t="shared" si="229"/>
        <v>1007.9168359229576</v>
      </c>
      <c r="AB692" s="37">
        <f t="shared" si="230"/>
        <v>-3634.2593376797254</v>
      </c>
      <c r="AC692" s="37">
        <f t="shared" si="231"/>
        <v>3.0863558668114948</v>
      </c>
      <c r="AD692" s="37">
        <f t="shared" si="232"/>
        <v>86.317726756332746</v>
      </c>
      <c r="AE692" s="39">
        <f t="shared" si="233"/>
        <v>5.3527809697824971</v>
      </c>
      <c r="AF692" s="39">
        <f t="shared" si="234"/>
        <v>30.059827796848854</v>
      </c>
      <c r="AG692" s="39">
        <f t="shared" si="235"/>
        <v>-1.3336703508961172</v>
      </c>
      <c r="AH692" s="39">
        <f t="shared" si="236"/>
        <v>10.180477447203977</v>
      </c>
      <c r="AI692" s="39">
        <f t="shared" si="237"/>
        <v>-0.93275475207488501</v>
      </c>
      <c r="AJ692" s="39">
        <f t="shared" si="238"/>
        <v>46.077421512279905</v>
      </c>
      <c r="AK692" s="37">
        <f t="shared" si="239"/>
        <v>130378.56113463569</v>
      </c>
      <c r="AL692" s="37">
        <f t="shared" si="240"/>
        <v>131977.46243703167</v>
      </c>
      <c r="AM692" s="37">
        <f t="shared" si="241"/>
        <v>105881.04138389384</v>
      </c>
    </row>
    <row r="693" spans="12:39">
      <c r="L693">
        <v>689</v>
      </c>
      <c r="M693" s="37">
        <f t="shared" si="226"/>
        <v>4.3291146766467437</v>
      </c>
      <c r="N693" s="37">
        <f t="shared" si="220"/>
        <v>18130.203971311039</v>
      </c>
      <c r="O693" s="37">
        <f t="shared" si="221"/>
        <v>2862.7742333266779</v>
      </c>
      <c r="R693" s="37">
        <f t="shared" si="222"/>
        <v>-21308.857220082275</v>
      </c>
      <c r="S693" s="37">
        <f t="shared" si="223"/>
        <v>6753.9419633286743</v>
      </c>
      <c r="V693" s="37">
        <f t="shared" si="224"/>
        <v>-6869.7960286889629</v>
      </c>
      <c r="W693" s="37">
        <f t="shared" si="225"/>
        <v>-19637.22576667332</v>
      </c>
      <c r="Y693" s="37">
        <f t="shared" si="227"/>
        <v>-2352.7230459689663</v>
      </c>
      <c r="Z693" s="37">
        <f t="shared" si="228"/>
        <v>-122665.69364364883</v>
      </c>
      <c r="AA693" s="37">
        <f t="shared" si="229"/>
        <v>1009.4600138563634</v>
      </c>
      <c r="AB693" s="37">
        <f t="shared" si="230"/>
        <v>-3591.1004743015592</v>
      </c>
      <c r="AC693" s="37">
        <f t="shared" si="231"/>
        <v>2.6249981911334883</v>
      </c>
      <c r="AD693" s="37">
        <f t="shared" si="232"/>
        <v>83.782015664846995</v>
      </c>
      <c r="AE693" s="39">
        <f t="shared" si="233"/>
        <v>5.0371220341796894</v>
      </c>
      <c r="AF693" s="39">
        <f t="shared" si="234"/>
        <v>29.332465767071131</v>
      </c>
      <c r="AG693" s="39">
        <f t="shared" si="235"/>
        <v>-1.3167057244127041</v>
      </c>
      <c r="AH693" s="39">
        <f t="shared" si="236"/>
        <v>9.8985060816350661</v>
      </c>
      <c r="AI693" s="39">
        <f t="shared" si="237"/>
        <v>-1.0954181186334975</v>
      </c>
      <c r="AJ693" s="39">
        <f t="shared" si="238"/>
        <v>44.55104381614079</v>
      </c>
      <c r="AK693" s="37">
        <f t="shared" si="239"/>
        <v>132071.01131324025</v>
      </c>
      <c r="AL693" s="37">
        <f t="shared" si="240"/>
        <v>133834.27309117329</v>
      </c>
      <c r="AM693" s="37">
        <f t="shared" si="241"/>
        <v>107698.23426147427</v>
      </c>
    </row>
    <row r="694" spans="12:39">
      <c r="L694">
        <v>690</v>
      </c>
      <c r="M694" s="37">
        <f t="shared" si="226"/>
        <v>4.3353978619539228</v>
      </c>
      <c r="N694" s="37">
        <f t="shared" si="220"/>
        <v>18159.377236576649</v>
      </c>
      <c r="O694" s="37">
        <f t="shared" si="221"/>
        <v>2851.1175705587275</v>
      </c>
      <c r="R694" s="37">
        <f t="shared" si="222"/>
        <v>-21288.435934396348</v>
      </c>
      <c r="S694" s="37">
        <f t="shared" si="223"/>
        <v>6745.7822993911095</v>
      </c>
      <c r="V694" s="37">
        <f t="shared" si="224"/>
        <v>-6840.6227634233519</v>
      </c>
      <c r="W694" s="37">
        <f t="shared" si="225"/>
        <v>-19648.882429441273</v>
      </c>
      <c r="Y694" s="37">
        <f t="shared" si="227"/>
        <v>-1847.664914266893</v>
      </c>
      <c r="Z694" s="37">
        <f t="shared" si="228"/>
        <v>-124450.7711288415</v>
      </c>
      <c r="AA694" s="37">
        <f t="shared" si="229"/>
        <v>1010.7725129519301</v>
      </c>
      <c r="AB694" s="37">
        <f t="shared" si="230"/>
        <v>-3549.2094664691358</v>
      </c>
      <c r="AC694" s="37">
        <f t="shared" si="231"/>
        <v>2.1995227695861121</v>
      </c>
      <c r="AD694" s="37">
        <f t="shared" si="232"/>
        <v>81.38085284369599</v>
      </c>
      <c r="AE694" s="39">
        <f t="shared" si="233"/>
        <v>4.7415191325415185</v>
      </c>
      <c r="AF694" s="39">
        <f t="shared" si="234"/>
        <v>28.636795205168628</v>
      </c>
      <c r="AG694" s="39">
        <f t="shared" si="235"/>
        <v>-1.3002771006100187</v>
      </c>
      <c r="AH694" s="39">
        <f t="shared" si="236"/>
        <v>9.6308964126380747</v>
      </c>
      <c r="AI694" s="39">
        <f t="shared" si="237"/>
        <v>-1.2417192623453881</v>
      </c>
      <c r="AJ694" s="39">
        <f t="shared" si="238"/>
        <v>43.113161225889286</v>
      </c>
      <c r="AK694" s="37">
        <f t="shared" si="239"/>
        <v>133747.24843413415</v>
      </c>
      <c r="AL694" s="37">
        <f t="shared" si="240"/>
        <v>135670.6199816484</v>
      </c>
      <c r="AM694" s="37">
        <f t="shared" si="241"/>
        <v>109496.15754532571</v>
      </c>
    </row>
    <row r="695" spans="12:39">
      <c r="L695">
        <v>691</v>
      </c>
      <c r="M695" s="37">
        <f t="shared" si="226"/>
        <v>4.341681047261102</v>
      </c>
      <c r="N695" s="37">
        <f t="shared" si="220"/>
        <v>18188.623166477308</v>
      </c>
      <c r="O695" s="37">
        <f t="shared" si="221"/>
        <v>2839.644437708931</v>
      </c>
      <c r="R695" s="37">
        <f t="shared" si="222"/>
        <v>-21267.963783465886</v>
      </c>
      <c r="S695" s="37">
        <f t="shared" si="223"/>
        <v>6737.751106396252</v>
      </c>
      <c r="V695" s="37">
        <f t="shared" si="224"/>
        <v>-6811.3768335226923</v>
      </c>
      <c r="W695" s="37">
        <f t="shared" si="225"/>
        <v>-19660.355562291068</v>
      </c>
      <c r="Y695" s="37">
        <f t="shared" si="227"/>
        <v>-1342.0037174447295</v>
      </c>
      <c r="Z695" s="37">
        <f t="shared" si="228"/>
        <v>-126215.20325547059</v>
      </c>
      <c r="AA695" s="37">
        <f t="shared" si="229"/>
        <v>1011.8722743367232</v>
      </c>
      <c r="AB695" s="37">
        <f t="shared" si="230"/>
        <v>-3508.5190400472879</v>
      </c>
      <c r="AC695" s="37">
        <f t="shared" si="231"/>
        <v>1.8065944268110299</v>
      </c>
      <c r="AD695" s="37">
        <f t="shared" si="232"/>
        <v>79.104185115450605</v>
      </c>
      <c r="AE695" s="39">
        <f t="shared" si="233"/>
        <v>4.4643757064691059</v>
      </c>
      <c r="AF695" s="39">
        <f t="shared" si="234"/>
        <v>27.970893122437097</v>
      </c>
      <c r="AG695" s="39">
        <f t="shared" si="235"/>
        <v>-1.2843559492595702</v>
      </c>
      <c r="AH695" s="39">
        <f t="shared" si="236"/>
        <v>9.3766127954660234</v>
      </c>
      <c r="AI695" s="39">
        <f t="shared" si="237"/>
        <v>-1.3734253303985058</v>
      </c>
      <c r="AJ695" s="39">
        <f t="shared" si="238"/>
        <v>41.756679197547484</v>
      </c>
      <c r="AK695" s="37">
        <f t="shared" si="239"/>
        <v>135407.6685580519</v>
      </c>
      <c r="AL695" s="37">
        <f t="shared" si="240"/>
        <v>137487.09911554982</v>
      </c>
      <c r="AM695" s="37">
        <f t="shared" si="241"/>
        <v>111275.34485212268</v>
      </c>
    </row>
    <row r="696" spans="12:39">
      <c r="L696">
        <v>692</v>
      </c>
      <c r="M696" s="37">
        <f t="shared" si="226"/>
        <v>4.3479642325682812</v>
      </c>
      <c r="N696" s="37">
        <f t="shared" si="220"/>
        <v>18217.940606433782</v>
      </c>
      <c r="O696" s="37">
        <f t="shared" si="221"/>
        <v>2828.3552877169268</v>
      </c>
      <c r="R696" s="37">
        <f t="shared" si="222"/>
        <v>-21247.441575496352</v>
      </c>
      <c r="S696" s="37">
        <f t="shared" si="223"/>
        <v>6729.8487014018483</v>
      </c>
      <c r="V696" s="37">
        <f t="shared" si="224"/>
        <v>-6782.0593935662191</v>
      </c>
      <c r="W696" s="37">
        <f t="shared" si="225"/>
        <v>-19671.644712283072</v>
      </c>
      <c r="Y696" s="37">
        <f t="shared" si="227"/>
        <v>-835.84175597301657</v>
      </c>
      <c r="Z696" s="37">
        <f t="shared" si="228"/>
        <v>-127959.57475235481</v>
      </c>
      <c r="AA696" s="37">
        <f t="shared" si="229"/>
        <v>1012.7755715501287</v>
      </c>
      <c r="AB696" s="37">
        <f t="shared" si="230"/>
        <v>-3468.9669474895627</v>
      </c>
      <c r="AC696" s="37">
        <f t="shared" si="231"/>
        <v>1.4432481048589412</v>
      </c>
      <c r="AD696" s="37">
        <f t="shared" si="232"/>
        <v>76.942919670976437</v>
      </c>
      <c r="AE696" s="39">
        <f t="shared" si="233"/>
        <v>4.2042486531540124</v>
      </c>
      <c r="AF696" s="39">
        <f t="shared" si="234"/>
        <v>27.3329842575783</v>
      </c>
      <c r="AG696" s="39">
        <f t="shared" si="235"/>
        <v>-1.2689161288875783</v>
      </c>
      <c r="AH696" s="39">
        <f t="shared" si="236"/>
        <v>9.1347153007514112</v>
      </c>
      <c r="AI696" s="39">
        <f t="shared" si="237"/>
        <v>-1.4920844194074929</v>
      </c>
      <c r="AJ696" s="39">
        <f t="shared" si="238"/>
        <v>40.475220112646724</v>
      </c>
      <c r="AK696" s="37">
        <f t="shared" si="239"/>
        <v>137052.64934968879</v>
      </c>
      <c r="AL696" s="37">
        <f t="shared" si="240"/>
        <v>139284.27487355736</v>
      </c>
      <c r="AM696" s="37">
        <f t="shared" si="241"/>
        <v>113036.30276205133</v>
      </c>
    </row>
    <row r="697" spans="12:39">
      <c r="L697">
        <v>693</v>
      </c>
      <c r="M697" s="37">
        <f t="shared" si="226"/>
        <v>4.3542474178754604</v>
      </c>
      <c r="N697" s="37">
        <f t="shared" si="220"/>
        <v>18247.328399043738</v>
      </c>
      <c r="O697" s="37">
        <f t="shared" si="221"/>
        <v>2817.2505662590256</v>
      </c>
      <c r="R697" s="37">
        <f t="shared" si="222"/>
        <v>-21226.870120669384</v>
      </c>
      <c r="S697" s="37">
        <f t="shared" si="223"/>
        <v>6722.0753963813186</v>
      </c>
      <c r="V697" s="37">
        <f t="shared" si="224"/>
        <v>-6752.6716009562624</v>
      </c>
      <c r="W697" s="37">
        <f t="shared" si="225"/>
        <v>-19682.749433740973</v>
      </c>
      <c r="Y697" s="37">
        <f t="shared" si="227"/>
        <v>-329.27356418484487</v>
      </c>
      <c r="Z697" s="37">
        <f t="shared" si="228"/>
        <v>-129684.44036114072</v>
      </c>
      <c r="AA697" s="37">
        <f t="shared" si="229"/>
        <v>1013.4971956025581</v>
      </c>
      <c r="AB697" s="37">
        <f t="shared" si="230"/>
        <v>-3430.4954876540746</v>
      </c>
      <c r="AC697" s="37">
        <f t="shared" si="231"/>
        <v>1.1068409380591586</v>
      </c>
      <c r="AD697" s="37">
        <f t="shared" si="232"/>
        <v>74.888813163361704</v>
      </c>
      <c r="AE697" s="39">
        <f t="shared" si="233"/>
        <v>3.9598310704809556</v>
      </c>
      <c r="AF697" s="39">
        <f t="shared" si="234"/>
        <v>26.721427483056679</v>
      </c>
      <c r="AG697" s="39">
        <f t="shared" si="235"/>
        <v>-1.2539336015864331</v>
      </c>
      <c r="AH697" s="39">
        <f t="shared" si="236"/>
        <v>8.9043490060804178</v>
      </c>
      <c r="AI697" s="39">
        <f t="shared" si="237"/>
        <v>-1.5990565308353639</v>
      </c>
      <c r="AJ697" s="39">
        <f t="shared" si="238"/>
        <v>39.263036674224615</v>
      </c>
      <c r="AK697" s="37">
        <f t="shared" si="239"/>
        <v>138682.55132080184</v>
      </c>
      <c r="AL697" s="37">
        <f t="shared" si="240"/>
        <v>141062.68237034822</v>
      </c>
      <c r="AM697" s="37">
        <f t="shared" si="241"/>
        <v>114779.51274677143</v>
      </c>
    </row>
    <row r="698" spans="12:39">
      <c r="L698">
        <v>694</v>
      </c>
      <c r="M698" s="37">
        <f t="shared" si="226"/>
        <v>4.3605306031826396</v>
      </c>
      <c r="N698" s="37">
        <f t="shared" si="220"/>
        <v>18276.785384127445</v>
      </c>
      <c r="O698" s="37">
        <f t="shared" si="221"/>
        <v>2806.3307117306176</v>
      </c>
      <c r="R698" s="37">
        <f t="shared" si="222"/>
        <v>-21206.250231110789</v>
      </c>
      <c r="S698" s="37">
        <f t="shared" si="223"/>
        <v>6714.431498211432</v>
      </c>
      <c r="V698" s="37">
        <f t="shared" si="224"/>
        <v>-6723.2146158725545</v>
      </c>
      <c r="W698" s="37">
        <f t="shared" si="225"/>
        <v>-19693.669288269382</v>
      </c>
      <c r="Y698" s="37">
        <f t="shared" si="227"/>
        <v>177.61338873369158</v>
      </c>
      <c r="Z698" s="37">
        <f t="shared" si="228"/>
        <v>-131390.32700332234</v>
      </c>
      <c r="AA698" s="37">
        <f t="shared" si="229"/>
        <v>1014.0506160715877</v>
      </c>
      <c r="AB698" s="37">
        <f t="shared" si="230"/>
        <v>-3393.0510810723936</v>
      </c>
      <c r="AC698" s="37">
        <f t="shared" si="231"/>
        <v>0.79501141224292149</v>
      </c>
      <c r="AD698" s="37">
        <f t="shared" si="232"/>
        <v>72.934375729186442</v>
      </c>
      <c r="AE698" s="39">
        <f t="shared" si="233"/>
        <v>3.7299372175645891</v>
      </c>
      <c r="AF698" s="39">
        <f t="shared" si="234"/>
        <v>26.134703656469213</v>
      </c>
      <c r="AG698" s="39">
        <f t="shared" si="235"/>
        <v>-1.239386191264813</v>
      </c>
      <c r="AH698" s="39">
        <f t="shared" si="236"/>
        <v>8.684734685430092</v>
      </c>
      <c r="AI698" s="39">
        <f t="shared" si="237"/>
        <v>-1.6955396140568546</v>
      </c>
      <c r="AJ698" s="39">
        <f t="shared" si="238"/>
        <v>38.114937387287135</v>
      </c>
      <c r="AK698" s="37">
        <f t="shared" si="239"/>
        <v>140297.71896241335</v>
      </c>
      <c r="AL698" s="37">
        <f t="shared" si="240"/>
        <v>142822.82959027114</v>
      </c>
      <c r="AM698" s="37">
        <f t="shared" si="241"/>
        <v>116505.43292200369</v>
      </c>
    </row>
    <row r="699" spans="12:39">
      <c r="L699">
        <v>695</v>
      </c>
      <c r="M699" s="37">
        <f t="shared" si="226"/>
        <v>4.3668137884898188</v>
      </c>
      <c r="N699" s="37">
        <f t="shared" si="220"/>
        <v>18306.310398773574</v>
      </c>
      <c r="O699" s="37">
        <f t="shared" si="221"/>
        <v>2795.5961552288618</v>
      </c>
      <c r="R699" s="37">
        <f t="shared" si="222"/>
        <v>-21185.5827208585</v>
      </c>
      <c r="S699" s="37">
        <f t="shared" si="223"/>
        <v>6706.9173086602041</v>
      </c>
      <c r="V699" s="37">
        <f t="shared" si="224"/>
        <v>-6693.6896012264278</v>
      </c>
      <c r="W699" s="37">
        <f t="shared" si="225"/>
        <v>-19704.403844771139</v>
      </c>
      <c r="Y699" s="37">
        <f t="shared" si="227"/>
        <v>684.73807319601588</v>
      </c>
      <c r="Z699" s="37">
        <f t="shared" si="228"/>
        <v>-133077.73574689237</v>
      </c>
      <c r="AA699" s="37">
        <f t="shared" si="229"/>
        <v>1014.4481217777092</v>
      </c>
      <c r="AB699" s="37">
        <f t="shared" si="230"/>
        <v>-3356.5838932078004</v>
      </c>
      <c r="AC699" s="37">
        <f t="shared" si="231"/>
        <v>0.50564443423394678</v>
      </c>
      <c r="AD699" s="37">
        <f t="shared" si="232"/>
        <v>71.072787655131521</v>
      </c>
      <c r="AE699" s="39">
        <f t="shared" si="233"/>
        <v>3.5134893718621272</v>
      </c>
      <c r="AF699" s="39">
        <f t="shared" si="234"/>
        <v>25.571404744024385</v>
      </c>
      <c r="AG699" s="39">
        <f t="shared" si="235"/>
        <v>-1.2252533775727168</v>
      </c>
      <c r="AH699" s="39">
        <f t="shared" si="236"/>
        <v>8.4751606889576525</v>
      </c>
      <c r="AI699" s="39">
        <f t="shared" si="237"/>
        <v>-1.7825915600554634</v>
      </c>
      <c r="AJ699" s="39">
        <f t="shared" si="238"/>
        <v>37.026222222149492</v>
      </c>
      <c r="AK699" s="37">
        <f t="shared" si="239"/>
        <v>141898.48177843253</v>
      </c>
      <c r="AL699" s="37">
        <f t="shared" si="240"/>
        <v>144565.19932409143</v>
      </c>
      <c r="AM699" s="37">
        <f t="shared" si="241"/>
        <v>118214.49964396833</v>
      </c>
    </row>
    <row r="700" spans="12:39">
      <c r="L700">
        <v>696</v>
      </c>
      <c r="M700" s="37">
        <f t="shared" si="226"/>
        <v>4.373096973796998</v>
      </c>
      <c r="N700" s="37">
        <f t="shared" si="220"/>
        <v>18335.902277385096</v>
      </c>
      <c r="O700" s="37">
        <f t="shared" si="221"/>
        <v>2785.0473205356675</v>
      </c>
      <c r="R700" s="37">
        <f t="shared" si="222"/>
        <v>-21164.868405830435</v>
      </c>
      <c r="S700" s="37">
        <f t="shared" si="223"/>
        <v>6699.5331243749679</v>
      </c>
      <c r="V700" s="37">
        <f t="shared" si="224"/>
        <v>-6664.0977226149062</v>
      </c>
      <c r="W700" s="37">
        <f t="shared" si="225"/>
        <v>-19714.952679464332</v>
      </c>
      <c r="Y700" s="37">
        <f t="shared" si="227"/>
        <v>1192.0253396391497</v>
      </c>
      <c r="Z700" s="37">
        <f t="shared" si="228"/>
        <v>-134747.14359503938</v>
      </c>
      <c r="AA700" s="37">
        <f t="shared" si="229"/>
        <v>1014.7009439948262</v>
      </c>
      <c r="AB700" s="37">
        <f t="shared" si="230"/>
        <v>-3321.0474993802345</v>
      </c>
      <c r="AC700" s="37">
        <f t="shared" si="231"/>
        <v>0.23684135248980875</v>
      </c>
      <c r="AD700" s="37">
        <f t="shared" si="232"/>
        <v>69.297826796623369</v>
      </c>
      <c r="AE700" s="39">
        <f t="shared" si="233"/>
        <v>3.3095063147119057</v>
      </c>
      <c r="AF700" s="39">
        <f t="shared" si="234"/>
        <v>25.030224066054853</v>
      </c>
      <c r="AG700" s="39">
        <f t="shared" si="235"/>
        <v>-1.2115161192882988</v>
      </c>
      <c r="AH700" s="39">
        <f t="shared" si="236"/>
        <v>8.2749758400069133</v>
      </c>
      <c r="AI700" s="39">
        <f t="shared" si="237"/>
        <v>-1.8611488429337981</v>
      </c>
      <c r="AJ700" s="39">
        <f t="shared" si="238"/>
        <v>35.992626890561603</v>
      </c>
      <c r="AK700" s="37">
        <f t="shared" si="239"/>
        <v>143485.1552313776</v>
      </c>
      <c r="AL700" s="37">
        <f t="shared" si="240"/>
        <v>146290.25092916773</v>
      </c>
      <c r="AM700" s="37">
        <f t="shared" si="241"/>
        <v>119907.12896645351</v>
      </c>
    </row>
    <row r="701" spans="12:39">
      <c r="L701">
        <v>697</v>
      </c>
      <c r="M701" s="37">
        <f t="shared" si="226"/>
        <v>4.3793801591041772</v>
      </c>
      <c r="N701" s="37">
        <f t="shared" si="220"/>
        <v>18365.559851725313</v>
      </c>
      <c r="O701" s="37">
        <f t="shared" si="221"/>
        <v>2774.6846241009671</v>
      </c>
      <c r="R701" s="37">
        <f t="shared" si="222"/>
        <v>-21144.108103792281</v>
      </c>
      <c r="S701" s="37">
        <f t="shared" si="223"/>
        <v>6692.2792368706769</v>
      </c>
      <c r="V701" s="37">
        <f t="shared" si="224"/>
        <v>-6634.4401482746871</v>
      </c>
      <c r="W701" s="37">
        <f t="shared" si="225"/>
        <v>-19725.315375899034</v>
      </c>
      <c r="Y701" s="37">
        <f t="shared" si="227"/>
        <v>1699.4054168056239</v>
      </c>
      <c r="Z701" s="37">
        <f t="shared" si="228"/>
        <v>-136399.00511637994</v>
      </c>
      <c r="AA701" s="37">
        <f t="shared" si="229"/>
        <v>1014.8193646710711</v>
      </c>
      <c r="AB701" s="37">
        <f t="shared" si="230"/>
        <v>-3286.3985859819227</v>
      </c>
      <c r="AC701" s="37">
        <f t="shared" si="231"/>
        <v>-1.3105858217991484E-2</v>
      </c>
      <c r="AD701" s="37">
        <f t="shared" si="232"/>
        <v>67.603805171263232</v>
      </c>
      <c r="AE701" s="39">
        <f t="shared" si="233"/>
        <v>3.1170932190475265</v>
      </c>
      <c r="AF701" s="39">
        <f t="shared" si="234"/>
        <v>24.509947534046695</v>
      </c>
      <c r="AG701" s="39">
        <f t="shared" si="235"/>
        <v>-1.1981567021666395</v>
      </c>
      <c r="AH701" s="39">
        <f t="shared" si="236"/>
        <v>8.0835832043061018</v>
      </c>
      <c r="AI701" s="39">
        <f t="shared" si="237"/>
        <v>-1.9320423750988784</v>
      </c>
      <c r="AJ701" s="39">
        <f t="shared" si="238"/>
        <v>35.010274432910435</v>
      </c>
      <c r="AK701" s="37">
        <f t="shared" si="239"/>
        <v>145058.04160949637</v>
      </c>
      <c r="AL701" s="37">
        <f t="shared" si="240"/>
        <v>147998.4219324947</v>
      </c>
      <c r="AM701" s="37">
        <f t="shared" si="241"/>
        <v>121583.7179731956</v>
      </c>
    </row>
    <row r="702" spans="12:39">
      <c r="L702">
        <v>698</v>
      </c>
      <c r="M702" s="37">
        <f t="shared" si="226"/>
        <v>4.3856633444113564</v>
      </c>
      <c r="N702" s="37">
        <f t="shared" si="220"/>
        <v>18395.281950963978</v>
      </c>
      <c r="O702" s="37">
        <f t="shared" si="221"/>
        <v>2764.5084750262704</v>
      </c>
      <c r="R702" s="37">
        <f t="shared" si="222"/>
        <v>-21123.302634325217</v>
      </c>
      <c r="S702" s="37">
        <f t="shared" si="223"/>
        <v>6685.1559325183898</v>
      </c>
      <c r="V702" s="37">
        <f t="shared" si="224"/>
        <v>-6604.7180490360233</v>
      </c>
      <c r="W702" s="37">
        <f t="shared" si="225"/>
        <v>-19735.491524973731</v>
      </c>
      <c r="Y702" s="37">
        <f t="shared" si="227"/>
        <v>2206.813460908882</v>
      </c>
      <c r="Z702" s="37">
        <f t="shared" si="228"/>
        <v>-138033.75393372448</v>
      </c>
      <c r="AA702" s="37">
        <f t="shared" si="229"/>
        <v>1014.812811741962</v>
      </c>
      <c r="AB702" s="37">
        <f t="shared" si="230"/>
        <v>-3252.5966833962912</v>
      </c>
      <c r="AC702" s="37">
        <f t="shared" si="231"/>
        <v>-0.24573689687504952</v>
      </c>
      <c r="AD702" s="37">
        <f t="shared" si="232"/>
        <v>65.985513407844138</v>
      </c>
      <c r="AE702" s="39">
        <f t="shared" si="233"/>
        <v>2.9354327477836555</v>
      </c>
      <c r="AF702" s="39">
        <f t="shared" si="234"/>
        <v>24.00944576545562</v>
      </c>
      <c r="AG702" s="39">
        <f t="shared" si="235"/>
        <v>-1.1851586072058413</v>
      </c>
      <c r="AH702" s="39">
        <f t="shared" si="236"/>
        <v>7.9004346094221036</v>
      </c>
      <c r="AI702" s="39">
        <f t="shared" si="237"/>
        <v>-1.9960110374528637</v>
      </c>
      <c r="AJ702" s="39">
        <f t="shared" si="238"/>
        <v>34.075633032966422</v>
      </c>
      <c r="AK702" s="37">
        <f t="shared" si="239"/>
        <v>146617.43082340775</v>
      </c>
      <c r="AL702" s="37">
        <f t="shared" si="240"/>
        <v>149690.12949355776</v>
      </c>
      <c r="AM702" s="37">
        <f t="shared" si="241"/>
        <v>123244.64599845545</v>
      </c>
    </row>
    <row r="703" spans="12:39">
      <c r="L703">
        <v>699</v>
      </c>
      <c r="M703" s="37">
        <f t="shared" si="226"/>
        <v>4.3919465297185356</v>
      </c>
      <c r="N703" s="37">
        <f t="shared" si="220"/>
        <v>18425.0674017235</v>
      </c>
      <c r="O703" s="37">
        <f t="shared" si="221"/>
        <v>2754.5192750485194</v>
      </c>
      <c r="R703" s="37">
        <f t="shared" si="222"/>
        <v>-21102.45281879355</v>
      </c>
      <c r="S703" s="37">
        <f t="shared" si="223"/>
        <v>6678.163492533964</v>
      </c>
      <c r="V703" s="37">
        <f t="shared" si="224"/>
        <v>-6574.9325982765022</v>
      </c>
      <c r="W703" s="37">
        <f t="shared" si="225"/>
        <v>-19745.480724951482</v>
      </c>
      <c r="Y703" s="37">
        <f t="shared" si="227"/>
        <v>2714.1891496677536</v>
      </c>
      <c r="Z703" s="37">
        <f t="shared" si="228"/>
        <v>-139651.80408624667</v>
      </c>
      <c r="AA703" s="37">
        <f t="shared" si="229"/>
        <v>1014.6899432935245</v>
      </c>
      <c r="AB703" s="37">
        <f t="shared" si="230"/>
        <v>-3219.603926692369</v>
      </c>
      <c r="AC703" s="37">
        <f t="shared" si="231"/>
        <v>-0.46244245806734008</v>
      </c>
      <c r="AD703" s="37">
        <f t="shared" si="232"/>
        <v>64.43817194342941</v>
      </c>
      <c r="AE703" s="39">
        <f t="shared" si="233"/>
        <v>2.7637772002840437</v>
      </c>
      <c r="AF703" s="39">
        <f t="shared" si="234"/>
        <v>23.527666977011719</v>
      </c>
      <c r="AG703" s="39">
        <f t="shared" si="235"/>
        <v>-1.1725063960414606</v>
      </c>
      <c r="AH703" s="39">
        <f t="shared" si="236"/>
        <v>7.725025811578857</v>
      </c>
      <c r="AI703" s="39">
        <f t="shared" si="237"/>
        <v>-2.0537132623099232</v>
      </c>
      <c r="AJ703" s="39">
        <f t="shared" si="238"/>
        <v>33.185479154838831</v>
      </c>
      <c r="AK703" s="37">
        <f t="shared" si="239"/>
        <v>148163.60113938438</v>
      </c>
      <c r="AL703" s="37">
        <f t="shared" si="240"/>
        <v>151365.771741815</v>
      </c>
      <c r="AM703" s="37">
        <f t="shared" si="241"/>
        <v>124890.27574712482</v>
      </c>
    </row>
    <row r="704" spans="12:39">
      <c r="L704">
        <v>700</v>
      </c>
      <c r="M704" s="37">
        <f t="shared" si="226"/>
        <v>4.3982297150257148</v>
      </c>
      <c r="N704" s="37">
        <f t="shared" si="220"/>
        <v>18454.915028125284</v>
      </c>
      <c r="O704" s="37">
        <f t="shared" si="221"/>
        <v>2744.7174185242256</v>
      </c>
      <c r="R704" s="37">
        <f t="shared" si="222"/>
        <v>-21081.559480312302</v>
      </c>
      <c r="S704" s="37">
        <f t="shared" si="223"/>
        <v>6671.3021929669576</v>
      </c>
      <c r="V704" s="37">
        <f t="shared" si="224"/>
        <v>-6545.0849718747168</v>
      </c>
      <c r="W704" s="37">
        <f t="shared" si="225"/>
        <v>-19755.282581475774</v>
      </c>
      <c r="Y704" s="37">
        <f t="shared" si="227"/>
        <v>3221.4763160072571</v>
      </c>
      <c r="Z704" s="37">
        <f t="shared" si="228"/>
        <v>-141253.55127809994</v>
      </c>
      <c r="AA704" s="37">
        <f t="shared" si="229"/>
        <v>1014.4587220644909</v>
      </c>
      <c r="AB704" s="37">
        <f t="shared" si="230"/>
        <v>-3187.3848407206542</v>
      </c>
      <c r="AC704" s="37">
        <f t="shared" si="231"/>
        <v>-0.66448102188647851</v>
      </c>
      <c r="AD704" s="37">
        <f t="shared" si="232"/>
        <v>62.95738803530228</v>
      </c>
      <c r="AE704" s="39">
        <f t="shared" si="233"/>
        <v>2.6014415684672083</v>
      </c>
      <c r="AF704" s="39">
        <f t="shared" si="234"/>
        <v>23.06363056966407</v>
      </c>
      <c r="AG704" s="39">
        <f t="shared" si="235"/>
        <v>-1.1601856107817381</v>
      </c>
      <c r="AH704" s="39">
        <f t="shared" si="236"/>
        <v>7.5568922227190276</v>
      </c>
      <c r="AI704" s="39">
        <f t="shared" si="237"/>
        <v>-2.1057369795719487</v>
      </c>
      <c r="AJ704" s="39">
        <f t="shared" si="238"/>
        <v>32.336865242919181</v>
      </c>
      <c r="AK704" s="37">
        <f t="shared" si="239"/>
        <v>149696.8198555354</v>
      </c>
      <c r="AL704" s="37">
        <f t="shared" si="240"/>
        <v>153025.72900179791</v>
      </c>
      <c r="AM704" s="37">
        <f t="shared" si="241"/>
        <v>126520.95432435878</v>
      </c>
    </row>
    <row r="705" spans="12:39">
      <c r="L705">
        <v>701</v>
      </c>
      <c r="M705" s="37">
        <f t="shared" si="226"/>
        <v>4.404512900332894</v>
      </c>
      <c r="N705" s="37">
        <f t="shared" si="220"/>
        <v>18484.823651836148</v>
      </c>
      <c r="O705" s="37">
        <f t="shared" si="221"/>
        <v>2735.1032924138999</v>
      </c>
      <c r="R705" s="37">
        <f t="shared" si="222"/>
        <v>-21060.623443714696</v>
      </c>
      <c r="S705" s="37">
        <f t="shared" si="223"/>
        <v>6664.5723046897301</v>
      </c>
      <c r="V705" s="37">
        <f t="shared" si="224"/>
        <v>-6515.1763481638518</v>
      </c>
      <c r="W705" s="37">
        <f t="shared" si="225"/>
        <v>-19764.8967075861</v>
      </c>
      <c r="Y705" s="37">
        <f t="shared" si="227"/>
        <v>3728.6226169117667</v>
      </c>
      <c r="Z705" s="37">
        <f t="shared" si="228"/>
        <v>-142839.37402495588</v>
      </c>
      <c r="AA705" s="37">
        <f t="shared" si="229"/>
        <v>1014.1264815535476</v>
      </c>
      <c r="AB705" s="37">
        <f t="shared" si="230"/>
        <v>-3155.9061467030033</v>
      </c>
      <c r="AC705" s="37">
        <f t="shared" si="231"/>
        <v>-0.85299348421019339</v>
      </c>
      <c r="AD705" s="37">
        <f t="shared" si="232"/>
        <v>61.539117798709611</v>
      </c>
      <c r="AE705" s="39">
        <f t="shared" si="233"/>
        <v>2.4477973843284073</v>
      </c>
      <c r="AF705" s="39">
        <f t="shared" si="234"/>
        <v>22.616421329047458</v>
      </c>
      <c r="AG705" s="39">
        <f t="shared" si="235"/>
        <v>-1.1481826860761015</v>
      </c>
      <c r="AH705" s="39">
        <f t="shared" si="236"/>
        <v>7.3956051237921843</v>
      </c>
      <c r="AI705" s="39">
        <f t="shared" si="237"/>
        <v>-2.1526081824624992</v>
      </c>
      <c r="AJ705" s="39">
        <f t="shared" si="238"/>
        <v>31.527091345869973</v>
      </c>
      <c r="AK705" s="37">
        <f t="shared" si="239"/>
        <v>151217.34392641095</v>
      </c>
      <c r="AL705" s="37">
        <f t="shared" si="240"/>
        <v>154670.36491725291</v>
      </c>
      <c r="AM705" s="37">
        <f t="shared" si="241"/>
        <v>128137.01418357238</v>
      </c>
    </row>
    <row r="706" spans="12:39">
      <c r="L706">
        <v>702</v>
      </c>
      <c r="M706" s="37">
        <f t="shared" si="226"/>
        <v>4.4107960856400732</v>
      </c>
      <c r="N706" s="37">
        <f t="shared" si="220"/>
        <v>18514.792092114843</v>
      </c>
      <c r="O706" s="37">
        <f t="shared" si="221"/>
        <v>2725.6772762667806</v>
      </c>
      <c r="R706" s="37">
        <f t="shared" si="222"/>
        <v>-21039.645535519612</v>
      </c>
      <c r="S706" s="37">
        <f t="shared" si="223"/>
        <v>6657.9740933867461</v>
      </c>
      <c r="V706" s="37">
        <f t="shared" si="224"/>
        <v>-6485.2079078851584</v>
      </c>
      <c r="W706" s="37">
        <f t="shared" si="225"/>
        <v>-19774.322723733218</v>
      </c>
      <c r="Y706" s="37">
        <f t="shared" si="227"/>
        <v>4235.5792335030146</v>
      </c>
      <c r="Z706" s="37">
        <f t="shared" si="228"/>
        <v>-144409.63470858254</v>
      </c>
      <c r="AA706" s="37">
        <f t="shared" si="229"/>
        <v>1013.6999848114425</v>
      </c>
      <c r="AB706" s="37">
        <f t="shared" si="230"/>
        <v>-3125.1365878036486</v>
      </c>
      <c r="AC706" s="37">
        <f t="shared" si="231"/>
        <v>-1.0290159391013802</v>
      </c>
      <c r="AD706" s="37">
        <f t="shared" si="232"/>
        <v>60.179632600992178</v>
      </c>
      <c r="AE706" s="39">
        <f t="shared" si="233"/>
        <v>2.3022672576518879</v>
      </c>
      <c r="AF706" s="39">
        <f t="shared" si="234"/>
        <v>22.185184174650992</v>
      </c>
      <c r="AG706" s="39">
        <f t="shared" si="235"/>
        <v>-1.1364848715958005</v>
      </c>
      <c r="AH706" s="39">
        <f t="shared" si="236"/>
        <v>7.240768301190438</v>
      </c>
      <c r="AI706" s="39">
        <f t="shared" si="237"/>
        <v>-2.1947983251574676</v>
      </c>
      <c r="AJ706" s="39">
        <f t="shared" si="238"/>
        <v>30.753680125150748</v>
      </c>
      <c r="AK706" s="37">
        <f t="shared" si="239"/>
        <v>152725.42054091109</v>
      </c>
      <c r="AL706" s="37">
        <f t="shared" si="240"/>
        <v>156300.02748439074</v>
      </c>
      <c r="AM706" s="37">
        <f t="shared" si="241"/>
        <v>129738.77400063207</v>
      </c>
    </row>
    <row r="707" spans="12:39">
      <c r="L707">
        <v>703</v>
      </c>
      <c r="M707" s="37">
        <f t="shared" si="226"/>
        <v>4.4170792709472524</v>
      </c>
      <c r="N707" s="37">
        <f t="shared" si="220"/>
        <v>18544.819165858655</v>
      </c>
      <c r="O707" s="37">
        <f t="shared" si="221"/>
        <v>2716.4397422058428</v>
      </c>
      <c r="R707" s="37">
        <f t="shared" si="222"/>
        <v>-21018.626583898942</v>
      </c>
      <c r="S707" s="37">
        <f t="shared" si="223"/>
        <v>6651.5078195440901</v>
      </c>
      <c r="V707" s="37">
        <f t="shared" si="224"/>
        <v>-6455.1808341413443</v>
      </c>
      <c r="W707" s="37">
        <f t="shared" si="225"/>
        <v>-19783.560257794157</v>
      </c>
      <c r="Y707" s="37">
        <f t="shared" si="227"/>
        <v>4742.3005989163485</v>
      </c>
      <c r="Z707" s="37">
        <f t="shared" si="228"/>
        <v>-145964.68054840923</v>
      </c>
      <c r="AA707" s="37">
        <f t="shared" si="229"/>
        <v>1013.1854768418918</v>
      </c>
      <c r="AB707" s="37">
        <f t="shared" si="230"/>
        <v>-3095.0467715031523</v>
      </c>
      <c r="AC707" s="37">
        <f t="shared" si="231"/>
        <v>-1.1934908752720592</v>
      </c>
      <c r="AD707" s="37">
        <f t="shared" si="232"/>
        <v>58.875489242326296</v>
      </c>
      <c r="AE707" s="39">
        <f t="shared" si="233"/>
        <v>2.1643200170101373</v>
      </c>
      <c r="AF707" s="39">
        <f t="shared" si="234"/>
        <v>21.769119398917915</v>
      </c>
      <c r="AG707" s="39">
        <f t="shared" si="235"/>
        <v>-1.12508016341676</v>
      </c>
      <c r="AH707" s="39">
        <f t="shared" si="236"/>
        <v>7.092015052405122</v>
      </c>
      <c r="AI707" s="39">
        <f t="shared" si="237"/>
        <v>-2.2327307288654366</v>
      </c>
      <c r="AJ707" s="39">
        <f t="shared" si="238"/>
        <v>30.014354791003257</v>
      </c>
      <c r="AK707" s="37">
        <f t="shared" si="239"/>
        <v>154221.28765782993</v>
      </c>
      <c r="AL707" s="37">
        <f t="shared" si="240"/>
        <v>157915.05000314084</v>
      </c>
      <c r="AM707" s="37">
        <f t="shared" si="241"/>
        <v>131326.53948119751</v>
      </c>
    </row>
    <row r="708" spans="12:39">
      <c r="L708">
        <v>704</v>
      </c>
      <c r="M708" s="37">
        <f t="shared" si="226"/>
        <v>4.4233624562544316</v>
      </c>
      <c r="N708" s="37">
        <f t="shared" si="220"/>
        <v>18574.903687650134</v>
      </c>
      <c r="O708" s="37">
        <f t="shared" si="221"/>
        <v>2707.3910549131169</v>
      </c>
      <c r="R708" s="37">
        <f t="shared" si="222"/>
        <v>-20997.567418644907</v>
      </c>
      <c r="S708" s="37">
        <f t="shared" si="223"/>
        <v>6645.1737384391818</v>
      </c>
      <c r="V708" s="37">
        <f t="shared" si="224"/>
        <v>-6425.0963123498677</v>
      </c>
      <c r="W708" s="37">
        <f t="shared" si="225"/>
        <v>-19792.608945086882</v>
      </c>
      <c r="Y708" s="37">
        <f t="shared" si="227"/>
        <v>5248.7441509778855</v>
      </c>
      <c r="Z708" s="37">
        <f t="shared" si="228"/>
        <v>-147504.84449800552</v>
      </c>
      <c r="AA708" s="37">
        <f t="shared" si="229"/>
        <v>1012.5887314042558</v>
      </c>
      <c r="AB708" s="37">
        <f t="shared" si="230"/>
        <v>-3065.6090268819889</v>
      </c>
      <c r="AC708" s="37">
        <f t="shared" si="231"/>
        <v>-1.3472770074653477</v>
      </c>
      <c r="AD708" s="37">
        <f t="shared" si="232"/>
        <v>57.623503436655568</v>
      </c>
      <c r="AE708" s="39">
        <f t="shared" si="233"/>
        <v>2.0334663792534218</v>
      </c>
      <c r="AF708" s="39">
        <f t="shared" si="234"/>
        <v>21.367478344495929</v>
      </c>
      <c r="AG708" s="39">
        <f t="shared" si="235"/>
        <v>-1.113957243047474</v>
      </c>
      <c r="AH708" s="39">
        <f t="shared" si="236"/>
        <v>6.9490055146692891</v>
      </c>
      <c r="AI708" s="39">
        <f t="shared" si="237"/>
        <v>-2.2667861436712955</v>
      </c>
      <c r="AJ708" s="39">
        <f t="shared" si="238"/>
        <v>29.307019577490347</v>
      </c>
      <c r="AK708" s="37">
        <f t="shared" si="239"/>
        <v>155705.17450288602</v>
      </c>
      <c r="AL708" s="37">
        <f t="shared" si="240"/>
        <v>159515.75195428959</v>
      </c>
      <c r="AM708" s="37">
        <f t="shared" si="241"/>
        <v>132900.6041074036</v>
      </c>
    </row>
    <row r="709" spans="12:39">
      <c r="L709">
        <v>705</v>
      </c>
      <c r="M709" s="37">
        <f t="shared" si="226"/>
        <v>4.4296456415616108</v>
      </c>
      <c r="N709" s="37">
        <f t="shared" ref="N709:N772" si="242">COS(M709)*$D$37+$D$36</f>
        <v>18605.044469803866</v>
      </c>
      <c r="O709" s="37">
        <f t="shared" ref="O709:O772" si="243">SIN(M709)*$D$37+$E$36</f>
        <v>2698.5315716152818</v>
      </c>
      <c r="R709" s="37">
        <f t="shared" ref="R709:R772" si="244">COS(M709)*$D$48+$D$47</f>
        <v>-20976.468871137295</v>
      </c>
      <c r="S709" s="37">
        <f t="shared" ref="S709:S772" si="245">SIN(M709)*$D$48+$E$47</f>
        <v>6638.9721001306971</v>
      </c>
      <c r="V709" s="37">
        <f t="shared" ref="V709:V772" si="246">COS(M709)*$D$57+$D$56</f>
        <v>-6394.9555301961354</v>
      </c>
      <c r="W709" s="37">
        <f t="shared" ref="W709:W772" si="247">SIN(M709)*$D$57+$E$56</f>
        <v>-19801.468428384716</v>
      </c>
      <c r="Y709" s="37">
        <f t="shared" si="227"/>
        <v>5754.8701070540801</v>
      </c>
      <c r="Z709" s="37">
        <f t="shared" si="228"/>
        <v>-149030.44607351694</v>
      </c>
      <c r="AA709" s="37">
        <f t="shared" si="229"/>
        <v>1011.9150929005231</v>
      </c>
      <c r="AB709" s="37">
        <f t="shared" si="230"/>
        <v>-3036.7972751636612</v>
      </c>
      <c r="AC709" s="37">
        <f t="shared" si="231"/>
        <v>-1.4911579295639059</v>
      </c>
      <c r="AD709" s="37">
        <f t="shared" si="232"/>
        <v>56.420726176261695</v>
      </c>
      <c r="AE709" s="39">
        <f t="shared" si="233"/>
        <v>1.9092550829549986</v>
      </c>
      <c r="AF709" s="39">
        <f t="shared" si="234"/>
        <v>20.979559473941126</v>
      </c>
      <c r="AG709" s="39">
        <f t="shared" si="235"/>
        <v>-1.1031054230501831</v>
      </c>
      <c r="AH709" s="39">
        <f t="shared" si="236"/>
        <v>6.8114242768297988</v>
      </c>
      <c r="AI709" s="39">
        <f t="shared" si="237"/>
        <v>-2.2973075894687214</v>
      </c>
      <c r="AJ709" s="39">
        <f t="shared" si="238"/>
        <v>28.629742425490768</v>
      </c>
      <c r="AK709" s="37">
        <f t="shared" si="239"/>
        <v>157177.30203067203</v>
      </c>
      <c r="AL709" s="37">
        <f t="shared" si="240"/>
        <v>161102.43980949826</v>
      </c>
      <c r="AM709" s="37">
        <f t="shared" si="241"/>
        <v>134461.24982940452</v>
      </c>
    </row>
    <row r="710" spans="12:39">
      <c r="L710">
        <v>706</v>
      </c>
      <c r="M710" s="37">
        <f t="shared" ref="M710:M773" si="248">M709+$J$3</f>
        <v>4.43592882686879</v>
      </c>
      <c r="N710" s="37">
        <f t="shared" si="242"/>
        <v>18635.240322413381</v>
      </c>
      <c r="O710" s="37">
        <f t="shared" si="243"/>
        <v>2689.861642069568</v>
      </c>
      <c r="R710" s="37">
        <f t="shared" si="244"/>
        <v>-20955.331774310631</v>
      </c>
      <c r="S710" s="37">
        <f t="shared" si="245"/>
        <v>6632.9031494486971</v>
      </c>
      <c r="V710" s="37">
        <f t="shared" si="246"/>
        <v>-6364.7596775866168</v>
      </c>
      <c r="W710" s="37">
        <f t="shared" si="247"/>
        <v>-19810.138357930431</v>
      </c>
      <c r="Y710" s="37">
        <f t="shared" ref="Y710:Y773" si="249">Y709+(AA709*$D$14)+((1/2)*AC709)*$D$14^2</f>
        <v>6260.6412587631457</v>
      </c>
      <c r="Z710" s="37">
        <f t="shared" ref="Z710:Z773" si="250">Z709+(AB709*$D$14)+((1/2)*AD709)*$D$14^2</f>
        <v>-150541.79212032672</v>
      </c>
      <c r="AA710" s="37">
        <f t="shared" ref="AA710:AA773" si="251">AA709+(AC709*$D$14)</f>
        <v>1011.1695139357411</v>
      </c>
      <c r="AB710" s="37">
        <f t="shared" ref="AB710:AB773" si="252">AB709+(AD709*$D$14)</f>
        <v>-3008.5869120755306</v>
      </c>
      <c r="AC710" s="37">
        <f t="shared" ref="AC710:AC773" si="253">AE710+AG710+AI710</f>
        <v>-1.6258497479341971</v>
      </c>
      <c r="AD710" s="37">
        <f t="shared" ref="AD710:AD773" si="254">AF710+AH710+AJ710</f>
        <v>55.264422622272335</v>
      </c>
      <c r="AE710" s="39">
        <f t="shared" ref="AE710:AE773" si="255">$D$40*($D$36-Y710)/(AK710^2+$D$41^2)^(3/2)</f>
        <v>1.7912694299990541</v>
      </c>
      <c r="AF710" s="39">
        <f t="shared" ref="AF710:AF773" si="256">$D$40*($E$36-Z710)/(AK710^2+$D$41^2)^(3/2)</f>
        <v>20.604704791478618</v>
      </c>
      <c r="AG710" s="39">
        <f t="shared" ref="AG710:AG773" si="257">$D$51*($D$47-Y710)/(AL710^2+$D$52^2)^(3/2)</f>
        <v>-1.0925145983719373</v>
      </c>
      <c r="AH710" s="39">
        <f t="shared" ref="AH710:AH773" si="258">$D$51*($E$47-Z710)/(AL710^2+$D$52^2)^(3/2)</f>
        <v>6.6789782401722935</v>
      </c>
      <c r="AI710" s="39">
        <f t="shared" ref="AI710:AI773" si="259">$D$60*($D$56-Y710)/(AM710^2+$D$61^2)^(3/2)</f>
        <v>-2.3246045795613139</v>
      </c>
      <c r="AJ710" s="39">
        <f t="shared" ref="AJ710:AJ773" si="260">$D$60*($E$56-Z710)/(AM710^2+$D$61^2)^(3/2)</f>
        <v>27.980739590621429</v>
      </c>
      <c r="AK710" s="37">
        <f t="shared" ref="AK710:AK773" si="261">SQRT(($D$36-Y710)^2+($E$36-Z710)^2)</f>
        <v>158637.88335459147</v>
      </c>
      <c r="AL710" s="37">
        <f t="shared" ref="AL710:AL773" si="262">SQRT(($D$47-Y710)^2+($E$47-Z710)^2)</f>
        <v>162675.4077804253</v>
      </c>
      <c r="AM710" s="37">
        <f t="shared" ref="AM710:AM773" si="263">SQRT(($D$56-Y710)^2+($E$56-Z710)^2)</f>
        <v>136008.74770671342</v>
      </c>
    </row>
    <row r="711" spans="12:39">
      <c r="L711">
        <v>707</v>
      </c>
      <c r="M711" s="37">
        <f t="shared" si="248"/>
        <v>4.4422120121759692</v>
      </c>
      <c r="N711" s="37">
        <f t="shared" si="242"/>
        <v>18665.490053398131</v>
      </c>
      <c r="O711" s="37">
        <f t="shared" si="243"/>
        <v>2681.3816085499493</v>
      </c>
      <c r="R711" s="37">
        <f t="shared" si="244"/>
        <v>-20934.15696262131</v>
      </c>
      <c r="S711" s="37">
        <f t="shared" si="245"/>
        <v>6626.9671259849638</v>
      </c>
      <c r="V711" s="37">
        <f t="shared" si="246"/>
        <v>-6334.5099466018701</v>
      </c>
      <c r="W711" s="37">
        <f t="shared" si="247"/>
        <v>-19818.618391450051</v>
      </c>
      <c r="Y711" s="37">
        <f t="shared" si="249"/>
        <v>6766.0227845125246</v>
      </c>
      <c r="Z711" s="37">
        <f t="shared" si="250"/>
        <v>-152039.17752353669</v>
      </c>
      <c r="AA711" s="37">
        <f t="shared" si="251"/>
        <v>1010.356589061774</v>
      </c>
      <c r="AB711" s="37">
        <f t="shared" si="252"/>
        <v>-2980.9547007643946</v>
      </c>
      <c r="AC711" s="37">
        <f t="shared" si="253"/>
        <v>-1.7520078299069777</v>
      </c>
      <c r="AD711" s="37">
        <f t="shared" si="254"/>
        <v>54.152053213054032</v>
      </c>
      <c r="AE711" s="39">
        <f t="shared" si="255"/>
        <v>1.6791241869300062</v>
      </c>
      <c r="AF711" s="39">
        <f t="shared" si="256"/>
        <v>20.242296581045071</v>
      </c>
      <c r="AG711" s="39">
        <f t="shared" si="257"/>
        <v>-1.0821752026404836</v>
      </c>
      <c r="AH711" s="39">
        <f t="shared" si="258"/>
        <v>6.5513946985689335</v>
      </c>
      <c r="AI711" s="39">
        <f t="shared" si="259"/>
        <v>-2.3489568141965003</v>
      </c>
      <c r="AJ711" s="39">
        <f t="shared" si="260"/>
        <v>27.358361933440023</v>
      </c>
      <c r="AK711" s="37">
        <f t="shared" si="261"/>
        <v>160087.12414752971</v>
      </c>
      <c r="AL711" s="37">
        <f t="shared" si="262"/>
        <v>164234.93851250189</v>
      </c>
      <c r="AM711" s="37">
        <f t="shared" si="263"/>
        <v>137543.35850375719</v>
      </c>
    </row>
    <row r="712" spans="12:39">
      <c r="L712">
        <v>708</v>
      </c>
      <c r="M712" s="37">
        <f t="shared" si="248"/>
        <v>4.4484951974831484</v>
      </c>
      <c r="N712" s="37">
        <f t="shared" si="242"/>
        <v>18695.79246855052</v>
      </c>
      <c r="O712" s="37">
        <f t="shared" si="243"/>
        <v>2673.0918058336292</v>
      </c>
      <c r="R712" s="37">
        <f t="shared" si="244"/>
        <v>-20912.945272014636</v>
      </c>
      <c r="S712" s="37">
        <f t="shared" si="245"/>
        <v>6621.1642640835398</v>
      </c>
      <c r="V712" s="37">
        <f t="shared" si="246"/>
        <v>-6304.2075314494796</v>
      </c>
      <c r="W712" s="37">
        <f t="shared" si="247"/>
        <v>-19826.908194166372</v>
      </c>
      <c r="Y712" s="37">
        <f t="shared" si="249"/>
        <v>7270.9820780646733</v>
      </c>
      <c r="Z712" s="37">
        <f t="shared" si="250"/>
        <v>-153522.88586726726</v>
      </c>
      <c r="AA712" s="37">
        <f t="shared" si="251"/>
        <v>1009.4805851468205</v>
      </c>
      <c r="AB712" s="37">
        <f t="shared" si="252"/>
        <v>-2953.8786741578674</v>
      </c>
      <c r="AC712" s="37">
        <f t="shared" si="253"/>
        <v>-1.8702327825342835</v>
      </c>
      <c r="AD712" s="37">
        <f t="shared" si="254"/>
        <v>53.081256724506517</v>
      </c>
      <c r="AE712" s="39">
        <f t="shared" si="255"/>
        <v>1.5724628040313584</v>
      </c>
      <c r="AF712" s="39">
        <f t="shared" si="256"/>
        <v>19.891754428889001</v>
      </c>
      <c r="AG712" s="39">
        <f t="shared" si="257"/>
        <v>-1.0720781687935497</v>
      </c>
      <c r="AH712" s="39">
        <f t="shared" si="258"/>
        <v>6.4284196122671364</v>
      </c>
      <c r="AI712" s="39">
        <f t="shared" si="259"/>
        <v>-2.3706174177720922</v>
      </c>
      <c r="AJ712" s="39">
        <f t="shared" si="260"/>
        <v>26.761082683350381</v>
      </c>
      <c r="AK712" s="37">
        <f t="shared" si="261"/>
        <v>161525.22301572573</v>
      </c>
      <c r="AL712" s="37">
        <f t="shared" si="262"/>
        <v>165781.30372831988</v>
      </c>
      <c r="AM712" s="37">
        <f t="shared" si="263"/>
        <v>139065.33324360941</v>
      </c>
    </row>
    <row r="713" spans="12:39">
      <c r="L713">
        <v>709</v>
      </c>
      <c r="M713" s="37">
        <f t="shared" si="248"/>
        <v>4.4547783827903276</v>
      </c>
      <c r="N713" s="37">
        <f t="shared" si="242"/>
        <v>18726.146371583094</v>
      </c>
      <c r="O713" s="37">
        <f t="shared" si="243"/>
        <v>2664.9925611878243</v>
      </c>
      <c r="R713" s="37">
        <f t="shared" si="244"/>
        <v>-20891.697539891837</v>
      </c>
      <c r="S713" s="37">
        <f t="shared" si="245"/>
        <v>6615.4947928314768</v>
      </c>
      <c r="V713" s="37">
        <f t="shared" si="246"/>
        <v>-6273.8536284169077</v>
      </c>
      <c r="W713" s="37">
        <f t="shared" si="247"/>
        <v>-19835.007438812176</v>
      </c>
      <c r="Y713" s="37">
        <f t="shared" si="249"/>
        <v>7775.4885915402665</v>
      </c>
      <c r="Z713" s="37">
        <f t="shared" si="250"/>
        <v>-154993.19004725566</v>
      </c>
      <c r="AA713" s="37">
        <f t="shared" si="251"/>
        <v>1008.5454687555534</v>
      </c>
      <c r="AB713" s="37">
        <f t="shared" si="252"/>
        <v>-2927.3380457956141</v>
      </c>
      <c r="AC713" s="37">
        <f t="shared" si="253"/>
        <v>-1.9810757601729436</v>
      </c>
      <c r="AD713" s="37">
        <f t="shared" si="254"/>
        <v>52.049835052000098</v>
      </c>
      <c r="AE713" s="39">
        <f t="shared" si="255"/>
        <v>1.470954915539102</v>
      </c>
      <c r="AF713" s="39">
        <f t="shared" si="256"/>
        <v>19.552532502544924</v>
      </c>
      <c r="AG713" s="39">
        <f t="shared" si="257"/>
        <v>-1.0622148935048648</v>
      </c>
      <c r="AH713" s="39">
        <f t="shared" si="258"/>
        <v>6.3098160530091612</v>
      </c>
      <c r="AI713" s="39">
        <f t="shared" si="259"/>
        <v>-2.3898157822071808</v>
      </c>
      <c r="AJ713" s="39">
        <f t="shared" si="260"/>
        <v>26.187486496446013</v>
      </c>
      <c r="AK713" s="37">
        <f t="shared" si="261"/>
        <v>162952.37184806212</v>
      </c>
      <c r="AL713" s="37">
        <f t="shared" si="262"/>
        <v>167314.76482507039</v>
      </c>
      <c r="AM713" s="37">
        <f t="shared" si="263"/>
        <v>140574.91372346497</v>
      </c>
    </row>
    <row r="714" spans="12:39">
      <c r="L714">
        <v>710</v>
      </c>
      <c r="M714" s="37">
        <f t="shared" si="248"/>
        <v>4.4610615680975068</v>
      </c>
      <c r="N714" s="37">
        <f t="shared" si="242"/>
        <v>18756.550564175726</v>
      </c>
      <c r="O714" s="37">
        <f t="shared" si="243"/>
        <v>2657.0841943568439</v>
      </c>
      <c r="R714" s="37">
        <f t="shared" si="244"/>
        <v>-20870.414605076992</v>
      </c>
      <c r="S714" s="37">
        <f t="shared" si="245"/>
        <v>6609.9589360497903</v>
      </c>
      <c r="V714" s="37">
        <f t="shared" si="246"/>
        <v>-6243.4494358242719</v>
      </c>
      <c r="W714" s="37">
        <f t="shared" si="247"/>
        <v>-19842.915805643155</v>
      </c>
      <c r="Y714" s="37">
        <f t="shared" si="249"/>
        <v>8279.5136914480227</v>
      </c>
      <c r="Z714" s="37">
        <f t="shared" si="250"/>
        <v>-156450.35284077196</v>
      </c>
      <c r="AA714" s="37">
        <f t="shared" si="251"/>
        <v>1007.554930875467</v>
      </c>
      <c r="AB714" s="37">
        <f t="shared" si="252"/>
        <v>-2901.313128269614</v>
      </c>
      <c r="AC714" s="37">
        <f t="shared" si="253"/>
        <v>-2.0850431854704228</v>
      </c>
      <c r="AD714" s="37">
        <f t="shared" si="254"/>
        <v>51.05573951412434</v>
      </c>
      <c r="AE714" s="39">
        <f t="shared" si="255"/>
        <v>1.3742940890622104</v>
      </c>
      <c r="AF714" s="39">
        <f t="shared" si="256"/>
        <v>19.224117061109695</v>
      </c>
      <c r="AG714" s="39">
        <f t="shared" si="257"/>
        <v>-1.0525772049484849</v>
      </c>
      <c r="AH714" s="39">
        <f t="shared" si="258"/>
        <v>6.195362801051683</v>
      </c>
      <c r="AI714" s="39">
        <f t="shared" si="259"/>
        <v>-2.406760069584148</v>
      </c>
      <c r="AJ714" s="39">
        <f t="shared" si="260"/>
        <v>25.636259651962959</v>
      </c>
      <c r="AK714" s="37">
        <f t="shared" si="261"/>
        <v>164368.75614277361</v>
      </c>
      <c r="AL714" s="37">
        <f t="shared" si="262"/>
        <v>168835.57343001588</v>
      </c>
      <c r="AM714" s="37">
        <f t="shared" si="263"/>
        <v>142072.3329950636</v>
      </c>
    </row>
    <row r="715" spans="12:39">
      <c r="L715">
        <v>711</v>
      </c>
      <c r="M715" s="37">
        <f t="shared" si="248"/>
        <v>4.467344753404686</v>
      </c>
      <c r="N715" s="37">
        <f t="shared" si="242"/>
        <v>18787.003846022963</v>
      </c>
      <c r="O715" s="37">
        <f t="shared" si="243"/>
        <v>2649.3670175494708</v>
      </c>
      <c r="R715" s="37">
        <f t="shared" si="244"/>
        <v>-20849.097307783926</v>
      </c>
      <c r="S715" s="37">
        <f t="shared" si="245"/>
        <v>6604.55691228463</v>
      </c>
      <c r="V715" s="37">
        <f t="shared" si="246"/>
        <v>-6212.9961539770375</v>
      </c>
      <c r="W715" s="37">
        <f t="shared" si="247"/>
        <v>-19850.63298245053</v>
      </c>
      <c r="Y715" s="37">
        <f t="shared" si="249"/>
        <v>8783.0305264875733</v>
      </c>
      <c r="Z715" s="37">
        <f t="shared" si="250"/>
        <v>-157894.62743746751</v>
      </c>
      <c r="AA715" s="37">
        <f t="shared" si="251"/>
        <v>1006.5124092827318</v>
      </c>
      <c r="AB715" s="37">
        <f t="shared" si="252"/>
        <v>-2875.785258512552</v>
      </c>
      <c r="AC715" s="37">
        <f t="shared" si="253"/>
        <v>-2.1826009565254259</v>
      </c>
      <c r="AD715" s="37">
        <f t="shared" si="254"/>
        <v>50.097058504406149</v>
      </c>
      <c r="AE715" s="39">
        <f t="shared" si="255"/>
        <v>1.2821957962981729</v>
      </c>
      <c r="AF715" s="39">
        <f t="shared" si="256"/>
        <v>18.906024174479391</v>
      </c>
      <c r="AG715" s="39">
        <f t="shared" si="257"/>
        <v>-1.0431573335087447</v>
      </c>
      <c r="AH715" s="39">
        <f t="shared" si="258"/>
        <v>6.0848530771261133</v>
      </c>
      <c r="AI715" s="39">
        <f t="shared" si="259"/>
        <v>-2.4216394193148543</v>
      </c>
      <c r="AJ715" s="39">
        <f t="shared" si="260"/>
        <v>25.106181252800646</v>
      </c>
      <c r="AK715" s="37">
        <f t="shared" si="261"/>
        <v>165774.55531337851</v>
      </c>
      <c r="AL715" s="37">
        <f t="shared" si="262"/>
        <v>170343.97191757252</v>
      </c>
      <c r="AM715" s="37">
        <f t="shared" si="263"/>
        <v>143557.81581295645</v>
      </c>
    </row>
    <row r="716" spans="12:39">
      <c r="L716">
        <v>712</v>
      </c>
      <c r="M716" s="37">
        <f t="shared" si="248"/>
        <v>4.4736279387118651</v>
      </c>
      <c r="N716" s="37">
        <f t="shared" si="242"/>
        <v>18817.505014881375</v>
      </c>
      <c r="O716" s="37">
        <f t="shared" si="243"/>
        <v>2641.8413354266304</v>
      </c>
      <c r="R716" s="37">
        <f t="shared" si="244"/>
        <v>-20827.746489583038</v>
      </c>
      <c r="S716" s="37">
        <f t="shared" si="245"/>
        <v>6599.288934798642</v>
      </c>
      <c r="V716" s="37">
        <f t="shared" si="246"/>
        <v>-6182.4949851186257</v>
      </c>
      <c r="W716" s="37">
        <f t="shared" si="247"/>
        <v>-19858.15866457337</v>
      </c>
      <c r="Y716" s="37">
        <f t="shared" si="249"/>
        <v>9286.0139060093734</v>
      </c>
      <c r="Z716" s="37">
        <f t="shared" si="250"/>
        <v>-159326.25793441074</v>
      </c>
      <c r="AA716" s="37">
        <f t="shared" si="251"/>
        <v>1005.4211088044691</v>
      </c>
      <c r="AB716" s="37">
        <f t="shared" si="252"/>
        <v>-2850.736729260349</v>
      </c>
      <c r="AC716" s="37">
        <f t="shared" si="253"/>
        <v>-2.2741782029959565</v>
      </c>
      <c r="AD716" s="37">
        <f t="shared" si="254"/>
        <v>49.172006339417891</v>
      </c>
      <c r="AE716" s="39">
        <f t="shared" si="255"/>
        <v>1.1943955805944484</v>
      </c>
      <c r="AF716" s="39">
        <f t="shared" si="256"/>
        <v>18.597797631614512</v>
      </c>
      <c r="AG716" s="39">
        <f t="shared" si="257"/>
        <v>-1.0339478850979107</v>
      </c>
      <c r="AH716" s="39">
        <f t="shared" si="258"/>
        <v>5.9780933945026478</v>
      </c>
      <c r="AI716" s="39">
        <f t="shared" si="259"/>
        <v>-2.4346258984924942</v>
      </c>
      <c r="AJ716" s="39">
        <f t="shared" si="260"/>
        <v>24.596115313300729</v>
      </c>
      <c r="AK716" s="37">
        <f t="shared" si="261"/>
        <v>167169.94297546663</v>
      </c>
      <c r="AL716" s="37">
        <f t="shared" si="262"/>
        <v>171840.19389122433</v>
      </c>
      <c r="AM716" s="37">
        <f t="shared" si="263"/>
        <v>145031.57905322811</v>
      </c>
    </row>
    <row r="717" spans="12:39">
      <c r="L717">
        <v>713</v>
      </c>
      <c r="M717" s="37">
        <f t="shared" si="248"/>
        <v>4.4799111240190443</v>
      </c>
      <c r="N717" s="37">
        <f t="shared" si="242"/>
        <v>18848.052866617043</v>
      </c>
      <c r="O717" s="37">
        <f t="shared" si="243"/>
        <v>2634.507445089368</v>
      </c>
      <c r="R717" s="37">
        <f t="shared" si="244"/>
        <v>-20806.362993368071</v>
      </c>
      <c r="S717" s="37">
        <f t="shared" si="245"/>
        <v>6594.1552115625582</v>
      </c>
      <c r="V717" s="37">
        <f t="shared" si="246"/>
        <v>-6151.947133382957</v>
      </c>
      <c r="W717" s="37">
        <f t="shared" si="247"/>
        <v>-19865.492554910634</v>
      </c>
      <c r="Y717" s="37">
        <f t="shared" si="249"/>
        <v>9788.4401881362337</v>
      </c>
      <c r="Z717" s="37">
        <f t="shared" si="250"/>
        <v>-160745.47979824847</v>
      </c>
      <c r="AA717" s="37">
        <f t="shared" si="251"/>
        <v>1004.2840197029711</v>
      </c>
      <c r="AB717" s="37">
        <f t="shared" si="252"/>
        <v>-2826.1507260906401</v>
      </c>
      <c r="AC717" s="37">
        <f t="shared" si="253"/>
        <v>-2.3601706454329952</v>
      </c>
      <c r="AD717" s="37">
        <f t="shared" si="254"/>
        <v>48.278913170800116</v>
      </c>
      <c r="AE717" s="39">
        <f t="shared" si="255"/>
        <v>1.1106473998987041</v>
      </c>
      <c r="AF717" s="39">
        <f t="shared" si="256"/>
        <v>18.299007020018571</v>
      </c>
      <c r="AG717" s="39">
        <f t="shared" si="257"/>
        <v>-1.0249418167898248</v>
      </c>
      <c r="AH717" s="39">
        <f t="shared" si="258"/>
        <v>5.8749025181508348</v>
      </c>
      <c r="AI717" s="39">
        <f t="shared" si="259"/>
        <v>-2.4458762285418745</v>
      </c>
      <c r="AJ717" s="39">
        <f t="shared" si="260"/>
        <v>24.105003632630712</v>
      </c>
      <c r="AK717" s="37">
        <f t="shared" si="261"/>
        <v>168555.0872158242</v>
      </c>
      <c r="AL717" s="37">
        <f t="shared" si="262"/>
        <v>173324.4646331736</v>
      </c>
      <c r="AM717" s="37">
        <f t="shared" si="263"/>
        <v>146493.83210504029</v>
      </c>
    </row>
    <row r="718" spans="12:39">
      <c r="L718">
        <v>714</v>
      </c>
      <c r="M718" s="37">
        <f t="shared" si="248"/>
        <v>4.4861943093262235</v>
      </c>
      <c r="N718" s="37">
        <f t="shared" si="242"/>
        <v>18878.646195253088</v>
      </c>
      <c r="O718" s="37">
        <f t="shared" si="243"/>
        <v>2627.3656360671157</v>
      </c>
      <c r="R718" s="37">
        <f t="shared" si="244"/>
        <v>-20784.947663322837</v>
      </c>
      <c r="S718" s="37">
        <f t="shared" si="245"/>
        <v>6589.155945246981</v>
      </c>
      <c r="V718" s="37">
        <f t="shared" si="246"/>
        <v>-6121.3538047469119</v>
      </c>
      <c r="W718" s="37">
        <f t="shared" si="247"/>
        <v>-19872.634363932884</v>
      </c>
      <c r="Y718" s="37">
        <f t="shared" si="249"/>
        <v>10290.287176657041</v>
      </c>
      <c r="Z718" s="37">
        <f t="shared" si="250"/>
        <v>-162152.52029714745</v>
      </c>
      <c r="AA718" s="37">
        <f t="shared" si="251"/>
        <v>1003.1039343802546</v>
      </c>
      <c r="AB718" s="37">
        <f t="shared" si="252"/>
        <v>-2802.0112695052399</v>
      </c>
      <c r="AC718" s="37">
        <f t="shared" si="253"/>
        <v>-2.4409436048824578</v>
      </c>
      <c r="AD718" s="37">
        <f t="shared" si="254"/>
        <v>47.416215845173014</v>
      </c>
      <c r="AE718" s="39">
        <f t="shared" si="255"/>
        <v>1.0307221262320732</v>
      </c>
      <c r="AF718" s="39">
        <f t="shared" si="256"/>
        <v>18.00924596048986</v>
      </c>
      <c r="AG718" s="39">
        <f t="shared" si="257"/>
        <v>-1.0161324145169548</v>
      </c>
      <c r="AH718" s="39">
        <f t="shared" si="258"/>
        <v>5.7751105195703678</v>
      </c>
      <c r="AI718" s="39">
        <f t="shared" si="259"/>
        <v>-2.4555333165975761</v>
      </c>
      <c r="AJ718" s="39">
        <f t="shared" si="260"/>
        <v>23.631859365112788</v>
      </c>
      <c r="AK718" s="37">
        <f t="shared" si="261"/>
        <v>169930.1508452394</v>
      </c>
      <c r="AL718" s="37">
        <f t="shared" si="262"/>
        <v>174797.00152435142</v>
      </c>
      <c r="AM718" s="37">
        <f t="shared" si="263"/>
        <v>147944.7772371402</v>
      </c>
    </row>
    <row r="719" spans="12:39">
      <c r="L719">
        <v>715</v>
      </c>
      <c r="M719" s="37">
        <f t="shared" si="248"/>
        <v>4.4924774946334027</v>
      </c>
      <c r="N719" s="37">
        <f t="shared" si="242"/>
        <v>18909.283793017279</v>
      </c>
      <c r="O719" s="37">
        <f t="shared" si="243"/>
        <v>2620.4161903062641</v>
      </c>
      <c r="R719" s="37">
        <f t="shared" si="244"/>
        <v>-20763.501344887904</v>
      </c>
      <c r="S719" s="37">
        <f t="shared" si="245"/>
        <v>6584.2913332143853</v>
      </c>
      <c r="V719" s="37">
        <f t="shared" si="246"/>
        <v>-6090.7162069827209</v>
      </c>
      <c r="W719" s="37">
        <f t="shared" si="247"/>
        <v>-19879.583809693737</v>
      </c>
      <c r="Y719" s="37">
        <f t="shared" si="249"/>
        <v>10791.534025896557</v>
      </c>
      <c r="Z719" s="37">
        <f t="shared" si="250"/>
        <v>-163547.59890491943</v>
      </c>
      <c r="AA719" s="37">
        <f t="shared" si="251"/>
        <v>1001.8834625778134</v>
      </c>
      <c r="AB719" s="37">
        <f t="shared" si="252"/>
        <v>-2778.3031615826535</v>
      </c>
      <c r="AC719" s="37">
        <f t="shared" si="253"/>
        <v>-2.5168347036197751</v>
      </c>
      <c r="AD719" s="37">
        <f t="shared" si="254"/>
        <v>46.582449610110963</v>
      </c>
      <c r="AE719" s="39">
        <f t="shared" si="255"/>
        <v>0.95440618506827968</v>
      </c>
      <c r="AF719" s="39">
        <f t="shared" si="256"/>
        <v>17.728130482865545</v>
      </c>
      <c r="AG719" s="39">
        <f t="shared" si="257"/>
        <v>-1.0075132726111478</v>
      </c>
      <c r="AH719" s="39">
        <f t="shared" si="258"/>
        <v>5.6785579172329346</v>
      </c>
      <c r="AI719" s="39">
        <f t="shared" si="259"/>
        <v>-2.4637276160769068</v>
      </c>
      <c r="AJ719" s="39">
        <f t="shared" si="260"/>
        <v>23.175761210012482</v>
      </c>
      <c r="AK719" s="37">
        <f t="shared" si="261"/>
        <v>171295.29163621052</v>
      </c>
      <c r="AL719" s="37">
        <f t="shared" si="262"/>
        <v>176258.01443716179</v>
      </c>
      <c r="AM719" s="37">
        <f t="shared" si="263"/>
        <v>149384.60994127832</v>
      </c>
    </row>
    <row r="720" spans="12:39">
      <c r="L720">
        <v>716</v>
      </c>
      <c r="M720" s="37">
        <f t="shared" si="248"/>
        <v>4.4987606799405819</v>
      </c>
      <c r="N720" s="37">
        <f t="shared" si="242"/>
        <v>18939.964450389718</v>
      </c>
      <c r="O720" s="37">
        <f t="shared" si="243"/>
        <v>2613.659382159035</v>
      </c>
      <c r="R720" s="37">
        <f t="shared" si="244"/>
        <v>-20742.024884727198</v>
      </c>
      <c r="S720" s="37">
        <f t="shared" si="245"/>
        <v>6579.561567511324</v>
      </c>
      <c r="V720" s="37">
        <f t="shared" si="246"/>
        <v>-6060.0355496102829</v>
      </c>
      <c r="W720" s="37">
        <f t="shared" si="247"/>
        <v>-19886.340617840964</v>
      </c>
      <c r="Y720" s="37">
        <f t="shared" si="249"/>
        <v>11292.161152847511</v>
      </c>
      <c r="Z720" s="37">
        <f t="shared" si="250"/>
        <v>-164930.92767950951</v>
      </c>
      <c r="AA720" s="37">
        <f t="shared" si="251"/>
        <v>1000.6250452260035</v>
      </c>
      <c r="AB720" s="37">
        <f t="shared" si="252"/>
        <v>-2755.0119367775978</v>
      </c>
      <c r="AC720" s="37">
        <f t="shared" si="253"/>
        <v>-2.5881562925913615</v>
      </c>
      <c r="AD720" s="37">
        <f t="shared" si="254"/>
        <v>45.776240576612835</v>
      </c>
      <c r="AE720" s="39">
        <f t="shared" si="255"/>
        <v>0.88150031995600331</v>
      </c>
      <c r="AF720" s="39">
        <f t="shared" si="256"/>
        <v>17.455297529937898</v>
      </c>
      <c r="AG720" s="39">
        <f t="shared" si="257"/>
        <v>-0.99907827499636648</v>
      </c>
      <c r="AH720" s="39">
        <f t="shared" si="258"/>
        <v>5.5850948937623919</v>
      </c>
      <c r="AI720" s="39">
        <f t="shared" si="259"/>
        <v>-2.4705783375509984</v>
      </c>
      <c r="AJ720" s="39">
        <f t="shared" si="260"/>
        <v>22.735848152912542</v>
      </c>
      <c r="AK720" s="37">
        <f t="shared" si="261"/>
        <v>172650.66254667027</v>
      </c>
      <c r="AL720" s="37">
        <f t="shared" si="262"/>
        <v>177707.70610311069</v>
      </c>
      <c r="AM720" s="37">
        <f t="shared" si="263"/>
        <v>150813.51925430514</v>
      </c>
    </row>
    <row r="721" spans="12:39">
      <c r="L721">
        <v>717</v>
      </c>
      <c r="M721" s="37">
        <f t="shared" si="248"/>
        <v>4.5050438652477611</v>
      </c>
      <c r="N721" s="37">
        <f t="shared" si="242"/>
        <v>18970.686956150581</v>
      </c>
      <c r="O721" s="37">
        <f t="shared" si="243"/>
        <v>2607.095478372642</v>
      </c>
      <c r="R721" s="37">
        <f t="shared" si="244"/>
        <v>-20720.519130694593</v>
      </c>
      <c r="S721" s="37">
        <f t="shared" si="245"/>
        <v>6574.9668348608493</v>
      </c>
      <c r="V721" s="37">
        <f t="shared" si="246"/>
        <v>-6029.3130438494181</v>
      </c>
      <c r="W721" s="37">
        <f t="shared" si="247"/>
        <v>-19892.904521627359</v>
      </c>
      <c r="Y721" s="37">
        <f t="shared" si="249"/>
        <v>11792.150155923939</v>
      </c>
      <c r="Z721" s="37">
        <f t="shared" si="250"/>
        <v>-166302.71161782625</v>
      </c>
      <c r="AA721" s="37">
        <f t="shared" si="251"/>
        <v>999.33096707970788</v>
      </c>
      <c r="AB721" s="37">
        <f t="shared" si="252"/>
        <v>-2732.1238164892916</v>
      </c>
      <c r="AC721" s="37">
        <f t="shared" si="253"/>
        <v>-2.65519763659838</v>
      </c>
      <c r="AD721" s="37">
        <f t="shared" si="254"/>
        <v>44.996298859150343</v>
      </c>
      <c r="AE721" s="39">
        <f t="shared" si="255"/>
        <v>0.81181846942521052</v>
      </c>
      <c r="AF721" s="39">
        <f t="shared" si="256"/>
        <v>17.190403578029617</v>
      </c>
      <c r="AG721" s="39">
        <f t="shared" si="257"/>
        <v>-0.99082157786604574</v>
      </c>
      <c r="AH721" s="39">
        <f t="shared" si="258"/>
        <v>5.4945805820147546</v>
      </c>
      <c r="AI721" s="39">
        <f t="shared" si="259"/>
        <v>-2.4761945281575448</v>
      </c>
      <c r="AJ721" s="39">
        <f t="shared" si="260"/>
        <v>22.311314699105971</v>
      </c>
      <c r="AK721" s="37">
        <f t="shared" si="261"/>
        <v>173996.41193074119</v>
      </c>
      <c r="AL721" s="37">
        <f t="shared" si="262"/>
        <v>179146.27245727225</v>
      </c>
      <c r="AM721" s="37">
        <f t="shared" si="263"/>
        <v>152231.68806055523</v>
      </c>
    </row>
    <row r="722" spans="12:39">
      <c r="L722">
        <v>718</v>
      </c>
      <c r="M722" s="37">
        <f t="shared" si="248"/>
        <v>4.5113270505549403</v>
      </c>
      <c r="N722" s="37">
        <f t="shared" si="242"/>
        <v>19001.450097427951</v>
      </c>
      <c r="O722" s="37">
        <f t="shared" si="243"/>
        <v>2600.7247380787685</v>
      </c>
      <c r="R722" s="37">
        <f t="shared" si="244"/>
        <v>-20698.984931800434</v>
      </c>
      <c r="S722" s="37">
        <f t="shared" si="245"/>
        <v>6570.5073166551374</v>
      </c>
      <c r="V722" s="37">
        <f t="shared" si="246"/>
        <v>-5998.5499025720483</v>
      </c>
      <c r="W722" s="37">
        <f t="shared" si="247"/>
        <v>-19899.275261921233</v>
      </c>
      <c r="Y722" s="37">
        <f t="shared" si="249"/>
        <v>12291.483739759216</v>
      </c>
      <c r="Z722" s="37">
        <f t="shared" si="250"/>
        <v>-167663.14898871351</v>
      </c>
      <c r="AA722" s="37">
        <f t="shared" si="251"/>
        <v>998.0033682614087</v>
      </c>
      <c r="AB722" s="37">
        <f t="shared" si="252"/>
        <v>-2709.6256670597163</v>
      </c>
      <c r="AC722" s="37">
        <f t="shared" si="253"/>
        <v>-2.7182268843534225</v>
      </c>
      <c r="AD722" s="37">
        <f t="shared" si="254"/>
        <v>44.241412323614291</v>
      </c>
      <c r="AE722" s="39">
        <f t="shared" si="255"/>
        <v>0.74518674470427393</v>
      </c>
      <c r="AF722" s="39">
        <f t="shared" si="256"/>
        <v>16.933123363869242</v>
      </c>
      <c r="AG722" s="39">
        <f t="shared" si="257"/>
        <v>-0.98273759369772706</v>
      </c>
      <c r="AH722" s="39">
        <f t="shared" si="258"/>
        <v>5.4068824131161151</v>
      </c>
      <c r="AI722" s="39">
        <f t="shared" si="259"/>
        <v>-2.4806760353599695</v>
      </c>
      <c r="AJ722" s="39">
        <f t="shared" si="260"/>
        <v>21.901406546628934</v>
      </c>
      <c r="AK722" s="37">
        <f t="shared" si="261"/>
        <v>175332.68373744993</v>
      </c>
      <c r="AL722" s="37">
        <f t="shared" si="262"/>
        <v>180573.90296136634</v>
      </c>
      <c r="AM722" s="37">
        <f t="shared" si="263"/>
        <v>153639.29337598666</v>
      </c>
    </row>
    <row r="723" spans="12:39">
      <c r="L723">
        <v>719</v>
      </c>
      <c r="M723" s="37">
        <f t="shared" si="248"/>
        <v>4.5176102358621195</v>
      </c>
      <c r="N723" s="37">
        <f t="shared" si="242"/>
        <v>19032.252659745682</v>
      </c>
      <c r="O723" s="37">
        <f t="shared" si="243"/>
        <v>2594.5474127833331</v>
      </c>
      <c r="R723" s="37">
        <f t="shared" si="244"/>
        <v>-20677.423138178023</v>
      </c>
      <c r="S723" s="37">
        <f t="shared" si="245"/>
        <v>6566.1831889483328</v>
      </c>
      <c r="V723" s="37">
        <f t="shared" si="246"/>
        <v>-5967.7473402543164</v>
      </c>
      <c r="W723" s="37">
        <f t="shared" si="247"/>
        <v>-19905.452587216667</v>
      </c>
      <c r="Y723" s="37">
        <f t="shared" si="249"/>
        <v>12790.145645529377</v>
      </c>
      <c r="Z723" s="37">
        <f t="shared" si="250"/>
        <v>-169012.43164570292</v>
      </c>
      <c r="AA723" s="37">
        <f t="shared" si="251"/>
        <v>996.64425481923195</v>
      </c>
      <c r="AB723" s="37">
        <f t="shared" si="252"/>
        <v>-2687.5049608979093</v>
      </c>
      <c r="AC723" s="37">
        <f t="shared" si="253"/>
        <v>-2.7774928471744591</v>
      </c>
      <c r="AD723" s="37">
        <f t="shared" si="254"/>
        <v>43.5104408815182</v>
      </c>
      <c r="AE723" s="39">
        <f t="shared" si="255"/>
        <v>0.68144249807410606</v>
      </c>
      <c r="AF723" s="39">
        <f t="shared" si="256"/>
        <v>16.683148708433844</v>
      </c>
      <c r="AG723" s="39">
        <f t="shared" si="257"/>
        <v>-0.97482097647549404</v>
      </c>
      <c r="AH723" s="39">
        <f t="shared" si="258"/>
        <v>5.3218755203031201</v>
      </c>
      <c r="AI723" s="39">
        <f t="shared" si="259"/>
        <v>-2.4841143687730711</v>
      </c>
      <c r="AJ723" s="39">
        <f t="shared" si="260"/>
        <v>21.505416652781236</v>
      </c>
      <c r="AK723" s="37">
        <f t="shared" si="261"/>
        <v>176659.61769824938</v>
      </c>
      <c r="AL723" s="37">
        <f t="shared" si="262"/>
        <v>181990.78090706267</v>
      </c>
      <c r="AM723" s="37">
        <f t="shared" si="263"/>
        <v>155036.50661541449</v>
      </c>
    </row>
    <row r="724" spans="12:39">
      <c r="L724">
        <v>720</v>
      </c>
      <c r="M724" s="37">
        <f t="shared" si="248"/>
        <v>4.5238934211692987</v>
      </c>
      <c r="N724" s="37">
        <f t="shared" si="242"/>
        <v>19063.093427071359</v>
      </c>
      <c r="O724" s="37">
        <f t="shared" si="243"/>
        <v>2588.5637463565599</v>
      </c>
      <c r="R724" s="37">
        <f t="shared" si="244"/>
        <v>-20655.83460105005</v>
      </c>
      <c r="S724" s="37">
        <f t="shared" si="245"/>
        <v>6561.9946224495916</v>
      </c>
      <c r="V724" s="37">
        <f t="shared" si="246"/>
        <v>-5936.9065729286403</v>
      </c>
      <c r="W724" s="37">
        <f t="shared" si="247"/>
        <v>-19911.436253643442</v>
      </c>
      <c r="Y724" s="37">
        <f t="shared" si="249"/>
        <v>13288.120586333096</v>
      </c>
      <c r="Z724" s="37">
        <f t="shared" si="250"/>
        <v>-170350.74532104167</v>
      </c>
      <c r="AA724" s="37">
        <f t="shared" si="251"/>
        <v>995.25550839564471</v>
      </c>
      <c r="AB724" s="37">
        <f t="shared" si="252"/>
        <v>-2665.7497404571504</v>
      </c>
      <c r="AC724" s="37">
        <f t="shared" si="253"/>
        <v>-2.8332266071720289</v>
      </c>
      <c r="AD724" s="37">
        <f t="shared" si="254"/>
        <v>42.802311275841333</v>
      </c>
      <c r="AE724" s="39">
        <f t="shared" si="255"/>
        <v>0.62043347282385986</v>
      </c>
      <c r="AF724" s="39">
        <f t="shared" si="256"/>
        <v>16.440187429344942</v>
      </c>
      <c r="AG724" s="39">
        <f t="shared" si="257"/>
        <v>-0.96706660800588939</v>
      </c>
      <c r="AH724" s="39">
        <f t="shared" si="258"/>
        <v>5.239442193097581</v>
      </c>
      <c r="AI724" s="39">
        <f t="shared" si="259"/>
        <v>-2.4865934719899996</v>
      </c>
      <c r="AJ724" s="39">
        <f t="shared" si="260"/>
        <v>21.122681653398814</v>
      </c>
      <c r="AK724" s="37">
        <f t="shared" si="261"/>
        <v>177977.34950412548</v>
      </c>
      <c r="AL724" s="37">
        <f t="shared" si="262"/>
        <v>183397.08370098335</v>
      </c>
      <c r="AM724" s="37">
        <f t="shared" si="263"/>
        <v>156423.49384406235</v>
      </c>
    </row>
    <row r="725" spans="12:39">
      <c r="L725">
        <v>721</v>
      </c>
      <c r="M725" s="37">
        <f t="shared" si="248"/>
        <v>4.5301766064764779</v>
      </c>
      <c r="N725" s="37">
        <f t="shared" si="242"/>
        <v>19093.971181864294</v>
      </c>
      <c r="O725" s="37">
        <f t="shared" si="243"/>
        <v>2582.773975023355</v>
      </c>
      <c r="R725" s="37">
        <f t="shared" si="244"/>
        <v>-20634.220172694993</v>
      </c>
      <c r="S725" s="37">
        <f t="shared" si="245"/>
        <v>6557.9417825163491</v>
      </c>
      <c r="V725" s="37">
        <f t="shared" si="246"/>
        <v>-5906.0288181357064</v>
      </c>
      <c r="W725" s="37">
        <f t="shared" si="247"/>
        <v>-19917.226024976644</v>
      </c>
      <c r="Y725" s="37">
        <f t="shared" si="249"/>
        <v>13785.394187205022</v>
      </c>
      <c r="Z725" s="37">
        <f t="shared" si="250"/>
        <v>-171678.26990236077</v>
      </c>
      <c r="AA725" s="37">
        <f t="shared" si="251"/>
        <v>993.83889509205869</v>
      </c>
      <c r="AB725" s="37">
        <f t="shared" si="252"/>
        <v>-2644.3485848192299</v>
      </c>
      <c r="AC725" s="37">
        <f t="shared" si="253"/>
        <v>-2.8856429732673137</v>
      </c>
      <c r="AD725" s="37">
        <f t="shared" si="254"/>
        <v>42.116012310022711</v>
      </c>
      <c r="AE725" s="39">
        <f t="shared" si="255"/>
        <v>0.56201702677126308</v>
      </c>
      <c r="AF725" s="39">
        <f t="shared" si="256"/>
        <v>16.203962334218261</v>
      </c>
      <c r="AG725" s="39">
        <f t="shared" si="257"/>
        <v>-0.95946958522603054</v>
      </c>
      <c r="AH725" s="39">
        <f t="shared" si="258"/>
        <v>5.1594713769483338</v>
      </c>
      <c r="AI725" s="39">
        <f t="shared" si="259"/>
        <v>-2.488190414812546</v>
      </c>
      <c r="AJ725" s="39">
        <f t="shared" si="260"/>
        <v>20.752578598856122</v>
      </c>
      <c r="AK725" s="37">
        <f t="shared" si="261"/>
        <v>179286.01097300276</v>
      </c>
      <c r="AL725" s="37">
        <f t="shared" si="262"/>
        <v>184792.98313274741</v>
      </c>
      <c r="AM725" s="37">
        <f t="shared" si="263"/>
        <v>157800.41601455203</v>
      </c>
    </row>
    <row r="726" spans="12:39">
      <c r="L726">
        <v>722</v>
      </c>
      <c r="M726" s="37">
        <f t="shared" si="248"/>
        <v>4.5364597917836571</v>
      </c>
      <c r="N726" s="37">
        <f t="shared" si="242"/>
        <v>19124.884705123597</v>
      </c>
      <c r="O726" s="37">
        <f t="shared" si="243"/>
        <v>2577.1783273539768</v>
      </c>
      <c r="R726" s="37">
        <f t="shared" si="244"/>
        <v>-20612.580706413482</v>
      </c>
      <c r="S726" s="37">
        <f t="shared" si="245"/>
        <v>6554.0248291477837</v>
      </c>
      <c r="V726" s="37">
        <f t="shared" si="246"/>
        <v>-5875.1152948764011</v>
      </c>
      <c r="W726" s="37">
        <f t="shared" si="247"/>
        <v>-19922.821672646023</v>
      </c>
      <c r="Y726" s="37">
        <f t="shared" si="249"/>
        <v>14281.952929379393</v>
      </c>
      <c r="Z726" s="37">
        <f t="shared" si="250"/>
        <v>-172995.17969323165</v>
      </c>
      <c r="AA726" s="37">
        <f t="shared" si="251"/>
        <v>992.39607360542504</v>
      </c>
      <c r="AB726" s="37">
        <f t="shared" si="252"/>
        <v>-2623.2905786642186</v>
      </c>
      <c r="AC726" s="37">
        <f t="shared" si="253"/>
        <v>-2.9349418011936934</v>
      </c>
      <c r="AD726" s="37">
        <f t="shared" si="254"/>
        <v>41.450590476989902</v>
      </c>
      <c r="AE726" s="39">
        <f t="shared" si="255"/>
        <v>0.50605942218832534</v>
      </c>
      <c r="AF726" s="39">
        <f t="shared" si="256"/>
        <v>15.974210288097726</v>
      </c>
      <c r="AG726" s="39">
        <f t="shared" si="257"/>
        <v>-0.95202520841391136</v>
      </c>
      <c r="AH726" s="39">
        <f t="shared" si="258"/>
        <v>5.0818582140018087</v>
      </c>
      <c r="AI726" s="39">
        <f t="shared" si="259"/>
        <v>-2.4889760149681073</v>
      </c>
      <c r="AJ726" s="39">
        <f t="shared" si="260"/>
        <v>20.394521974890367</v>
      </c>
      <c r="AK726" s="37">
        <f t="shared" si="261"/>
        <v>180585.73020810314</v>
      </c>
      <c r="AL726" s="37">
        <f t="shared" si="262"/>
        <v>186178.64562728544</v>
      </c>
      <c r="AM726" s="37">
        <f t="shared" si="263"/>
        <v>159167.42919035716</v>
      </c>
    </row>
    <row r="727" spans="12:39">
      <c r="L727">
        <v>723</v>
      </c>
      <c r="M727" s="37">
        <f t="shared" si="248"/>
        <v>4.5427429770908363</v>
      </c>
      <c r="N727" s="37">
        <f t="shared" si="242"/>
        <v>19155.832776436306</v>
      </c>
      <c r="O727" s="37">
        <f t="shared" si="243"/>
        <v>2571.7770242550132</v>
      </c>
      <c r="R727" s="37">
        <f t="shared" si="244"/>
        <v>-20590.917056494585</v>
      </c>
      <c r="S727" s="37">
        <f t="shared" si="245"/>
        <v>6550.2439169785093</v>
      </c>
      <c r="V727" s="37">
        <f t="shared" si="246"/>
        <v>-5844.1672235636925</v>
      </c>
      <c r="W727" s="37">
        <f t="shared" si="247"/>
        <v>-19928.222975744986</v>
      </c>
      <c r="Y727" s="37">
        <f t="shared" si="249"/>
        <v>14777.784098456956</v>
      </c>
      <c r="Z727" s="37">
        <f t="shared" si="250"/>
        <v>-174301.64365875412</v>
      </c>
      <c r="AA727" s="37">
        <f t="shared" si="251"/>
        <v>990.92860270482822</v>
      </c>
      <c r="AB727" s="37">
        <f t="shared" si="252"/>
        <v>-2602.5652834257235</v>
      </c>
      <c r="AC727" s="37">
        <f t="shared" si="253"/>
        <v>-2.9813091917347201</v>
      </c>
      <c r="AD727" s="37">
        <f t="shared" si="254"/>
        <v>40.805145949818041</v>
      </c>
      <c r="AE727" s="39">
        <f t="shared" si="255"/>
        <v>0.45243517574576092</v>
      </c>
      <c r="AF727" s="39">
        <f t="shared" si="256"/>
        <v>15.75068134875707</v>
      </c>
      <c r="AG727" s="39">
        <f t="shared" si="257"/>
        <v>-0.94472897022101909</v>
      </c>
      <c r="AH727" s="39">
        <f t="shared" si="258"/>
        <v>5.0065036211292497</v>
      </c>
      <c r="AI727" s="39">
        <f t="shared" si="259"/>
        <v>-2.489015397259462</v>
      </c>
      <c r="AJ727" s="39">
        <f t="shared" si="260"/>
        <v>20.04796097993172</v>
      </c>
      <c r="AK727" s="37">
        <f t="shared" si="261"/>
        <v>181876.63174786072</v>
      </c>
      <c r="AL727" s="37">
        <f t="shared" si="262"/>
        <v>187554.23248254697</v>
      </c>
      <c r="AM727" s="37">
        <f t="shared" si="263"/>
        <v>160524.68475666243</v>
      </c>
    </row>
    <row r="728" spans="12:39">
      <c r="L728">
        <v>724</v>
      </c>
      <c r="M728" s="37">
        <f t="shared" si="248"/>
        <v>4.5490261623980155</v>
      </c>
      <c r="N728" s="37">
        <f t="shared" si="242"/>
        <v>19186.814174025556</v>
      </c>
      <c r="O728" s="37">
        <f t="shared" si="243"/>
        <v>2566.5702789606639</v>
      </c>
      <c r="R728" s="37">
        <f t="shared" si="244"/>
        <v>-20569.23007818211</v>
      </c>
      <c r="S728" s="37">
        <f t="shared" si="245"/>
        <v>6546.5991952724644</v>
      </c>
      <c r="V728" s="37">
        <f t="shared" si="246"/>
        <v>-5813.1858259744431</v>
      </c>
      <c r="W728" s="37">
        <f t="shared" si="247"/>
        <v>-19933.429721039334</v>
      </c>
      <c r="Y728" s="37">
        <f t="shared" si="249"/>
        <v>15272.875736160404</v>
      </c>
      <c r="Z728" s="37">
        <f t="shared" si="250"/>
        <v>-175597.82565722326</v>
      </c>
      <c r="AA728" s="37">
        <f t="shared" si="251"/>
        <v>989.43794810896088</v>
      </c>
      <c r="AB728" s="37">
        <f t="shared" si="252"/>
        <v>-2582.1627104508143</v>
      </c>
      <c r="AC728" s="37">
        <f t="shared" si="253"/>
        <v>-3.024918579796736</v>
      </c>
      <c r="AD728" s="37">
        <f t="shared" si="254"/>
        <v>40.178828899756788</v>
      </c>
      <c r="AE728" s="39">
        <f t="shared" si="255"/>
        <v>0.40102646277059723</v>
      </c>
      <c r="AF728" s="39">
        <f t="shared" si="256"/>
        <v>15.533137964235104</v>
      </c>
      <c r="AG728" s="39">
        <f t="shared" si="257"/>
        <v>-0.93757654545571822</v>
      </c>
      <c r="AH728" s="39">
        <f t="shared" si="258"/>
        <v>4.9333139017469279</v>
      </c>
      <c r="AI728" s="39">
        <f t="shared" si="259"/>
        <v>-2.4883684971116149</v>
      </c>
      <c r="AJ728" s="39">
        <f t="shared" si="260"/>
        <v>19.712377033774757</v>
      </c>
      <c r="AK728" s="37">
        <f t="shared" si="261"/>
        <v>183158.83670794786</v>
      </c>
      <c r="AL728" s="37">
        <f t="shared" si="262"/>
        <v>188919.90009363135</v>
      </c>
      <c r="AM728" s="37">
        <f t="shared" si="263"/>
        <v>161872.32961949264</v>
      </c>
    </row>
    <row r="729" spans="12:39">
      <c r="L729">
        <v>725</v>
      </c>
      <c r="M729" s="37">
        <f t="shared" si="248"/>
        <v>4.5553093477051947</v>
      </c>
      <c r="N729" s="37">
        <f t="shared" si="242"/>
        <v>19217.82767479882</v>
      </c>
      <c r="O729" s="37">
        <f t="shared" si="243"/>
        <v>2561.5582970243158</v>
      </c>
      <c r="R729" s="37">
        <f t="shared" si="244"/>
        <v>-20547.520627640828</v>
      </c>
      <c r="S729" s="37">
        <f t="shared" si="245"/>
        <v>6543.0908079170204</v>
      </c>
      <c r="V729" s="37">
        <f t="shared" si="246"/>
        <v>-5782.1723252011816</v>
      </c>
      <c r="W729" s="37">
        <f t="shared" si="247"/>
        <v>-19938.441702975684</v>
      </c>
      <c r="Y729" s="37">
        <f t="shared" si="249"/>
        <v>15767.216595392409</v>
      </c>
      <c r="Z729" s="37">
        <f t="shared" si="250"/>
        <v>-176883.88465883621</v>
      </c>
      <c r="AA729" s="37">
        <f t="shared" si="251"/>
        <v>987.92548881906248</v>
      </c>
      <c r="AB729" s="37">
        <f t="shared" si="252"/>
        <v>-2562.0732960009359</v>
      </c>
      <c r="AC729" s="37">
        <f t="shared" si="253"/>
        <v>-3.065931725470378</v>
      </c>
      <c r="AD729" s="37">
        <f t="shared" si="254"/>
        <v>39.570836111013023</v>
      </c>
      <c r="AE729" s="39">
        <f t="shared" si="255"/>
        <v>0.35172257071301816</v>
      </c>
      <c r="AF729" s="39">
        <f t="shared" si="256"/>
        <v>15.32135422749578</v>
      </c>
      <c r="AG729" s="39">
        <f t="shared" si="257"/>
        <v>-0.93056378155344055</v>
      </c>
      <c r="AH729" s="39">
        <f t="shared" si="258"/>
        <v>4.8622003883278593</v>
      </c>
      <c r="AI729" s="39">
        <f t="shared" si="259"/>
        <v>-2.4870905146299553</v>
      </c>
      <c r="AJ729" s="39">
        <f t="shared" si="260"/>
        <v>19.387281495189388</v>
      </c>
      <c r="AK729" s="37">
        <f t="shared" si="261"/>
        <v>184432.46291592307</v>
      </c>
      <c r="AL729" s="37">
        <f t="shared" si="262"/>
        <v>190275.80016428497</v>
      </c>
      <c r="AM729" s="37">
        <f t="shared" si="263"/>
        <v>163210.50639390628</v>
      </c>
    </row>
    <row r="730" spans="12:39">
      <c r="L730">
        <v>726</v>
      </c>
      <c r="M730" s="37">
        <f t="shared" si="248"/>
        <v>4.5615925330123739</v>
      </c>
      <c r="N730" s="37">
        <f t="shared" si="242"/>
        <v>19248.872054396186</v>
      </c>
      <c r="O730" s="37">
        <f t="shared" si="243"/>
        <v>2556.7412763104339</v>
      </c>
      <c r="R730" s="37">
        <f t="shared" si="244"/>
        <v>-20525.789561922669</v>
      </c>
      <c r="S730" s="37">
        <f t="shared" si="245"/>
        <v>6539.7188934173046</v>
      </c>
      <c r="V730" s="37">
        <f t="shared" si="246"/>
        <v>-5751.1279456038146</v>
      </c>
      <c r="W730" s="37">
        <f t="shared" si="247"/>
        <v>-19943.258723689567</v>
      </c>
      <c r="Y730" s="37">
        <f t="shared" si="249"/>
        <v>16260.796098336255</v>
      </c>
      <c r="Z730" s="37">
        <f t="shared" si="250"/>
        <v>-178159.97495232281</v>
      </c>
      <c r="AA730" s="37">
        <f t="shared" si="251"/>
        <v>986.3925229563273</v>
      </c>
      <c r="AB730" s="37">
        <f t="shared" si="252"/>
        <v>-2542.2878779454295</v>
      </c>
      <c r="AC730" s="37">
        <f t="shared" si="253"/>
        <v>-3.1044996169722912</v>
      </c>
      <c r="AD730" s="37">
        <f t="shared" si="254"/>
        <v>38.980407864888377</v>
      </c>
      <c r="AE730" s="39">
        <f t="shared" si="255"/>
        <v>0.30441939725036882</v>
      </c>
      <c r="AF730" s="39">
        <f t="shared" si="256"/>
        <v>15.115115183570756</v>
      </c>
      <c r="AG730" s="39">
        <f t="shared" si="257"/>
        <v>-0.92368668967650958</v>
      </c>
      <c r="AH730" s="39">
        <f t="shared" si="258"/>
        <v>4.7930791128245653</v>
      </c>
      <c r="AI730" s="39">
        <f t="shared" si="259"/>
        <v>-2.4852323245461503</v>
      </c>
      <c r="AJ730" s="39">
        <f t="shared" si="260"/>
        <v>19.072213568493051</v>
      </c>
      <c r="AK730" s="37">
        <f t="shared" si="261"/>
        <v>185697.6250389739</v>
      </c>
      <c r="AL730" s="37">
        <f t="shared" si="262"/>
        <v>191622.07990663254</v>
      </c>
      <c r="AM730" s="37">
        <f t="shared" si="263"/>
        <v>164539.35358198549</v>
      </c>
    </row>
    <row r="731" spans="12:39">
      <c r="L731">
        <v>727</v>
      </c>
      <c r="M731" s="37">
        <f t="shared" si="248"/>
        <v>4.5678757183195531</v>
      </c>
      <c r="N731" s="37">
        <f t="shared" si="242"/>
        <v>19279.946087238706</v>
      </c>
      <c r="O731" s="37">
        <f t="shared" si="243"/>
        <v>2552.1194069867497</v>
      </c>
      <c r="R731" s="37">
        <f t="shared" si="244"/>
        <v>-20504.037738932904</v>
      </c>
      <c r="S731" s="37">
        <f t="shared" si="245"/>
        <v>6536.4835848907242</v>
      </c>
      <c r="V731" s="37">
        <f t="shared" si="246"/>
        <v>-5720.0539127612919</v>
      </c>
      <c r="W731" s="37">
        <f t="shared" si="247"/>
        <v>-19947.880593013251</v>
      </c>
      <c r="Y731" s="37">
        <f t="shared" si="249"/>
        <v>16753.604297362297</v>
      </c>
      <c r="Z731" s="37">
        <f t="shared" si="250"/>
        <v>-179426.24634031241</v>
      </c>
      <c r="AA731" s="37">
        <f t="shared" si="251"/>
        <v>984.84027314784112</v>
      </c>
      <c r="AB731" s="37">
        <f t="shared" si="252"/>
        <v>-2522.7976740129852</v>
      </c>
      <c r="AC731" s="37">
        <f t="shared" si="253"/>
        <v>-3.1407632942526877</v>
      </c>
      <c r="AD731" s="37">
        <f t="shared" si="254"/>
        <v>38.406825068722029</v>
      </c>
      <c r="AE731" s="39">
        <f t="shared" si="255"/>
        <v>0.25901898892756681</v>
      </c>
      <c r="AF731" s="39">
        <f t="shared" si="256"/>
        <v>14.914216184968991</v>
      </c>
      <c r="AG731" s="39">
        <f t="shared" si="257"/>
        <v>-0.91694143639191195</v>
      </c>
      <c r="AH731" s="39">
        <f t="shared" si="258"/>
        <v>4.725870502504149</v>
      </c>
      <c r="AI731" s="39">
        <f t="shared" si="259"/>
        <v>-2.4828408467883425</v>
      </c>
      <c r="AJ731" s="39">
        <f t="shared" si="260"/>
        <v>18.766738381248892</v>
      </c>
      <c r="AK731" s="37">
        <f t="shared" si="261"/>
        <v>186954.4347051903</v>
      </c>
      <c r="AL731" s="37">
        <f t="shared" si="262"/>
        <v>192958.88222993989</v>
      </c>
      <c r="AM731" s="37">
        <f t="shared" si="263"/>
        <v>165859.00574129619</v>
      </c>
    </row>
    <row r="732" spans="12:39">
      <c r="L732">
        <v>728</v>
      </c>
      <c r="M732" s="37">
        <f t="shared" si="248"/>
        <v>4.5741589036267323</v>
      </c>
      <c r="N732" s="37">
        <f t="shared" si="242"/>
        <v>19311.048546576778</v>
      </c>
      <c r="O732" s="37">
        <f t="shared" si="243"/>
        <v>2547.6928715167487</v>
      </c>
      <c r="R732" s="37">
        <f t="shared" si="244"/>
        <v>-20482.266017396258</v>
      </c>
      <c r="S732" s="37">
        <f t="shared" si="245"/>
        <v>6533.3850100617237</v>
      </c>
      <c r="V732" s="37">
        <f t="shared" si="246"/>
        <v>-5688.951453423223</v>
      </c>
      <c r="W732" s="37">
        <f t="shared" si="247"/>
        <v>-19952.307128483251</v>
      </c>
      <c r="Y732" s="37">
        <f t="shared" si="249"/>
        <v>17245.631838524438</v>
      </c>
      <c r="Z732" s="37">
        <f t="shared" si="250"/>
        <v>-180682.84432418534</v>
      </c>
      <c r="AA732" s="37">
        <f t="shared" si="251"/>
        <v>983.26989150071472</v>
      </c>
      <c r="AB732" s="37">
        <f t="shared" si="252"/>
        <v>-2503.594261478624</v>
      </c>
      <c r="AC732" s="37">
        <f t="shared" si="253"/>
        <v>-3.1748546010837417</v>
      </c>
      <c r="AD732" s="37">
        <f t="shared" si="254"/>
        <v>37.849406607598084</v>
      </c>
      <c r="AE732" s="39">
        <f t="shared" si="255"/>
        <v>0.21542911665095243</v>
      </c>
      <c r="AF732" s="39">
        <f t="shared" si="256"/>
        <v>14.718462291513323</v>
      </c>
      <c r="AG732" s="39">
        <f t="shared" si="257"/>
        <v>-0.91032433588066375</v>
      </c>
      <c r="AH732" s="39">
        <f t="shared" si="258"/>
        <v>4.6604990989495549</v>
      </c>
      <c r="AI732" s="39">
        <f t="shared" si="259"/>
        <v>-2.4799593818540306</v>
      </c>
      <c r="AJ732" s="39">
        <f t="shared" si="260"/>
        <v>18.470445217135204</v>
      </c>
      <c r="AK732" s="37">
        <f t="shared" si="261"/>
        <v>188203.00061877209</v>
      </c>
      <c r="AL732" s="37">
        <f t="shared" si="262"/>
        <v>194286.34591914175</v>
      </c>
      <c r="AM732" s="37">
        <f t="shared" si="263"/>
        <v>167169.59364444064</v>
      </c>
    </row>
    <row r="733" spans="12:39">
      <c r="L733">
        <v>729</v>
      </c>
      <c r="M733" s="37">
        <f t="shared" si="248"/>
        <v>4.5804420889339115</v>
      </c>
      <c r="N733" s="37">
        <f t="shared" si="242"/>
        <v>19342.178204538552</v>
      </c>
      <c r="O733" s="37">
        <f t="shared" si="243"/>
        <v>2543.4618446524719</v>
      </c>
      <c r="R733" s="37">
        <f t="shared" si="244"/>
        <v>-20460.475256823014</v>
      </c>
      <c r="S733" s="37">
        <f t="shared" si="245"/>
        <v>6530.4232912567304</v>
      </c>
      <c r="V733" s="37">
        <f t="shared" si="246"/>
        <v>-5657.8217954614474</v>
      </c>
      <c r="W733" s="37">
        <f t="shared" si="247"/>
        <v>-19956.538155347527</v>
      </c>
      <c r="Y733" s="37">
        <f t="shared" si="249"/>
        <v>17736.869927449658</v>
      </c>
      <c r="Z733" s="37">
        <f t="shared" si="250"/>
        <v>-181929.91027909869</v>
      </c>
      <c r="AA733" s="37">
        <f t="shared" si="251"/>
        <v>981.68246420017283</v>
      </c>
      <c r="AB733" s="37">
        <f t="shared" si="252"/>
        <v>-2484.6695581748249</v>
      </c>
      <c r="AC733" s="37">
        <f t="shared" si="253"/>
        <v>-3.2068968725913845</v>
      </c>
      <c r="AD733" s="37">
        <f t="shared" si="254"/>
        <v>37.307506899012722</v>
      </c>
      <c r="AE733" s="39">
        <f t="shared" si="255"/>
        <v>0.17356288472388914</v>
      </c>
      <c r="AF733" s="39">
        <f t="shared" si="256"/>
        <v>14.527667711108334</v>
      </c>
      <c r="AG733" s="39">
        <f t="shared" si="257"/>
        <v>-0.90383184263691996</v>
      </c>
      <c r="AH733" s="39">
        <f t="shared" si="258"/>
        <v>4.5968932982041872</v>
      </c>
      <c r="AI733" s="39">
        <f t="shared" si="259"/>
        <v>-2.4766279146783536</v>
      </c>
      <c r="AJ733" s="39">
        <f t="shared" si="260"/>
        <v>18.1829458897002</v>
      </c>
      <c r="AK733" s="37">
        <f t="shared" si="261"/>
        <v>189443.42866954414</v>
      </c>
      <c r="AL733" s="37">
        <f t="shared" si="262"/>
        <v>195604.60580381058</v>
      </c>
      <c r="AM733" s="37">
        <f t="shared" si="263"/>
        <v>168471.24443027572</v>
      </c>
    </row>
    <row r="734" spans="12:39">
      <c r="L734">
        <v>730</v>
      </c>
      <c r="M734" s="37">
        <f t="shared" si="248"/>
        <v>4.5867252742410907</v>
      </c>
      <c r="N734" s="37">
        <f t="shared" si="242"/>
        <v>19373.333832178443</v>
      </c>
      <c r="O734" s="37">
        <f t="shared" si="243"/>
        <v>2539.4264934276152</v>
      </c>
      <c r="R734" s="37">
        <f t="shared" si="244"/>
        <v>-20438.66631747509</v>
      </c>
      <c r="S734" s="37">
        <f t="shared" si="245"/>
        <v>6527.5985453993308</v>
      </c>
      <c r="V734" s="37">
        <f t="shared" si="246"/>
        <v>-5626.6661678215587</v>
      </c>
      <c r="W734" s="37">
        <f t="shared" si="247"/>
        <v>-19960.573506572386</v>
      </c>
      <c r="Y734" s="37">
        <f t="shared" si="249"/>
        <v>18227.310297440672</v>
      </c>
      <c r="Z734" s="37">
        <f t="shared" si="250"/>
        <v>-183167.58161982373</v>
      </c>
      <c r="AA734" s="37">
        <f t="shared" si="251"/>
        <v>980.07901576387712</v>
      </c>
      <c r="AB734" s="37">
        <f t="shared" si="252"/>
        <v>-2466.0158047253185</v>
      </c>
      <c r="AC734" s="37">
        <f t="shared" si="253"/>
        <v>-3.2370055644416871</v>
      </c>
      <c r="AD734" s="37">
        <f t="shared" si="254"/>
        <v>36.780513632673404</v>
      </c>
      <c r="AE734" s="39">
        <f t="shared" si="255"/>
        <v>0.13333837044256633</v>
      </c>
      <c r="AF734" s="39">
        <f t="shared" si="256"/>
        <v>14.341655278251636</v>
      </c>
      <c r="AG734" s="39">
        <f t="shared" si="257"/>
        <v>-0.89746054461876823</v>
      </c>
      <c r="AH734" s="39">
        <f t="shared" si="258"/>
        <v>4.5349851102347607</v>
      </c>
      <c r="AI734" s="39">
        <f t="shared" si="259"/>
        <v>-2.4728833902654852</v>
      </c>
      <c r="AJ734" s="39">
        <f t="shared" si="260"/>
        <v>17.903873244187007</v>
      </c>
      <c r="AK734" s="37">
        <f t="shared" si="261"/>
        <v>190675.82203712591</v>
      </c>
      <c r="AL734" s="37">
        <f t="shared" si="262"/>
        <v>196913.79291819068</v>
      </c>
      <c r="AM734" s="37">
        <f t="shared" si="263"/>
        <v>169764.0817473286</v>
      </c>
    </row>
    <row r="735" spans="12:39">
      <c r="L735">
        <v>731</v>
      </c>
      <c r="M735" s="37">
        <f t="shared" si="248"/>
        <v>4.5930084595482699</v>
      </c>
      <c r="N735" s="37">
        <f t="shared" si="242"/>
        <v>19404.514199525613</v>
      </c>
      <c r="O735" s="37">
        <f t="shared" si="243"/>
        <v>2535.5869771509369</v>
      </c>
      <c r="R735" s="37">
        <f t="shared" si="244"/>
        <v>-20416.84006033207</v>
      </c>
      <c r="S735" s="37">
        <f t="shared" si="245"/>
        <v>6524.910884005656</v>
      </c>
      <c r="V735" s="37">
        <f t="shared" si="246"/>
        <v>-5595.4858004743874</v>
      </c>
      <c r="W735" s="37">
        <f t="shared" si="247"/>
        <v>-19964.413022849061</v>
      </c>
      <c r="Y735" s="37">
        <f t="shared" si="249"/>
        <v>18716.945179627055</v>
      </c>
      <c r="Z735" s="37">
        <f t="shared" si="250"/>
        <v>-184395.9919579823</v>
      </c>
      <c r="AA735" s="37">
        <f t="shared" si="251"/>
        <v>978.46051298165628</v>
      </c>
      <c r="AB735" s="37">
        <f t="shared" si="252"/>
        <v>-2447.6255479089818</v>
      </c>
      <c r="AC735" s="37">
        <f t="shared" si="253"/>
        <v>-3.2652888292313209</v>
      </c>
      <c r="AD735" s="37">
        <f t="shared" si="254"/>
        <v>36.267845679363511</v>
      </c>
      <c r="AE735" s="39">
        <f t="shared" si="255"/>
        <v>9.4678291564513614E-2</v>
      </c>
      <c r="AF735" s="39">
        <f t="shared" si="256"/>
        <v>14.160255967378239</v>
      </c>
      <c r="AG735" s="39">
        <f t="shared" si="257"/>
        <v>-0.89120715681646423</v>
      </c>
      <c r="AH735" s="39">
        <f t="shared" si="258"/>
        <v>4.4747099360657376</v>
      </c>
      <c r="AI735" s="39">
        <f t="shared" si="259"/>
        <v>-2.4687599639793705</v>
      </c>
      <c r="AJ735" s="39">
        <f t="shared" si="260"/>
        <v>17.632879775919534</v>
      </c>
      <c r="AK735" s="37">
        <f t="shared" si="261"/>
        <v>191900.28129007548</v>
      </c>
      <c r="AL735" s="37">
        <f t="shared" si="262"/>
        <v>198214.03465287256</v>
      </c>
      <c r="AM735" s="37">
        <f t="shared" si="263"/>
        <v>171048.22588989994</v>
      </c>
    </row>
    <row r="736" spans="12:39">
      <c r="L736">
        <v>732</v>
      </c>
      <c r="M736" s="37">
        <f t="shared" si="248"/>
        <v>4.5992916448554491</v>
      </c>
      <c r="N736" s="37">
        <f t="shared" si="242"/>
        <v>19435.718075632551</v>
      </c>
      <c r="O736" s="37">
        <f t="shared" si="243"/>
        <v>2531.9434473999627</v>
      </c>
      <c r="R736" s="37">
        <f t="shared" si="244"/>
        <v>-20394.997347057215</v>
      </c>
      <c r="S736" s="37">
        <f t="shared" si="245"/>
        <v>6522.3604131799739</v>
      </c>
      <c r="V736" s="37">
        <f t="shared" si="246"/>
        <v>-5564.2819243674494</v>
      </c>
      <c r="W736" s="37">
        <f t="shared" si="247"/>
        <v>-19968.056552600036</v>
      </c>
      <c r="Y736" s="37">
        <f t="shared" si="249"/>
        <v>19205.76727501423</v>
      </c>
      <c r="Z736" s="37">
        <f t="shared" si="250"/>
        <v>-185615.27125122689</v>
      </c>
      <c r="AA736" s="37">
        <f t="shared" si="251"/>
        <v>976.82786856704058</v>
      </c>
      <c r="AB736" s="37">
        <f t="shared" si="252"/>
        <v>-2429.4916250693</v>
      </c>
      <c r="AC736" s="37">
        <f t="shared" si="253"/>
        <v>-3.2918480450468888</v>
      </c>
      <c r="AD736" s="37">
        <f t="shared" si="254"/>
        <v>35.768951154375884</v>
      </c>
      <c r="AE736" s="39">
        <f t="shared" si="255"/>
        <v>5.7509699224579006E-2</v>
      </c>
      <c r="AF736" s="39">
        <f t="shared" si="256"/>
        <v>13.983308438379987</v>
      </c>
      <c r="AG736" s="39">
        <f t="shared" si="257"/>
        <v>-0.88506851520687102</v>
      </c>
      <c r="AH736" s="39">
        <f t="shared" si="258"/>
        <v>4.4160063610960121</v>
      </c>
      <c r="AI736" s="39">
        <f t="shared" si="259"/>
        <v>-2.464289229064597</v>
      </c>
      <c r="AJ736" s="39">
        <f t="shared" si="260"/>
        <v>17.369636354899882</v>
      </c>
      <c r="AK736" s="37">
        <f t="shared" si="261"/>
        <v>193116.90448030792</v>
      </c>
      <c r="AL736" s="37">
        <f t="shared" si="262"/>
        <v>199505.45489864092</v>
      </c>
      <c r="AM736" s="37">
        <f t="shared" si="263"/>
        <v>172323.79392730966</v>
      </c>
    </row>
    <row r="737" spans="12:39">
      <c r="L737">
        <v>733</v>
      </c>
      <c r="M737" s="37">
        <f t="shared" si="248"/>
        <v>4.6055748301626283</v>
      </c>
      <c r="N737" s="37">
        <f t="shared" si="242"/>
        <v>19466.944228623659</v>
      </c>
      <c r="O737" s="37">
        <f t="shared" si="243"/>
        <v>2528.4960480150103</v>
      </c>
      <c r="R737" s="37">
        <f t="shared" si="244"/>
        <v>-20373.13903996344</v>
      </c>
      <c r="S737" s="37">
        <f t="shared" si="245"/>
        <v>6519.9472336105073</v>
      </c>
      <c r="V737" s="37">
        <f t="shared" si="246"/>
        <v>-5533.0557713763428</v>
      </c>
      <c r="W737" s="37">
        <f t="shared" si="247"/>
        <v>-19971.503951984989</v>
      </c>
      <c r="Y737" s="37">
        <f t="shared" si="249"/>
        <v>19693.769728292118</v>
      </c>
      <c r="Z737" s="37">
        <f t="shared" si="250"/>
        <v>-186825.54594486725</v>
      </c>
      <c r="AA737" s="37">
        <f t="shared" si="251"/>
        <v>975.18194454451714</v>
      </c>
      <c r="AB737" s="37">
        <f t="shared" si="252"/>
        <v>-2411.6071494921121</v>
      </c>
      <c r="AC737" s="37">
        <f t="shared" si="253"/>
        <v>-3.3167783006408089</v>
      </c>
      <c r="AD737" s="37">
        <f t="shared" si="254"/>
        <v>35.283305622417579</v>
      </c>
      <c r="AE737" s="39">
        <f t="shared" si="255"/>
        <v>2.1763694107298091E-2</v>
      </c>
      <c r="AF737" s="39">
        <f t="shared" si="256"/>
        <v>13.810658611870137</v>
      </c>
      <c r="AG737" s="39">
        <f t="shared" si="257"/>
        <v>-0.87904157106563541</v>
      </c>
      <c r="AH737" s="39">
        <f t="shared" si="258"/>
        <v>4.3588159632494516</v>
      </c>
      <c r="AI737" s="39">
        <f t="shared" si="259"/>
        <v>-2.4595004236824716</v>
      </c>
      <c r="AJ737" s="39">
        <f t="shared" si="260"/>
        <v>17.113831047297992</v>
      </c>
      <c r="AK737" s="37">
        <f t="shared" si="261"/>
        <v>194325.78723306389</v>
      </c>
      <c r="AL737" s="37">
        <f t="shared" si="262"/>
        <v>200788.17418298748</v>
      </c>
      <c r="AM737" s="37">
        <f t="shared" si="263"/>
        <v>173590.89982670636</v>
      </c>
    </row>
    <row r="738" spans="12:39">
      <c r="L738">
        <v>734</v>
      </c>
      <c r="M738" s="37">
        <f t="shared" si="248"/>
        <v>4.6118580154698074</v>
      </c>
      <c r="N738" s="37">
        <f t="shared" si="242"/>
        <v>19498.19142574388</v>
      </c>
      <c r="O738" s="37">
        <f t="shared" si="243"/>
        <v>2525.2449150935036</v>
      </c>
      <c r="R738" s="37">
        <f t="shared" si="244"/>
        <v>-20351.266001979282</v>
      </c>
      <c r="S738" s="37">
        <f t="shared" si="245"/>
        <v>6517.6714405654529</v>
      </c>
      <c r="V738" s="37">
        <f t="shared" si="246"/>
        <v>-5501.8085742561198</v>
      </c>
      <c r="W738" s="37">
        <f t="shared" si="247"/>
        <v>-19974.755084906497</v>
      </c>
      <c r="Y738" s="37">
        <f t="shared" si="249"/>
        <v>20180.946103276794</v>
      </c>
      <c r="Z738" s="37">
        <f t="shared" si="250"/>
        <v>-188026.93910641051</v>
      </c>
      <c r="AA738" s="37">
        <f t="shared" si="251"/>
        <v>973.52355539419671</v>
      </c>
      <c r="AB738" s="37">
        <f t="shared" si="252"/>
        <v>-2393.9654966809035</v>
      </c>
      <c r="AC738" s="37">
        <f t="shared" si="253"/>
        <v>-3.3401688412129058</v>
      </c>
      <c r="AD738" s="37">
        <f t="shared" si="254"/>
        <v>34.810410432131981</v>
      </c>
      <c r="AE738" s="39">
        <f t="shared" si="255"/>
        <v>-1.2624836106090161E-2</v>
      </c>
      <c r="AF738" s="39">
        <f t="shared" si="256"/>
        <v>13.642159271967499</v>
      </c>
      <c r="AG738" s="39">
        <f t="shared" si="257"/>
        <v>-0.87312338561131364</v>
      </c>
      <c r="AH738" s="39">
        <f t="shared" si="258"/>
        <v>4.3030831347381904</v>
      </c>
      <c r="AI738" s="39">
        <f t="shared" si="259"/>
        <v>-2.4544206194955023</v>
      </c>
      <c r="AJ738" s="39">
        <f t="shared" si="260"/>
        <v>16.865168025426293</v>
      </c>
      <c r="AK738" s="37">
        <f t="shared" si="261"/>
        <v>195527.02283268742</v>
      </c>
      <c r="AL738" s="37">
        <f t="shared" si="262"/>
        <v>202062.30979974582</v>
      </c>
      <c r="AM738" s="37">
        <f t="shared" si="263"/>
        <v>174849.65456983214</v>
      </c>
    </row>
    <row r="739" spans="12:39">
      <c r="L739">
        <v>735</v>
      </c>
      <c r="M739" s="37">
        <f t="shared" si="248"/>
        <v>4.6181412007769866</v>
      </c>
      <c r="N739" s="37">
        <f t="shared" si="242"/>
        <v>19529.458433407381</v>
      </c>
      <c r="O739" s="37">
        <f t="shared" si="243"/>
        <v>2522.1901769846045</v>
      </c>
      <c r="R739" s="37">
        <f t="shared" si="244"/>
        <v>-20329.379096614834</v>
      </c>
      <c r="S739" s="37">
        <f t="shared" si="245"/>
        <v>6515.5331238892231</v>
      </c>
      <c r="V739" s="37">
        <f t="shared" si="246"/>
        <v>-5470.5415665926184</v>
      </c>
      <c r="W739" s="37">
        <f t="shared" si="247"/>
        <v>-19977.809823015396</v>
      </c>
      <c r="Y739" s="37">
        <f t="shared" si="249"/>
        <v>20667.290359868741</v>
      </c>
      <c r="Z739" s="37">
        <f t="shared" si="250"/>
        <v>-189219.57055344697</v>
      </c>
      <c r="AA739" s="37">
        <f t="shared" si="251"/>
        <v>971.85347097359022</v>
      </c>
      <c r="AB739" s="37">
        <f t="shared" si="252"/>
        <v>-2376.5602914648375</v>
      </c>
      <c r="AC739" s="37">
        <f t="shared" si="253"/>
        <v>-3.3621034783815777</v>
      </c>
      <c r="AD739" s="37">
        <f t="shared" si="254"/>
        <v>34.349791169508698</v>
      </c>
      <c r="AE739" s="39">
        <f t="shared" si="255"/>
        <v>-4.5717459810293883E-2</v>
      </c>
      <c r="AF739" s="39">
        <f t="shared" si="256"/>
        <v>13.477669694560779</v>
      </c>
      <c r="AG739" s="39">
        <f t="shared" si="257"/>
        <v>-0.86731112495773821</v>
      </c>
      <c r="AH739" s="39">
        <f t="shared" si="258"/>
        <v>4.2487549163298937</v>
      </c>
      <c r="AI739" s="39">
        <f t="shared" si="259"/>
        <v>-2.4490748936135458</v>
      </c>
      <c r="AJ739" s="39">
        <f t="shared" si="260"/>
        <v>16.623366558618024</v>
      </c>
      <c r="AK739" s="37">
        <f t="shared" si="261"/>
        <v>196720.7023044524</v>
      </c>
      <c r="AL739" s="37">
        <f t="shared" si="262"/>
        <v>203327.97593226988</v>
      </c>
      <c r="AM739" s="37">
        <f t="shared" si="263"/>
        <v>176100.16626410466</v>
      </c>
    </row>
    <row r="740" spans="12:39">
      <c r="L740">
        <v>736</v>
      </c>
      <c r="M740" s="37">
        <f t="shared" si="248"/>
        <v>4.6244243860841658</v>
      </c>
      <c r="N740" s="37">
        <f t="shared" si="242"/>
        <v>19560.744017246234</v>
      </c>
      <c r="O740" s="37">
        <f t="shared" si="243"/>
        <v>2519.3319542841418</v>
      </c>
      <c r="R740" s="37">
        <f t="shared" si="244"/>
        <v>-20307.479187927634</v>
      </c>
      <c r="S740" s="37">
        <f t="shared" si="245"/>
        <v>6513.5323679988996</v>
      </c>
      <c r="V740" s="37">
        <f t="shared" si="246"/>
        <v>-5439.2559827537643</v>
      </c>
      <c r="W740" s="37">
        <f t="shared" si="247"/>
        <v>-19980.668045715858</v>
      </c>
      <c r="Y740" s="37">
        <f t="shared" si="249"/>
        <v>21152.79683242074</v>
      </c>
      <c r="Z740" s="37">
        <f t="shared" si="250"/>
        <v>-190403.55697528322</v>
      </c>
      <c r="AA740" s="37">
        <f t="shared" si="251"/>
        <v>970.1724192343994</v>
      </c>
      <c r="AB740" s="37">
        <f t="shared" si="252"/>
        <v>-2359.3853958800833</v>
      </c>
      <c r="AC740" s="37">
        <f t="shared" si="253"/>
        <v>-3.3826609675659749</v>
      </c>
      <c r="AD740" s="37">
        <f t="shared" si="254"/>
        <v>33.900996220445677</v>
      </c>
      <c r="AE740" s="39">
        <f t="shared" si="255"/>
        <v>-7.7572426694647298E-2</v>
      </c>
      <c r="AF740" s="39">
        <f t="shared" si="256"/>
        <v>13.317055299187448</v>
      </c>
      <c r="AG740" s="39">
        <f t="shared" si="257"/>
        <v>-0.8616020553531043</v>
      </c>
      <c r="AH740" s="39">
        <f t="shared" si="258"/>
        <v>4.1957808431126278</v>
      </c>
      <c r="AI740" s="39">
        <f t="shared" si="259"/>
        <v>-2.4434864855182234</v>
      </c>
      <c r="AJ740" s="39">
        <f t="shared" si="260"/>
        <v>16.388160078145599</v>
      </c>
      <c r="AK740" s="37">
        <f t="shared" si="261"/>
        <v>197906.91449266247</v>
      </c>
      <c r="AL740" s="37">
        <f t="shared" si="262"/>
        <v>204585.28377054908</v>
      </c>
      <c r="AM740" s="37">
        <f t="shared" si="263"/>
        <v>177342.54024835469</v>
      </c>
    </row>
    <row r="741" spans="12:39">
      <c r="L741">
        <v>737</v>
      </c>
      <c r="M741" s="37">
        <f t="shared" si="248"/>
        <v>4.630707571391345</v>
      </c>
      <c r="N741" s="37">
        <f t="shared" si="242"/>
        <v>19592.046942159162</v>
      </c>
      <c r="O741" s="37">
        <f t="shared" si="243"/>
        <v>2516.6703598298545</v>
      </c>
      <c r="R741" s="37">
        <f t="shared" si="244"/>
        <v>-20285.567140488587</v>
      </c>
      <c r="S741" s="37">
        <f t="shared" si="245"/>
        <v>6511.6692518808977</v>
      </c>
      <c r="V741" s="37">
        <f t="shared" si="246"/>
        <v>-5407.9530578408385</v>
      </c>
      <c r="W741" s="37">
        <f t="shared" si="247"/>
        <v>-19983.329640170145</v>
      </c>
      <c r="Y741" s="37">
        <f t="shared" si="249"/>
        <v>21637.460209416993</v>
      </c>
      <c r="Z741" s="37">
        <f t="shared" si="250"/>
        <v>-191579.0120486957</v>
      </c>
      <c r="AA741" s="37">
        <f t="shared" si="251"/>
        <v>968.48108875061644</v>
      </c>
      <c r="AB741" s="37">
        <f t="shared" si="252"/>
        <v>-2342.4348977698605</v>
      </c>
      <c r="AC741" s="37">
        <f t="shared" si="253"/>
        <v>-3.4019153556810693</v>
      </c>
      <c r="AD741" s="37">
        <f t="shared" si="254"/>
        <v>33.463595433629052</v>
      </c>
      <c r="AE741" s="39">
        <f t="shared" si="255"/>
        <v>-0.10824487658348453</v>
      </c>
      <c r="AF741" s="39">
        <f t="shared" si="256"/>
        <v>13.160187322808639</v>
      </c>
      <c r="AG741" s="39">
        <f t="shared" si="257"/>
        <v>-0.85599353868587413</v>
      </c>
      <c r="AH741" s="39">
        <f t="shared" si="258"/>
        <v>4.144112800841306</v>
      </c>
      <c r="AI741" s="39">
        <f t="shared" si="259"/>
        <v>-2.4376769404117109</v>
      </c>
      <c r="AJ741" s="39">
        <f t="shared" si="260"/>
        <v>16.159295309979111</v>
      </c>
      <c r="AK741" s="37">
        <f t="shared" si="261"/>
        <v>199085.74613523227</v>
      </c>
      <c r="AL741" s="37">
        <f t="shared" si="262"/>
        <v>205834.34162262376</v>
      </c>
      <c r="AM741" s="37">
        <f t="shared" si="263"/>
        <v>178576.87919353304</v>
      </c>
    </row>
    <row r="742" spans="12:39">
      <c r="L742">
        <v>738</v>
      </c>
      <c r="M742" s="37">
        <f t="shared" si="248"/>
        <v>4.6369907566985242</v>
      </c>
      <c r="N742" s="37">
        <f t="shared" si="242"/>
        <v>19623.365972360283</v>
      </c>
      <c r="O742" s="37">
        <f t="shared" si="243"/>
        <v>2514.2054986969342</v>
      </c>
      <c r="R742" s="37">
        <f t="shared" si="244"/>
        <v>-20263.643819347802</v>
      </c>
      <c r="S742" s="37">
        <f t="shared" si="245"/>
        <v>6509.9438490878538</v>
      </c>
      <c r="V742" s="37">
        <f t="shared" si="246"/>
        <v>-5376.6340276397168</v>
      </c>
      <c r="W742" s="37">
        <f t="shared" si="247"/>
        <v>-19985.794501303066</v>
      </c>
      <c r="Y742" s="37">
        <f t="shared" si="249"/>
        <v>22121.275514372843</v>
      </c>
      <c r="Z742" s="37">
        <f t="shared" si="250"/>
        <v>-192746.04654815144</v>
      </c>
      <c r="AA742" s="37">
        <f t="shared" si="251"/>
        <v>966.78013107277593</v>
      </c>
      <c r="AB742" s="37">
        <f t="shared" si="252"/>
        <v>-2325.703100053046</v>
      </c>
      <c r="AC742" s="37">
        <f t="shared" si="253"/>
        <v>-3.4199363017601323</v>
      </c>
      <c r="AD742" s="37">
        <f t="shared" si="254"/>
        <v>33.037178875697208</v>
      </c>
      <c r="AE742" s="39">
        <f t="shared" si="255"/>
        <v>-0.13778703323848732</v>
      </c>
      <c r="AF742" s="39">
        <f t="shared" si="256"/>
        <v>13.006942513906882</v>
      </c>
      <c r="AG742" s="39">
        <f t="shared" si="257"/>
        <v>-0.85048302823944411</v>
      </c>
      <c r="AH742" s="39">
        <f t="shared" si="258"/>
        <v>4.0937048920327435</v>
      </c>
      <c r="AI742" s="39">
        <f t="shared" si="259"/>
        <v>-2.4316662402822007</v>
      </c>
      <c r="AJ742" s="39">
        <f t="shared" si="260"/>
        <v>15.936531469757579</v>
      </c>
      <c r="AK742" s="37">
        <f t="shared" si="261"/>
        <v>200257.28193494567</v>
      </c>
      <c r="AL742" s="37">
        <f t="shared" si="262"/>
        <v>207075.25502063951</v>
      </c>
      <c r="AM742" s="37">
        <f t="shared" si="263"/>
        <v>179803.28319867837</v>
      </c>
    </row>
    <row r="743" spans="12:39">
      <c r="L743">
        <v>739</v>
      </c>
      <c r="M743" s="37">
        <f t="shared" si="248"/>
        <v>4.6432739420057034</v>
      </c>
      <c r="N743" s="37">
        <f t="shared" si="242"/>
        <v>19654.699871427918</v>
      </c>
      <c r="O743" s="37">
        <f t="shared" si="243"/>
        <v>2511.937468193878</v>
      </c>
      <c r="R743" s="37">
        <f t="shared" si="244"/>
        <v>-20241.710090000459</v>
      </c>
      <c r="S743" s="37">
        <f t="shared" si="245"/>
        <v>6508.3562277357141</v>
      </c>
      <c r="V743" s="37">
        <f t="shared" si="246"/>
        <v>-5345.3001285720838</v>
      </c>
      <c r="W743" s="37">
        <f t="shared" si="247"/>
        <v>-19988.062531806121</v>
      </c>
      <c r="Y743" s="37">
        <f t="shared" si="249"/>
        <v>22604.238087871508</v>
      </c>
      <c r="Z743" s="37">
        <f t="shared" si="250"/>
        <v>-193904.76845081852</v>
      </c>
      <c r="AA743" s="37">
        <f t="shared" si="251"/>
        <v>965.07016292189587</v>
      </c>
      <c r="AB743" s="37">
        <f t="shared" si="252"/>
        <v>-2309.1845106151973</v>
      </c>
      <c r="AC743" s="37">
        <f t="shared" si="253"/>
        <v>-3.4367893728652144</v>
      </c>
      <c r="AD743" s="37">
        <f t="shared" si="254"/>
        <v>32.621355671385558</v>
      </c>
      <c r="AE743" s="39">
        <f t="shared" si="255"/>
        <v>-0.16624838434155395</v>
      </c>
      <c r="AF743" s="39">
        <f t="shared" si="256"/>
        <v>12.857202845458652</v>
      </c>
      <c r="AG743" s="39">
        <f t="shared" si="257"/>
        <v>-0.84506806467883389</v>
      </c>
      <c r="AH743" s="39">
        <f t="shared" si="258"/>
        <v>4.0445133110495135</v>
      </c>
      <c r="AI743" s="39">
        <f t="shared" si="259"/>
        <v>-2.4254729238448265</v>
      </c>
      <c r="AJ743" s="39">
        <f t="shared" si="260"/>
        <v>15.719639514877391</v>
      </c>
      <c r="AK743" s="37">
        <f t="shared" si="261"/>
        <v>201421.60462757252</v>
      </c>
      <c r="AL743" s="37">
        <f t="shared" si="262"/>
        <v>208308.12682185485</v>
      </c>
      <c r="AM743" s="37">
        <f t="shared" si="263"/>
        <v>181021.84988241858</v>
      </c>
    </row>
    <row r="744" spans="12:39">
      <c r="L744">
        <v>740</v>
      </c>
      <c r="M744" s="37">
        <f t="shared" si="248"/>
        <v>4.6495571273128826</v>
      </c>
      <c r="N744" s="37">
        <f t="shared" si="242"/>
        <v>19686.047402353375</v>
      </c>
      <c r="O744" s="37">
        <f t="shared" si="243"/>
        <v>2509.8663578586456</v>
      </c>
      <c r="R744" s="37">
        <f t="shared" si="244"/>
        <v>-20219.766818352637</v>
      </c>
      <c r="S744" s="37">
        <f t="shared" si="245"/>
        <v>6506.9064505010519</v>
      </c>
      <c r="V744" s="37">
        <f t="shared" si="246"/>
        <v>-5313.9525976466239</v>
      </c>
      <c r="W744" s="37">
        <f t="shared" si="247"/>
        <v>-19990.133642141354</v>
      </c>
      <c r="Y744" s="37">
        <f t="shared" si="249"/>
        <v>23086.343570660847</v>
      </c>
      <c r="Z744" s="37">
        <f t="shared" si="250"/>
        <v>-195055.28303666718</v>
      </c>
      <c r="AA744" s="37">
        <f t="shared" si="251"/>
        <v>963.35176823546328</v>
      </c>
      <c r="AB744" s="37">
        <f t="shared" si="252"/>
        <v>-2292.8738327795045</v>
      </c>
      <c r="AC744" s="37">
        <f t="shared" si="253"/>
        <v>-3.4525363174172288</v>
      </c>
      <c r="AD744" s="37">
        <f t="shared" si="254"/>
        <v>32.21575292199023</v>
      </c>
      <c r="AE744" s="39">
        <f t="shared" si="255"/>
        <v>-0.19367584876710847</v>
      </c>
      <c r="AF744" s="39">
        <f t="shared" si="256"/>
        <v>12.710855245447764</v>
      </c>
      <c r="AG744" s="39">
        <f t="shared" si="257"/>
        <v>-0.83974627225411136</v>
      </c>
      <c r="AH744" s="39">
        <f t="shared" si="258"/>
        <v>3.996496227479994</v>
      </c>
      <c r="AI744" s="39">
        <f t="shared" si="259"/>
        <v>-2.4191141963960088</v>
      </c>
      <c r="AJ744" s="39">
        <f t="shared" si="260"/>
        <v>15.508401449062468</v>
      </c>
      <c r="AK744" s="37">
        <f t="shared" si="261"/>
        <v>202578.79504701501</v>
      </c>
      <c r="AL744" s="37">
        <f t="shared" si="262"/>
        <v>209533.05730489572</v>
      </c>
      <c r="AM744" s="37">
        <f t="shared" si="263"/>
        <v>182232.6744702594</v>
      </c>
    </row>
    <row r="745" spans="12:39">
      <c r="L745">
        <v>741</v>
      </c>
      <c r="M745" s="37">
        <f t="shared" si="248"/>
        <v>4.6558403126200618</v>
      </c>
      <c r="N745" s="37">
        <f t="shared" si="242"/>
        <v>19717.407327589819</v>
      </c>
      <c r="O745" s="37">
        <f t="shared" si="243"/>
        <v>2507.9922494551283</v>
      </c>
      <c r="R745" s="37">
        <f t="shared" si="244"/>
        <v>-20197.814870687125</v>
      </c>
      <c r="S745" s="37">
        <f t="shared" si="245"/>
        <v>6505.5945746185898</v>
      </c>
      <c r="V745" s="37">
        <f t="shared" si="246"/>
        <v>-5282.592672410181</v>
      </c>
      <c r="W745" s="37">
        <f t="shared" si="247"/>
        <v>-19992.007750544872</v>
      </c>
      <c r="Y745" s="37">
        <f t="shared" si="249"/>
        <v>23567.587887738904</v>
      </c>
      <c r="Z745" s="37">
        <f t="shared" si="250"/>
        <v>-196197.6929839417</v>
      </c>
      <c r="AA745" s="37">
        <f t="shared" si="251"/>
        <v>961.62550007675463</v>
      </c>
      <c r="AB745" s="37">
        <f t="shared" si="252"/>
        <v>-2276.7659563185093</v>
      </c>
      <c r="AC745" s="37">
        <f t="shared" si="253"/>
        <v>-3.4672353178748527</v>
      </c>
      <c r="AD745" s="37">
        <f t="shared" si="254"/>
        <v>31.820014696088137</v>
      </c>
      <c r="AE745" s="39">
        <f t="shared" si="255"/>
        <v>-0.22011393215401209</v>
      </c>
      <c r="AF745" s="39">
        <f t="shared" si="256"/>
        <v>12.567791343695001</v>
      </c>
      <c r="AG745" s="39">
        <f t="shared" si="257"/>
        <v>-0.83451535520637432</v>
      </c>
      <c r="AH745" s="39">
        <f t="shared" si="258"/>
        <v>3.9496136771816923</v>
      </c>
      <c r="AI745" s="39">
        <f t="shared" si="259"/>
        <v>-2.4126060305144663</v>
      </c>
      <c r="AJ745" s="39">
        <f t="shared" si="260"/>
        <v>15.302609675211441</v>
      </c>
      <c r="AK745" s="37">
        <f t="shared" si="261"/>
        <v>203728.9321876422</v>
      </c>
      <c r="AL745" s="37">
        <f t="shared" si="262"/>
        <v>210750.14426153005</v>
      </c>
      <c r="AM745" s="37">
        <f t="shared" si="263"/>
        <v>183435.8498778973</v>
      </c>
    </row>
    <row r="746" spans="12:39">
      <c r="L746">
        <v>742</v>
      </c>
      <c r="M746" s="37">
        <f t="shared" si="248"/>
        <v>4.662123497927241</v>
      </c>
      <c r="N746" s="37">
        <f t="shared" si="242"/>
        <v>19748.778409101091</v>
      </c>
      <c r="O746" s="37">
        <f t="shared" si="243"/>
        <v>2506.3152169699151</v>
      </c>
      <c r="R746" s="37">
        <f t="shared" si="244"/>
        <v>-20175.855113629237</v>
      </c>
      <c r="S746" s="37">
        <f t="shared" si="245"/>
        <v>6504.4206518789406</v>
      </c>
      <c r="V746" s="37">
        <f t="shared" si="246"/>
        <v>-5251.2215908989083</v>
      </c>
      <c r="W746" s="37">
        <f t="shared" si="247"/>
        <v>-19993.684783030083</v>
      </c>
      <c r="Y746" s="37">
        <f t="shared" si="249"/>
        <v>24047.967233362549</v>
      </c>
      <c r="Z746" s="37">
        <f t="shared" si="250"/>
        <v>-197332.09846026395</v>
      </c>
      <c r="AA746" s="37">
        <f t="shared" si="251"/>
        <v>959.89188241781721</v>
      </c>
      <c r="AB746" s="37">
        <f t="shared" si="252"/>
        <v>-2260.8559489704653</v>
      </c>
      <c r="AC746" s="37">
        <f t="shared" si="253"/>
        <v>-3.4809412245079137</v>
      </c>
      <c r="AD746" s="37">
        <f t="shared" si="254"/>
        <v>31.433801086969797</v>
      </c>
      <c r="AE746" s="39">
        <f t="shared" si="255"/>
        <v>-0.24560487169810416</v>
      </c>
      <c r="AF746" s="39">
        <f t="shared" si="256"/>
        <v>12.427907233872819</v>
      </c>
      <c r="AG746" s="39">
        <f t="shared" si="257"/>
        <v>-0.82937309436328643</v>
      </c>
      <c r="AH746" s="39">
        <f t="shared" si="258"/>
        <v>3.9038274604095928</v>
      </c>
      <c r="AI746" s="39">
        <f t="shared" si="259"/>
        <v>-2.4059632584465231</v>
      </c>
      <c r="AJ746" s="39">
        <f t="shared" si="260"/>
        <v>15.102066392687387</v>
      </c>
      <c r="AK746" s="37">
        <f t="shared" si="261"/>
        <v>204872.09326396225</v>
      </c>
      <c r="AL746" s="37">
        <f t="shared" si="262"/>
        <v>211959.48308421581</v>
      </c>
      <c r="AM746" s="37">
        <f t="shared" si="263"/>
        <v>184631.46679077728</v>
      </c>
    </row>
    <row r="747" spans="12:39">
      <c r="L747">
        <v>743</v>
      </c>
      <c r="M747" s="37">
        <f t="shared" si="248"/>
        <v>4.6684066832344202</v>
      </c>
      <c r="N747" s="37">
        <f t="shared" si="242"/>
        <v>19780.159408410615</v>
      </c>
      <c r="O747" s="37">
        <f t="shared" si="243"/>
        <v>2504.8353266093791</v>
      </c>
      <c r="R747" s="37">
        <f t="shared" si="244"/>
        <v>-20153.888414112571</v>
      </c>
      <c r="S747" s="37">
        <f t="shared" si="245"/>
        <v>6503.3847286265654</v>
      </c>
      <c r="V747" s="37">
        <f t="shared" si="246"/>
        <v>-5219.8405915893873</v>
      </c>
      <c r="W747" s="37">
        <f t="shared" si="247"/>
        <v>-19995.16467339062</v>
      </c>
      <c r="Y747" s="37">
        <f t="shared" si="249"/>
        <v>24527.478056918397</v>
      </c>
      <c r="Z747" s="37">
        <f t="shared" si="250"/>
        <v>-198458.5972096133</v>
      </c>
      <c r="AA747" s="37">
        <f t="shared" si="251"/>
        <v>958.15141180556327</v>
      </c>
      <c r="AB747" s="37">
        <f t="shared" si="252"/>
        <v>-2245.1390484269805</v>
      </c>
      <c r="AC747" s="37">
        <f t="shared" si="253"/>
        <v>-3.493705771848123</v>
      </c>
      <c r="AD747" s="37">
        <f t="shared" si="254"/>
        <v>31.056787331723733</v>
      </c>
      <c r="AE747" s="39">
        <f t="shared" si="255"/>
        <v>-0.27018877100588246</v>
      </c>
      <c r="AF747" s="39">
        <f t="shared" si="256"/>
        <v>12.291103249661536</v>
      </c>
      <c r="AG747" s="39">
        <f t="shared" si="257"/>
        <v>-0.82431734391213651</v>
      </c>
      <c r="AH747" s="39">
        <f t="shared" si="258"/>
        <v>3.8591010465004221</v>
      </c>
      <c r="AI747" s="39">
        <f t="shared" si="259"/>
        <v>-2.399199656930104</v>
      </c>
      <c r="AJ747" s="39">
        <f t="shared" si="260"/>
        <v>14.906583035561775</v>
      </c>
      <c r="AK747" s="37">
        <f t="shared" si="261"/>
        <v>206008.35376777226</v>
      </c>
      <c r="AL747" s="37">
        <f t="shared" si="262"/>
        <v>213161.16684966133</v>
      </c>
      <c r="AM747" s="37">
        <f t="shared" si="263"/>
        <v>185819.61374010259</v>
      </c>
    </row>
    <row r="748" spans="12:39">
      <c r="L748">
        <v>744</v>
      </c>
      <c r="M748" s="37">
        <f t="shared" si="248"/>
        <v>4.6746898685415994</v>
      </c>
      <c r="N748" s="37">
        <f t="shared" si="242"/>
        <v>19811.549086650262</v>
      </c>
      <c r="O748" s="37">
        <f t="shared" si="243"/>
        <v>2503.552636797056</v>
      </c>
      <c r="R748" s="37">
        <f t="shared" si="244"/>
        <v>-20131.915639344817</v>
      </c>
      <c r="S748" s="37">
        <f t="shared" si="245"/>
        <v>6502.4868457579396</v>
      </c>
      <c r="V748" s="37">
        <f t="shared" si="246"/>
        <v>-5188.4509133497377</v>
      </c>
      <c r="W748" s="37">
        <f t="shared" si="247"/>
        <v>-19996.447363202944</v>
      </c>
      <c r="Y748" s="37">
        <f t="shared" si="249"/>
        <v>25006.117049599699</v>
      </c>
      <c r="Z748" s="37">
        <f t="shared" si="250"/>
        <v>-199577.28463541032</v>
      </c>
      <c r="AA748" s="37">
        <f t="shared" si="251"/>
        <v>956.40455891963916</v>
      </c>
      <c r="AB748" s="37">
        <f t="shared" si="252"/>
        <v>-2229.6106547611184</v>
      </c>
      <c r="AC748" s="37">
        <f t="shared" si="253"/>
        <v>-3.5055777792532212</v>
      </c>
      <c r="AD748" s="37">
        <f t="shared" si="254"/>
        <v>30.688662987346337</v>
      </c>
      <c r="AE748" s="39">
        <f t="shared" si="255"/>
        <v>-0.29390372577713852</v>
      </c>
      <c r="AF748" s="39">
        <f t="shared" si="256"/>
        <v>12.157283754087743</v>
      </c>
      <c r="AG748" s="39">
        <f t="shared" si="257"/>
        <v>-0.81934602833925863</v>
      </c>
      <c r="AH748" s="39">
        <f t="shared" si="258"/>
        <v>3.8153994846279926</v>
      </c>
      <c r="AI748" s="39">
        <f t="shared" si="259"/>
        <v>-2.3923280251368242</v>
      </c>
      <c r="AJ748" s="39">
        <f t="shared" si="260"/>
        <v>14.715979748630602</v>
      </c>
      <c r="AK748" s="37">
        <f t="shared" si="261"/>
        <v>207137.78752291683</v>
      </c>
      <c r="AL748" s="37">
        <f t="shared" si="262"/>
        <v>214355.28639861921</v>
      </c>
      <c r="AM748" s="37">
        <f t="shared" si="263"/>
        <v>187000.37717549011</v>
      </c>
    </row>
    <row r="749" spans="12:39">
      <c r="L749">
        <v>745</v>
      </c>
      <c r="M749" s="37">
        <f t="shared" si="248"/>
        <v>4.6809730538487786</v>
      </c>
      <c r="N749" s="37">
        <f t="shared" si="242"/>
        <v>19842.946204609292</v>
      </c>
      <c r="O749" s="37">
        <f t="shared" si="243"/>
        <v>2502.4671981713445</v>
      </c>
      <c r="R749" s="37">
        <f t="shared" si="244"/>
        <v>-20109.937656773494</v>
      </c>
      <c r="S749" s="37">
        <f t="shared" si="245"/>
        <v>6501.7270387199405</v>
      </c>
      <c r="V749" s="37">
        <f t="shared" si="246"/>
        <v>-5157.0537953907078</v>
      </c>
      <c r="W749" s="37">
        <f t="shared" si="247"/>
        <v>-19997.532801828656</v>
      </c>
      <c r="Y749" s="37">
        <f t="shared" si="249"/>
        <v>25483.881131837112</v>
      </c>
      <c r="Z749" s="37">
        <f t="shared" si="250"/>
        <v>-200688.25387991747</v>
      </c>
      <c r="AA749" s="37">
        <f t="shared" si="251"/>
        <v>954.65177003001259</v>
      </c>
      <c r="AB749" s="37">
        <f t="shared" si="252"/>
        <v>-2214.2663232674454</v>
      </c>
      <c r="AC749" s="37">
        <f t="shared" si="253"/>
        <v>-3.516603336888946</v>
      </c>
      <c r="AD749" s="37">
        <f t="shared" si="254"/>
        <v>30.329131159638067</v>
      </c>
      <c r="AE749" s="39">
        <f t="shared" si="255"/>
        <v>-0.31678594101841073</v>
      </c>
      <c r="AF749" s="39">
        <f t="shared" si="256"/>
        <v>12.026356941153407</v>
      </c>
      <c r="AG749" s="39">
        <f t="shared" si="257"/>
        <v>-0.81445713952556609</v>
      </c>
      <c r="AH749" s="39">
        <f t="shared" si="258"/>
        <v>3.7726893201856138</v>
      </c>
      <c r="AI749" s="39">
        <f t="shared" si="259"/>
        <v>-2.3853602563449692</v>
      </c>
      <c r="AJ749" s="39">
        <f t="shared" si="260"/>
        <v>14.530084898299044</v>
      </c>
      <c r="AK749" s="37">
        <f t="shared" si="261"/>
        <v>208260.4667377779</v>
      </c>
      <c r="AL749" s="37">
        <f t="shared" si="262"/>
        <v>215541.93041212109</v>
      </c>
      <c r="AM749" s="37">
        <f t="shared" si="263"/>
        <v>188173.84153445097</v>
      </c>
    </row>
    <row r="750" spans="12:39">
      <c r="L750">
        <v>746</v>
      </c>
      <c r="M750" s="37">
        <f t="shared" si="248"/>
        <v>4.6872562391559578</v>
      </c>
      <c r="N750" s="37">
        <f t="shared" si="242"/>
        <v>19874.349522783243</v>
      </c>
      <c r="O750" s="37">
        <f t="shared" si="243"/>
        <v>2501.5790535835022</v>
      </c>
      <c r="R750" s="37">
        <f t="shared" si="244"/>
        <v>-20087.95533405173</v>
      </c>
      <c r="S750" s="37">
        <f t="shared" si="245"/>
        <v>6501.1053375084512</v>
      </c>
      <c r="V750" s="37">
        <f t="shared" si="246"/>
        <v>-5125.6504772167564</v>
      </c>
      <c r="W750" s="37">
        <f t="shared" si="247"/>
        <v>-19998.420946416496</v>
      </c>
      <c r="Y750" s="37">
        <f t="shared" si="249"/>
        <v>25960.767441435004</v>
      </c>
      <c r="Z750" s="37">
        <f t="shared" si="250"/>
        <v>-201791.59590015622</v>
      </c>
      <c r="AA750" s="37">
        <f t="shared" si="251"/>
        <v>952.89346836156813</v>
      </c>
      <c r="AB750" s="37">
        <f t="shared" si="252"/>
        <v>-2199.1017576876266</v>
      </c>
      <c r="AC750" s="37">
        <f t="shared" si="253"/>
        <v>-3.5268259783141094</v>
      </c>
      <c r="AD750" s="37">
        <f t="shared" si="254"/>
        <v>29.977907781002493</v>
      </c>
      <c r="AE750" s="39">
        <f t="shared" si="255"/>
        <v>-0.33886984042956891</v>
      </c>
      <c r="AF750" s="39">
        <f t="shared" si="256"/>
        <v>11.898234648936704</v>
      </c>
      <c r="AG750" s="39">
        <f t="shared" si="257"/>
        <v>-0.80964873398864246</v>
      </c>
      <c r="AH750" s="39">
        <f t="shared" si="258"/>
        <v>3.7309385163878743</v>
      </c>
      <c r="AI750" s="39">
        <f t="shared" si="259"/>
        <v>-2.378307403895898</v>
      </c>
      <c r="AJ750" s="39">
        <f t="shared" si="260"/>
        <v>14.348734615677916</v>
      </c>
      <c r="AK750" s="37">
        <f t="shared" si="261"/>
        <v>209376.46205561206</v>
      </c>
      <c r="AL750" s="37">
        <f t="shared" si="262"/>
        <v>216721.18548434699</v>
      </c>
      <c r="AM750" s="37">
        <f t="shared" si="263"/>
        <v>189340.08930886738</v>
      </c>
    </row>
    <row r="751" spans="12:39">
      <c r="L751">
        <v>747</v>
      </c>
      <c r="M751" s="37">
        <f t="shared" si="248"/>
        <v>4.693539424463137</v>
      </c>
      <c r="N751" s="37">
        <f t="shared" si="242"/>
        <v>19905.757801422889</v>
      </c>
      <c r="O751" s="37">
        <f t="shared" si="243"/>
        <v>2500.8882380959567</v>
      </c>
      <c r="R751" s="37">
        <f t="shared" si="244"/>
        <v>-20065.969539003978</v>
      </c>
      <c r="S751" s="37">
        <f t="shared" si="245"/>
        <v>6500.6217666671691</v>
      </c>
      <c r="V751" s="37">
        <f t="shared" si="246"/>
        <v>-5094.2421985771116</v>
      </c>
      <c r="W751" s="37">
        <f t="shared" si="247"/>
        <v>-19999.111761904045</v>
      </c>
      <c r="Y751" s="37">
        <f t="shared" si="249"/>
        <v>26436.773322368499</v>
      </c>
      <c r="Z751" s="37">
        <f t="shared" si="250"/>
        <v>-202887.3995405274</v>
      </c>
      <c r="AA751" s="37">
        <f t="shared" si="251"/>
        <v>951.13005537241111</v>
      </c>
      <c r="AB751" s="37">
        <f t="shared" si="252"/>
        <v>-2184.1128037971253</v>
      </c>
      <c r="AC751" s="37">
        <f t="shared" si="253"/>
        <v>-3.5362868407482817</v>
      </c>
      <c r="AD751" s="37">
        <f t="shared" si="254"/>
        <v>29.634720933589193</v>
      </c>
      <c r="AE751" s="39">
        <f t="shared" si="255"/>
        <v>-0.36018816855168517</v>
      </c>
      <c r="AF751" s="39">
        <f t="shared" si="256"/>
        <v>11.772832183403697</v>
      </c>
      <c r="AG751" s="39">
        <f t="shared" si="257"/>
        <v>-0.8049189302624703</v>
      </c>
      <c r="AH751" s="39">
        <f t="shared" si="258"/>
        <v>3.6901163807171349</v>
      </c>
      <c r="AI751" s="39">
        <f t="shared" si="259"/>
        <v>-2.3711797419341263</v>
      </c>
      <c r="AJ751" s="39">
        <f t="shared" si="260"/>
        <v>14.171772369468359</v>
      </c>
      <c r="AK751" s="37">
        <f t="shared" si="261"/>
        <v>210485.84260284362</v>
      </c>
      <c r="AL751" s="37">
        <f t="shared" si="262"/>
        <v>217893.13619231145</v>
      </c>
      <c r="AM751" s="37">
        <f t="shared" si="263"/>
        <v>190499.20110862344</v>
      </c>
    </row>
    <row r="752" spans="12:39">
      <c r="L752">
        <v>748</v>
      </c>
      <c r="M752" s="37">
        <f t="shared" si="248"/>
        <v>4.6998226097703162</v>
      </c>
      <c r="N752" s="37">
        <f t="shared" si="242"/>
        <v>19937.169800583164</v>
      </c>
      <c r="O752" s="37">
        <f t="shared" si="243"/>
        <v>2500.3947789809208</v>
      </c>
      <c r="R752" s="37">
        <f t="shared" si="244"/>
        <v>-20043.981139591786</v>
      </c>
      <c r="S752" s="37">
        <f t="shared" si="245"/>
        <v>6500.2763452866438</v>
      </c>
      <c r="V752" s="37">
        <f t="shared" si="246"/>
        <v>-5062.830199416836</v>
      </c>
      <c r="W752" s="37">
        <f t="shared" si="247"/>
        <v>-19999.605221019079</v>
      </c>
      <c r="Y752" s="37">
        <f t="shared" si="249"/>
        <v>26911.896314199614</v>
      </c>
      <c r="Z752" s="37">
        <f t="shared" si="250"/>
        <v>-203975.75160230926</v>
      </c>
      <c r="AA752" s="37">
        <f t="shared" si="251"/>
        <v>949.36191195203696</v>
      </c>
      <c r="AB752" s="37">
        <f t="shared" si="252"/>
        <v>-2169.2954433303307</v>
      </c>
      <c r="AC752" s="37">
        <f t="shared" si="253"/>
        <v>-3.545024814004857</v>
      </c>
      <c r="AD752" s="37">
        <f t="shared" si="254"/>
        <v>29.299310214511632</v>
      </c>
      <c r="AE752" s="39">
        <f t="shared" si="255"/>
        <v>-0.38077208621531999</v>
      </c>
      <c r="AF752" s="39">
        <f t="shared" si="256"/>
        <v>11.650068152228734</v>
      </c>
      <c r="AG752" s="39">
        <f t="shared" si="257"/>
        <v>-0.80026590640673867</v>
      </c>
      <c r="AH752" s="39">
        <f t="shared" si="258"/>
        <v>3.6501934958714055</v>
      </c>
      <c r="AI752" s="39">
        <f t="shared" si="259"/>
        <v>-2.3639868213827984</v>
      </c>
      <c r="AJ752" s="39">
        <f t="shared" si="260"/>
        <v>13.999048566411492</v>
      </c>
      <c r="AK752" s="37">
        <f t="shared" si="261"/>
        <v>211588.67603541512</v>
      </c>
      <c r="AL752" s="37">
        <f t="shared" si="262"/>
        <v>219057.86516253502</v>
      </c>
      <c r="AM752" s="37">
        <f t="shared" si="263"/>
        <v>191651.25572253868</v>
      </c>
    </row>
    <row r="753" spans="12:39">
      <c r="L753">
        <v>749</v>
      </c>
      <c r="M753" s="37">
        <f t="shared" si="248"/>
        <v>4.7061057950774954</v>
      </c>
      <c r="N753" s="37">
        <f t="shared" si="242"/>
        <v>19968.58428017213</v>
      </c>
      <c r="O753" s="37">
        <f t="shared" si="243"/>
        <v>2500.0986957193154</v>
      </c>
      <c r="R753" s="37">
        <f t="shared" si="244"/>
        <v>-20021.99100387951</v>
      </c>
      <c r="S753" s="37">
        <f t="shared" si="245"/>
        <v>6500.0690870035205</v>
      </c>
      <c r="V753" s="37">
        <f t="shared" si="246"/>
        <v>-5031.415719827869</v>
      </c>
      <c r="W753" s="37">
        <f t="shared" si="247"/>
        <v>-19999.901304280684</v>
      </c>
      <c r="Y753" s="37">
        <f t="shared" si="249"/>
        <v>27386.134142073883</v>
      </c>
      <c r="Z753" s="37">
        <f t="shared" si="250"/>
        <v>-205056.73691019759</v>
      </c>
      <c r="AA753" s="37">
        <f t="shared" si="251"/>
        <v>947.58939954503455</v>
      </c>
      <c r="AB753" s="37">
        <f t="shared" si="252"/>
        <v>-2154.6457882230748</v>
      </c>
      <c r="AC753" s="37">
        <f t="shared" si="253"/>
        <v>-3.5530766789850903</v>
      </c>
      <c r="AD753" s="37">
        <f t="shared" si="254"/>
        <v>28.971426140133467</v>
      </c>
      <c r="AE753" s="39">
        <f t="shared" si="255"/>
        <v>-0.40065125978370958</v>
      </c>
      <c r="AF753" s="39">
        <f t="shared" si="256"/>
        <v>11.529864307971206</v>
      </c>
      <c r="AG753" s="39">
        <f t="shared" si="257"/>
        <v>-0.79568789763784764</v>
      </c>
      <c r="AH753" s="39">
        <f t="shared" si="258"/>
        <v>3.6111416548959641</v>
      </c>
      <c r="AI753" s="39">
        <f t="shared" si="259"/>
        <v>-2.3567375215635331</v>
      </c>
      <c r="AJ753" s="39">
        <f t="shared" si="260"/>
        <v>13.830420177266298</v>
      </c>
      <c r="AK753" s="37">
        <f t="shared" si="261"/>
        <v>212685.02858329186</v>
      </c>
      <c r="AL753" s="37">
        <f t="shared" si="262"/>
        <v>220215.45313486192</v>
      </c>
      <c r="AM753" s="37">
        <f t="shared" si="263"/>
        <v>192796.33017674499</v>
      </c>
    </row>
    <row r="754" spans="12:39">
      <c r="L754">
        <v>750</v>
      </c>
      <c r="M754" s="37">
        <f t="shared" si="248"/>
        <v>4.7123889803846746</v>
      </c>
      <c r="N754" s="37">
        <f t="shared" si="242"/>
        <v>19999.999999999924</v>
      </c>
      <c r="O754" s="37">
        <f t="shared" si="243"/>
        <v>2500</v>
      </c>
      <c r="R754" s="37">
        <f t="shared" si="244"/>
        <v>-20000.000000000055</v>
      </c>
      <c r="S754" s="37">
        <f t="shared" si="245"/>
        <v>6500</v>
      </c>
      <c r="V754" s="37">
        <f t="shared" si="246"/>
        <v>-5000.0000000000764</v>
      </c>
      <c r="W754" s="37">
        <f t="shared" si="247"/>
        <v>-20000</v>
      </c>
      <c r="Y754" s="37">
        <f t="shared" si="249"/>
        <v>27859.484707261527</v>
      </c>
      <c r="Z754" s="37">
        <f t="shared" si="250"/>
        <v>-206130.43837604162</v>
      </c>
      <c r="AA754" s="37">
        <f t="shared" si="251"/>
        <v>945.81286120554205</v>
      </c>
      <c r="AB754" s="37">
        <f t="shared" si="252"/>
        <v>-2140.1600751530082</v>
      </c>
      <c r="AC754" s="37">
        <f t="shared" si="253"/>
        <v>-3.5604772365516411</v>
      </c>
      <c r="AD754" s="37">
        <f t="shared" si="254"/>
        <v>28.650829586667292</v>
      </c>
      <c r="AE754" s="39">
        <f t="shared" si="255"/>
        <v>-0.41985394464488451</v>
      </c>
      <c r="AF754" s="39">
        <f t="shared" si="256"/>
        <v>11.412145400006619</v>
      </c>
      <c r="AG754" s="39">
        <f t="shared" si="257"/>
        <v>-0.79118319407475812</v>
      </c>
      <c r="AH754" s="39">
        <f t="shared" si="258"/>
        <v>3.5729338002084536</v>
      </c>
      <c r="AI754" s="39">
        <f t="shared" si="259"/>
        <v>-2.3494400978319985</v>
      </c>
      <c r="AJ754" s="39">
        <f t="shared" si="260"/>
        <v>13.665750386452221</v>
      </c>
      <c r="AK754" s="37">
        <f t="shared" si="261"/>
        <v>213774.96509321057</v>
      </c>
      <c r="AL754" s="37">
        <f t="shared" si="262"/>
        <v>221365.97902357203</v>
      </c>
      <c r="AM754" s="37">
        <f t="shared" si="263"/>
        <v>193934.49979063706</v>
      </c>
    </row>
    <row r="755" spans="12:39">
      <c r="L755">
        <v>751</v>
      </c>
      <c r="M755" s="37">
        <f t="shared" si="248"/>
        <v>4.7186721656918538</v>
      </c>
      <c r="N755" s="37">
        <f t="shared" si="242"/>
        <v>20031.415719827717</v>
      </c>
      <c r="O755" s="37">
        <f t="shared" si="243"/>
        <v>2500.0986957193136</v>
      </c>
      <c r="R755" s="37">
        <f t="shared" si="244"/>
        <v>-19978.008996120599</v>
      </c>
      <c r="S755" s="37">
        <f t="shared" si="245"/>
        <v>6500.0690870035196</v>
      </c>
      <c r="V755" s="37">
        <f t="shared" si="246"/>
        <v>-4968.5842801722838</v>
      </c>
      <c r="W755" s="37">
        <f t="shared" si="247"/>
        <v>-19999.901304280687</v>
      </c>
      <c r="Y755" s="37">
        <f t="shared" si="249"/>
        <v>28331.94607820973</v>
      </c>
      <c r="Z755" s="37">
        <f t="shared" si="250"/>
        <v>-207196.93705991979</v>
      </c>
      <c r="AA755" s="37">
        <f t="shared" si="251"/>
        <v>944.03262258726625</v>
      </c>
      <c r="AB755" s="37">
        <f t="shared" si="252"/>
        <v>-2125.8346603596747</v>
      </c>
      <c r="AC755" s="37">
        <f t="shared" si="253"/>
        <v>-3.5672594275275924</v>
      </c>
      <c r="AD755" s="37">
        <f t="shared" si="254"/>
        <v>28.337291264538337</v>
      </c>
      <c r="AE755" s="39">
        <f t="shared" si="255"/>
        <v>-0.43840706336977564</v>
      </c>
      <c r="AF755" s="39">
        <f t="shared" si="256"/>
        <v>11.296839034650759</v>
      </c>
      <c r="AG755" s="39">
        <f t="shared" si="257"/>
        <v>-0.78675013859289744</v>
      </c>
      <c r="AH755" s="39">
        <f t="shared" si="258"/>
        <v>3.5355439662481372</v>
      </c>
      <c r="AI755" s="39">
        <f t="shared" si="259"/>
        <v>-2.3421022255649193</v>
      </c>
      <c r="AJ755" s="39">
        <f t="shared" si="260"/>
        <v>13.50490826363944</v>
      </c>
      <c r="AK755" s="37">
        <f t="shared" si="261"/>
        <v>214858.5490697574</v>
      </c>
      <c r="AL755" s="37">
        <f t="shared" si="262"/>
        <v>222509.5199759276</v>
      </c>
      <c r="AM755" s="37">
        <f t="shared" si="263"/>
        <v>195065.83823052014</v>
      </c>
    </row>
    <row r="756" spans="12:39">
      <c r="L756">
        <v>752</v>
      </c>
      <c r="M756" s="37">
        <f t="shared" si="248"/>
        <v>4.724955350999033</v>
      </c>
      <c r="N756" s="37">
        <f t="shared" si="242"/>
        <v>20062.830199416683</v>
      </c>
      <c r="O756" s="37">
        <f t="shared" si="243"/>
        <v>2500.3947789809181</v>
      </c>
      <c r="R756" s="37">
        <f t="shared" si="244"/>
        <v>-19956.018860408323</v>
      </c>
      <c r="S756" s="37">
        <f t="shared" si="245"/>
        <v>6500.2763452866429</v>
      </c>
      <c r="V756" s="37">
        <f t="shared" si="246"/>
        <v>-4937.1698005833168</v>
      </c>
      <c r="W756" s="37">
        <f t="shared" si="247"/>
        <v>-19999.605221019083</v>
      </c>
      <c r="Y756" s="37">
        <f t="shared" si="249"/>
        <v>28803.51648207492</v>
      </c>
      <c r="Z756" s="37">
        <f t="shared" si="250"/>
        <v>-208256.31222869156</v>
      </c>
      <c r="AA756" s="37">
        <f t="shared" si="251"/>
        <v>942.2489928735024</v>
      </c>
      <c r="AB756" s="37">
        <f t="shared" si="252"/>
        <v>-2111.6660147274056</v>
      </c>
      <c r="AC756" s="37">
        <f t="shared" si="253"/>
        <v>-3.5734544445040717</v>
      </c>
      <c r="AD756" s="37">
        <f t="shared" si="254"/>
        <v>28.030591224175677</v>
      </c>
      <c r="AE756" s="39">
        <f t="shared" si="255"/>
        <v>-0.45633627891986395</v>
      </c>
      <c r="AF756" s="39">
        <f t="shared" si="256"/>
        <v>11.183875542958921</v>
      </c>
      <c r="AG756" s="39">
        <f t="shared" si="257"/>
        <v>-0.78238712477997363</v>
      </c>
      <c r="AH756" s="39">
        <f t="shared" si="258"/>
        <v>3.4989472255017748</v>
      </c>
      <c r="AI756" s="39">
        <f t="shared" si="259"/>
        <v>-2.3347310408042343</v>
      </c>
      <c r="AJ756" s="39">
        <f t="shared" si="260"/>
        <v>13.347768455714981</v>
      </c>
      <c r="AK756" s="37">
        <f t="shared" si="261"/>
        <v>215935.84271485548</v>
      </c>
      <c r="AL756" s="37">
        <f t="shared" si="262"/>
        <v>223646.15142828695</v>
      </c>
      <c r="AM756" s="37">
        <f t="shared" si="263"/>
        <v>196190.41756107108</v>
      </c>
    </row>
    <row r="757" spans="12:39">
      <c r="L757">
        <v>753</v>
      </c>
      <c r="M757" s="37">
        <f t="shared" si="248"/>
        <v>4.7312385363062122</v>
      </c>
      <c r="N757" s="37">
        <f t="shared" si="242"/>
        <v>20094.242198576958</v>
      </c>
      <c r="O757" s="37">
        <f t="shared" si="243"/>
        <v>2500.8882380959531</v>
      </c>
      <c r="R757" s="37">
        <f t="shared" si="244"/>
        <v>-19934.030460996128</v>
      </c>
      <c r="S757" s="37">
        <f t="shared" si="245"/>
        <v>6500.6217666671673</v>
      </c>
      <c r="V757" s="37">
        <f t="shared" si="246"/>
        <v>-4905.7578014230412</v>
      </c>
      <c r="W757" s="37">
        <f t="shared" si="247"/>
        <v>-19999.111761904045</v>
      </c>
      <c r="Y757" s="37">
        <f t="shared" si="249"/>
        <v>29274.194296706108</v>
      </c>
      <c r="Z757" s="37">
        <f t="shared" si="250"/>
        <v>-209308.64141215224</v>
      </c>
      <c r="AA757" s="37">
        <f t="shared" si="251"/>
        <v>940.46226565125039</v>
      </c>
      <c r="AB757" s="37">
        <f t="shared" si="252"/>
        <v>-2097.6507191153178</v>
      </c>
      <c r="AC757" s="37">
        <f t="shared" si="253"/>
        <v>-3.5790918360811221</v>
      </c>
      <c r="AD757" s="37">
        <f t="shared" si="254"/>
        <v>27.730518391071271</v>
      </c>
      <c r="AE757" s="39">
        <f t="shared" si="255"/>
        <v>-0.47366606325718769</v>
      </c>
      <c r="AF757" s="39">
        <f t="shared" si="256"/>
        <v>11.073187855715652</v>
      </c>
      <c r="AG757" s="39">
        <f t="shared" si="257"/>
        <v>-0.77809259498801342</v>
      </c>
      <c r="AH757" s="39">
        <f t="shared" si="258"/>
        <v>3.4631196376778588</v>
      </c>
      <c r="AI757" s="39">
        <f t="shared" si="259"/>
        <v>-2.327333177835921</v>
      </c>
      <c r="AJ757" s="39">
        <f t="shared" si="260"/>
        <v>13.194210897677761</v>
      </c>
      <c r="AK757" s="37">
        <f t="shared" si="261"/>
        <v>217006.90696573755</v>
      </c>
      <c r="AL757" s="37">
        <f t="shared" si="262"/>
        <v>224775.94715990749</v>
      </c>
      <c r="AM757" s="37">
        <f t="shared" si="263"/>
        <v>197308.30829472115</v>
      </c>
    </row>
    <row r="758" spans="12:39">
      <c r="L758">
        <v>754</v>
      </c>
      <c r="M758" s="37">
        <f t="shared" si="248"/>
        <v>4.7375217216133914</v>
      </c>
      <c r="N758" s="37">
        <f t="shared" si="242"/>
        <v>20125.650477216604</v>
      </c>
      <c r="O758" s="37">
        <f t="shared" si="243"/>
        <v>2501.5790535834985</v>
      </c>
      <c r="R758" s="37">
        <f t="shared" si="244"/>
        <v>-19912.044665948379</v>
      </c>
      <c r="S758" s="37">
        <f t="shared" si="245"/>
        <v>6501.1053375084484</v>
      </c>
      <c r="V758" s="37">
        <f t="shared" si="246"/>
        <v>-4874.3495227833964</v>
      </c>
      <c r="W758" s="37">
        <f t="shared" si="247"/>
        <v>-19998.420946416503</v>
      </c>
      <c r="Y758" s="37">
        <f t="shared" si="249"/>
        <v>29743.978043052222</v>
      </c>
      <c r="Z758" s="37">
        <f t="shared" si="250"/>
        <v>-210354.00045691102</v>
      </c>
      <c r="AA758" s="37">
        <f t="shared" si="251"/>
        <v>938.67271973320987</v>
      </c>
      <c r="AB758" s="37">
        <f t="shared" si="252"/>
        <v>-2083.7854599197822</v>
      </c>
      <c r="AC758" s="37">
        <f t="shared" si="253"/>
        <v>-3.5841996041133548</v>
      </c>
      <c r="AD758" s="37">
        <f t="shared" si="254"/>
        <v>27.436870128115423</v>
      </c>
      <c r="AE758" s="39">
        <f t="shared" si="255"/>
        <v>-0.49041976168172774</v>
      </c>
      <c r="AF758" s="39">
        <f t="shared" si="256"/>
        <v>10.964711385168778</v>
      </c>
      <c r="AG758" s="39">
        <f t="shared" si="257"/>
        <v>-0.77386503847615651</v>
      </c>
      <c r="AH758" s="39">
        <f t="shared" si="258"/>
        <v>3.4280382018176709</v>
      </c>
      <c r="AI758" s="39">
        <f t="shared" si="259"/>
        <v>-2.3199148039554705</v>
      </c>
      <c r="AJ758" s="39">
        <f t="shared" si="260"/>
        <v>13.044120541128972</v>
      </c>
      <c r="AK758" s="37">
        <f t="shared" si="261"/>
        <v>218071.80153147559</v>
      </c>
      <c r="AL758" s="37">
        <f t="shared" si="262"/>
        <v>225898.9793445557</v>
      </c>
      <c r="AM758" s="37">
        <f t="shared" si="263"/>
        <v>198419.57943906364</v>
      </c>
    </row>
    <row r="759" spans="12:39">
      <c r="L759">
        <v>755</v>
      </c>
      <c r="M759" s="37">
        <f t="shared" si="248"/>
        <v>4.7438049069205706</v>
      </c>
      <c r="N759" s="37">
        <f t="shared" si="242"/>
        <v>20157.053795390555</v>
      </c>
      <c r="O759" s="37">
        <f t="shared" si="243"/>
        <v>2502.46719817134</v>
      </c>
      <c r="R759" s="37">
        <f t="shared" si="244"/>
        <v>-19890.062343226611</v>
      </c>
      <c r="S759" s="37">
        <f t="shared" si="245"/>
        <v>6501.7270387199378</v>
      </c>
      <c r="V759" s="37">
        <f t="shared" si="246"/>
        <v>-4842.946204609445</v>
      </c>
      <c r="W759" s="37">
        <f t="shared" si="247"/>
        <v>-19997.53280182866</v>
      </c>
      <c r="Y759" s="37">
        <f t="shared" si="249"/>
        <v>30212.866377968312</v>
      </c>
      <c r="Z759" s="37">
        <f t="shared" si="250"/>
        <v>-211392.46357810489</v>
      </c>
      <c r="AA759" s="37">
        <f t="shared" si="251"/>
        <v>936.88061993115321</v>
      </c>
      <c r="AB759" s="37">
        <f t="shared" si="252"/>
        <v>-2070.0670248557244</v>
      </c>
      <c r="AC759" s="37">
        <f t="shared" si="253"/>
        <v>-3.5888042944849046</v>
      </c>
      <c r="AD759" s="37">
        <f t="shared" si="254"/>
        <v>27.14945182337172</v>
      </c>
      <c r="AE759" s="39">
        <f t="shared" si="255"/>
        <v>-0.50661965319559077</v>
      </c>
      <c r="AF759" s="39">
        <f t="shared" si="256"/>
        <v>10.858383913089915</v>
      </c>
      <c r="AG759" s="39">
        <f t="shared" si="257"/>
        <v>-0.7697029896392853</v>
      </c>
      <c r="AH759" s="39">
        <f t="shared" si="258"/>
        <v>3.3936808111484829</v>
      </c>
      <c r="AI759" s="39">
        <f t="shared" si="259"/>
        <v>-2.3124816516500286</v>
      </c>
      <c r="AJ759" s="39">
        <f t="shared" si="260"/>
        <v>12.897387099133324</v>
      </c>
      <c r="AK759" s="37">
        <f t="shared" si="261"/>
        <v>219130.58492813414</v>
      </c>
      <c r="AL759" s="37">
        <f t="shared" si="262"/>
        <v>227015.31860003236</v>
      </c>
      <c r="AM759" s="37">
        <f t="shared" si="263"/>
        <v>199524.29854238281</v>
      </c>
    </row>
    <row r="760" spans="12:39">
      <c r="L760">
        <v>756</v>
      </c>
      <c r="M760" s="37">
        <f t="shared" si="248"/>
        <v>4.7500880922277497</v>
      </c>
      <c r="N760" s="37">
        <f t="shared" si="242"/>
        <v>20188.450913349585</v>
      </c>
      <c r="O760" s="37">
        <f t="shared" si="243"/>
        <v>2503.5526367970506</v>
      </c>
      <c r="R760" s="37">
        <f t="shared" si="244"/>
        <v>-19868.084360655292</v>
      </c>
      <c r="S760" s="37">
        <f t="shared" si="245"/>
        <v>6502.486845757936</v>
      </c>
      <c r="V760" s="37">
        <f t="shared" si="246"/>
        <v>-4811.5490866504151</v>
      </c>
      <c r="W760" s="37">
        <f t="shared" si="247"/>
        <v>-19996.447363202948</v>
      </c>
      <c r="Y760" s="37">
        <f t="shared" si="249"/>
        <v>30680.858087397079</v>
      </c>
      <c r="Z760" s="37">
        <f t="shared" si="250"/>
        <v>-212424.10340905481</v>
      </c>
      <c r="AA760" s="37">
        <f t="shared" si="251"/>
        <v>935.0862177839108</v>
      </c>
      <c r="AB760" s="37">
        <f t="shared" si="252"/>
        <v>-2056.4922989440383</v>
      </c>
      <c r="AC760" s="37">
        <f t="shared" si="253"/>
        <v>-3.5929310818940743</v>
      </c>
      <c r="AD760" s="37">
        <f t="shared" si="254"/>
        <v>26.868076501590352</v>
      </c>
      <c r="AE760" s="39">
        <f t="shared" si="255"/>
        <v>-0.52228700717006549</v>
      </c>
      <c r="AF760" s="39">
        <f t="shared" si="256"/>
        <v>10.754145484772321</v>
      </c>
      <c r="AG760" s="39">
        <f t="shared" si="257"/>
        <v>-0.7656050263176386</v>
      </c>
      <c r="AH760" s="39">
        <f t="shared" si="258"/>
        <v>3.3600262104976619</v>
      </c>
      <c r="AI760" s="39">
        <f t="shared" si="259"/>
        <v>-2.3050390484063703</v>
      </c>
      <c r="AJ760" s="39">
        <f t="shared" si="260"/>
        <v>12.753904806320367</v>
      </c>
      <c r="AK760" s="37">
        <f t="shared" si="261"/>
        <v>220183.31451261186</v>
      </c>
      <c r="AL760" s="37">
        <f t="shared" si="262"/>
        <v>228125.03403571647</v>
      </c>
      <c r="AM760" s="37">
        <f t="shared" si="263"/>
        <v>200622.53173739515</v>
      </c>
    </row>
    <row r="761" spans="12:39">
      <c r="L761">
        <v>757</v>
      </c>
      <c r="M761" s="37">
        <f t="shared" si="248"/>
        <v>4.7563712775349289</v>
      </c>
      <c r="N761" s="37">
        <f t="shared" si="242"/>
        <v>20219.840591589236</v>
      </c>
      <c r="O761" s="37">
        <f t="shared" si="243"/>
        <v>2504.8353266093727</v>
      </c>
      <c r="R761" s="37">
        <f t="shared" si="244"/>
        <v>-19846.111585887535</v>
      </c>
      <c r="S761" s="37">
        <f t="shared" si="245"/>
        <v>6503.3847286265609</v>
      </c>
      <c r="V761" s="37">
        <f t="shared" si="246"/>
        <v>-4780.1594084107655</v>
      </c>
      <c r="W761" s="37">
        <f t="shared" si="247"/>
        <v>-19995.164673390627</v>
      </c>
      <c r="Y761" s="37">
        <f t="shared" si="249"/>
        <v>31147.952079903796</v>
      </c>
      <c r="Z761" s="37">
        <f t="shared" si="250"/>
        <v>-213448.99104896412</v>
      </c>
      <c r="AA761" s="37">
        <f t="shared" si="251"/>
        <v>933.2897522429638</v>
      </c>
      <c r="AB761" s="37">
        <f t="shared" si="252"/>
        <v>-2043.0582606932433</v>
      </c>
      <c r="AC761" s="37">
        <f t="shared" si="253"/>
        <v>-3.5966038490889334</v>
      </c>
      <c r="AD761" s="37">
        <f t="shared" si="254"/>
        <v>26.592564457891193</v>
      </c>
      <c r="AE761" s="39">
        <f t="shared" si="255"/>
        <v>-0.537442136570489</v>
      </c>
      <c r="AF761" s="39">
        <f t="shared" si="256"/>
        <v>10.65193830860761</v>
      </c>
      <c r="AG761" s="39">
        <f t="shared" si="257"/>
        <v>-0.76156976818322131</v>
      </c>
      <c r="AH761" s="39">
        <f t="shared" si="258"/>
        <v>3.3270539561015076</v>
      </c>
      <c r="AI761" s="39">
        <f t="shared" si="259"/>
        <v>-2.2975919443352231</v>
      </c>
      <c r="AJ761" s="39">
        <f t="shared" si="260"/>
        <v>12.613572193182074</v>
      </c>
      <c r="AK761" s="37">
        <f t="shared" si="261"/>
        <v>221230.04651523053</v>
      </c>
      <c r="AL761" s="37">
        <f t="shared" si="262"/>
        <v>229228.19329822451</v>
      </c>
      <c r="AM761" s="37">
        <f t="shared" si="263"/>
        <v>201714.3437832889</v>
      </c>
    </row>
    <row r="762" spans="12:39">
      <c r="L762">
        <v>758</v>
      </c>
      <c r="M762" s="37">
        <f t="shared" si="248"/>
        <v>4.7626544628421081</v>
      </c>
      <c r="N762" s="37">
        <f t="shared" si="242"/>
        <v>20251.221590898756</v>
      </c>
      <c r="O762" s="37">
        <f t="shared" si="243"/>
        <v>2506.3152169699079</v>
      </c>
      <c r="R762" s="37">
        <f t="shared" si="244"/>
        <v>-19824.144886370872</v>
      </c>
      <c r="S762" s="37">
        <f t="shared" si="245"/>
        <v>6504.420651878936</v>
      </c>
      <c r="V762" s="37">
        <f t="shared" si="246"/>
        <v>-4748.7784091012445</v>
      </c>
      <c r="W762" s="37">
        <f t="shared" si="247"/>
        <v>-19993.68478303009</v>
      </c>
      <c r="Y762" s="37">
        <f t="shared" si="249"/>
        <v>31614.147380544142</v>
      </c>
      <c r="Z762" s="37">
        <f t="shared" si="250"/>
        <v>-214467.1961087535</v>
      </c>
      <c r="AA762" s="37">
        <f t="shared" si="251"/>
        <v>931.49145031841931</v>
      </c>
      <c r="AB762" s="37">
        <f t="shared" si="252"/>
        <v>-2029.7619784642977</v>
      </c>
      <c r="AC762" s="37">
        <f t="shared" si="253"/>
        <v>-3.5998452609591958</v>
      </c>
      <c r="AD762" s="37">
        <f t="shared" si="254"/>
        <v>26.322742912161434</v>
      </c>
      <c r="AE762" s="39">
        <f t="shared" si="255"/>
        <v>-0.55210444797411096</v>
      </c>
      <c r="AF762" s="39">
        <f t="shared" si="256"/>
        <v>10.551706660901953</v>
      </c>
      <c r="AG762" s="39">
        <f t="shared" si="257"/>
        <v>-0.75759587519867122</v>
      </c>
      <c r="AH762" s="39">
        <f t="shared" si="258"/>
        <v>3.2947443776530339</v>
      </c>
      <c r="AI762" s="39">
        <f t="shared" si="259"/>
        <v>-2.2901449377864136</v>
      </c>
      <c r="AJ762" s="39">
        <f t="shared" si="260"/>
        <v>12.476291873606447</v>
      </c>
      <c r="AK762" s="37">
        <f t="shared" si="261"/>
        <v>222270.83607112931</v>
      </c>
      <c r="AL762" s="37">
        <f t="shared" si="262"/>
        <v>230324.86261527683</v>
      </c>
      <c r="AM762" s="37">
        <f t="shared" si="263"/>
        <v>202799.79810614244</v>
      </c>
    </row>
    <row r="763" spans="12:39">
      <c r="L763">
        <v>759</v>
      </c>
      <c r="M763" s="37">
        <f t="shared" si="248"/>
        <v>4.7689376481492873</v>
      </c>
      <c r="N763" s="37">
        <f t="shared" si="242"/>
        <v>20282.592672410028</v>
      </c>
      <c r="O763" s="37">
        <f t="shared" si="243"/>
        <v>2507.9922494551192</v>
      </c>
      <c r="R763" s="37">
        <f t="shared" si="244"/>
        <v>-19802.18512931298</v>
      </c>
      <c r="S763" s="37">
        <f t="shared" si="245"/>
        <v>6505.5945746185835</v>
      </c>
      <c r="V763" s="37">
        <f t="shared" si="246"/>
        <v>-4717.4073275899709</v>
      </c>
      <c r="W763" s="37">
        <f t="shared" si="247"/>
        <v>-19992.007750544879</v>
      </c>
      <c r="Y763" s="37">
        <f t="shared" si="249"/>
        <v>32079.443125045731</v>
      </c>
      <c r="Z763" s="37">
        <f t="shared" si="250"/>
        <v>-215478.78675512163</v>
      </c>
      <c r="AA763" s="37">
        <f t="shared" si="251"/>
        <v>929.6915276879397</v>
      </c>
      <c r="AB763" s="37">
        <f t="shared" si="252"/>
        <v>-2016.6006070082169</v>
      </c>
      <c r="AC763" s="37">
        <f t="shared" si="253"/>
        <v>-3.6026768338567785</v>
      </c>
      <c r="AD763" s="37">
        <f t="shared" si="254"/>
        <v>26.058445682822018</v>
      </c>
      <c r="AE763" s="39">
        <f t="shared" si="255"/>
        <v>-0.56629248859848469</v>
      </c>
      <c r="AF763" s="39">
        <f t="shared" si="256"/>
        <v>10.453396795620131</v>
      </c>
      <c r="AG763" s="39">
        <f t="shared" si="257"/>
        <v>-0.75368204614490064</v>
      </c>
      <c r="AH763" s="39">
        <f t="shared" si="258"/>
        <v>3.263078542445927</v>
      </c>
      <c r="AI763" s="39">
        <f t="shared" si="259"/>
        <v>-2.2827022991133932</v>
      </c>
      <c r="AJ763" s="39">
        <f t="shared" si="260"/>
        <v>12.341970344755962</v>
      </c>
      <c r="AK763" s="37">
        <f t="shared" si="261"/>
        <v>223305.73725051762</v>
      </c>
      <c r="AL763" s="37">
        <f t="shared" si="262"/>
        <v>231415.10683785641</v>
      </c>
      <c r="AM763" s="37">
        <f t="shared" si="263"/>
        <v>203878.95683779882</v>
      </c>
    </row>
    <row r="764" spans="12:39">
      <c r="L764">
        <v>760</v>
      </c>
      <c r="M764" s="37">
        <f t="shared" si="248"/>
        <v>4.7752208334564665</v>
      </c>
      <c r="N764" s="37">
        <f t="shared" si="242"/>
        <v>20313.952597646472</v>
      </c>
      <c r="O764" s="37">
        <f t="shared" si="243"/>
        <v>2509.8663578586365</v>
      </c>
      <c r="R764" s="37">
        <f t="shared" si="244"/>
        <v>-19780.233181647469</v>
      </c>
      <c r="S764" s="37">
        <f t="shared" si="245"/>
        <v>6506.9064505010447</v>
      </c>
      <c r="V764" s="37">
        <f t="shared" si="246"/>
        <v>-4686.0474023535289</v>
      </c>
      <c r="W764" s="37">
        <f t="shared" si="247"/>
        <v>-19990.133642141365</v>
      </c>
      <c r="Y764" s="37">
        <f t="shared" si="249"/>
        <v>32543.838554285467</v>
      </c>
      <c r="Z764" s="37">
        <f t="shared" si="250"/>
        <v>-216483.82975291539</v>
      </c>
      <c r="AA764" s="37">
        <f t="shared" si="251"/>
        <v>927.89018927101131</v>
      </c>
      <c r="AB764" s="37">
        <f t="shared" si="252"/>
        <v>-2003.571384166806</v>
      </c>
      <c r="AC764" s="37">
        <f t="shared" si="253"/>
        <v>-3.6051190004879556</v>
      </c>
      <c r="AD764" s="37">
        <f t="shared" si="254"/>
        <v>25.799512878716317</v>
      </c>
      <c r="AE764" s="39">
        <f t="shared" si="255"/>
        <v>-0.58002399054143472</v>
      </c>
      <c r="AF764" s="39">
        <f t="shared" si="256"/>
        <v>10.356956858764331</v>
      </c>
      <c r="AG764" s="39">
        <f t="shared" si="257"/>
        <v>-0.74982701721379263</v>
      </c>
      <c r="AH764" s="39">
        <f t="shared" si="258"/>
        <v>3.2320382214811403</v>
      </c>
      <c r="AI764" s="39">
        <f t="shared" si="259"/>
        <v>-2.2752679927327284</v>
      </c>
      <c r="AJ764" s="39">
        <f t="shared" si="260"/>
        <v>12.210517798470846</v>
      </c>
      <c r="AK764" s="37">
        <f t="shared" si="261"/>
        <v>224334.80308783782</v>
      </c>
      <c r="AL764" s="37">
        <f t="shared" si="262"/>
        <v>232498.98948074243</v>
      </c>
      <c r="AM764" s="37">
        <f t="shared" si="263"/>
        <v>204951.88085326771</v>
      </c>
    </row>
    <row r="765" spans="12:39">
      <c r="L765">
        <v>761</v>
      </c>
      <c r="M765" s="37">
        <f t="shared" si="248"/>
        <v>4.7815040187636457</v>
      </c>
      <c r="N765" s="37">
        <f t="shared" si="242"/>
        <v>20345.300128571933</v>
      </c>
      <c r="O765" s="37">
        <f t="shared" si="243"/>
        <v>2511.9374681938671</v>
      </c>
      <c r="R765" s="37">
        <f t="shared" si="244"/>
        <v>-19758.289909999647</v>
      </c>
      <c r="S765" s="37">
        <f t="shared" si="245"/>
        <v>6508.3562277357069</v>
      </c>
      <c r="V765" s="37">
        <f t="shared" si="246"/>
        <v>-4654.6998714280689</v>
      </c>
      <c r="W765" s="37">
        <f t="shared" si="247"/>
        <v>-19988.062531806132</v>
      </c>
      <c r="Y765" s="37">
        <f t="shared" si="249"/>
        <v>33007.333009045913</v>
      </c>
      <c r="Z765" s="37">
        <f t="shared" si="250"/>
        <v>-217482.39050588896</v>
      </c>
      <c r="AA765" s="37">
        <f t="shared" si="251"/>
        <v>926.08762977076731</v>
      </c>
      <c r="AB765" s="37">
        <f t="shared" si="252"/>
        <v>-1990.6716277274477</v>
      </c>
      <c r="AC765" s="37">
        <f t="shared" si="253"/>
        <v>-3.6071911706923823</v>
      </c>
      <c r="AD765" s="37">
        <f t="shared" si="254"/>
        <v>25.545790607962413</v>
      </c>
      <c r="AE765" s="39">
        <f t="shared" si="255"/>
        <v>-0.5933159124186318</v>
      </c>
      <c r="AF765" s="39">
        <f t="shared" si="256"/>
        <v>10.262336807114435</v>
      </c>
      <c r="AG765" s="39">
        <f t="shared" si="257"/>
        <v>-0.74602956066258952</v>
      </c>
      <c r="AH765" s="39">
        <f t="shared" si="258"/>
        <v>3.2016058574126443</v>
      </c>
      <c r="AI765" s="39">
        <f t="shared" si="259"/>
        <v>-2.2678456976111607</v>
      </c>
      <c r="AJ765" s="39">
        <f t="shared" si="260"/>
        <v>12.081847943435333</v>
      </c>
      <c r="AK765" s="37">
        <f t="shared" si="261"/>
        <v>225358.0856098856</v>
      </c>
      <c r="AL765" s="37">
        <f t="shared" si="262"/>
        <v>233576.57276149432</v>
      </c>
      <c r="AM765" s="37">
        <f t="shared" si="263"/>
        <v>206018.62980672362</v>
      </c>
    </row>
    <row r="766" spans="12:39">
      <c r="L766">
        <v>762</v>
      </c>
      <c r="M766" s="37">
        <f t="shared" si="248"/>
        <v>4.7877872040708249</v>
      </c>
      <c r="N766" s="37">
        <f t="shared" si="242"/>
        <v>20376.634027639564</v>
      </c>
      <c r="O766" s="37">
        <f t="shared" si="243"/>
        <v>2514.2054986969224</v>
      </c>
      <c r="R766" s="37">
        <f t="shared" si="244"/>
        <v>-19736.356180652307</v>
      </c>
      <c r="S766" s="37">
        <f t="shared" si="245"/>
        <v>6509.9438490878456</v>
      </c>
      <c r="V766" s="37">
        <f t="shared" si="246"/>
        <v>-4623.365972360436</v>
      </c>
      <c r="W766" s="37">
        <f t="shared" si="247"/>
        <v>-19985.794501303077</v>
      </c>
      <c r="Y766" s="37">
        <f t="shared" si="249"/>
        <v>33469.925925034964</v>
      </c>
      <c r="Z766" s="37">
        <f t="shared" si="250"/>
        <v>-218474.53309592669</v>
      </c>
      <c r="AA766" s="37">
        <f t="shared" si="251"/>
        <v>924.28403418542109</v>
      </c>
      <c r="AB766" s="37">
        <f t="shared" si="252"/>
        <v>-1977.8987324234665</v>
      </c>
      <c r="AC766" s="37">
        <f t="shared" si="253"/>
        <v>-3.6089117883996922</v>
      </c>
      <c r="AD766" s="37">
        <f t="shared" si="254"/>
        <v>25.297130702696276</v>
      </c>
      <c r="AE766" s="39">
        <f t="shared" si="255"/>
        <v>-0.60618447857105495</v>
      </c>
      <c r="AF766" s="39">
        <f t="shared" si="256"/>
        <v>10.169488331075314</v>
      </c>
      <c r="AG766" s="39">
        <f t="shared" si="257"/>
        <v>-0.74228848352672716</v>
      </c>
      <c r="AH766" s="39">
        <f t="shared" si="258"/>
        <v>3.1717645342173078</v>
      </c>
      <c r="AI766" s="39">
        <f t="shared" si="259"/>
        <v>-2.2604388263019102</v>
      </c>
      <c r="AJ766" s="39">
        <f t="shared" si="260"/>
        <v>11.955877837403653</v>
      </c>
      <c r="AK766" s="37">
        <f t="shared" si="261"/>
        <v>226375.63586293467</v>
      </c>
      <c r="AL766" s="37">
        <f t="shared" si="262"/>
        <v>234647.91763795906</v>
      </c>
      <c r="AM766" s="37">
        <f t="shared" si="263"/>
        <v>207079.26216616438</v>
      </c>
    </row>
    <row r="767" spans="12:39">
      <c r="L767">
        <v>763</v>
      </c>
      <c r="M767" s="37">
        <f t="shared" si="248"/>
        <v>4.7940703893780041</v>
      </c>
      <c r="N767" s="37">
        <f t="shared" si="242"/>
        <v>20407.953057840685</v>
      </c>
      <c r="O767" s="37">
        <f t="shared" si="243"/>
        <v>2516.6703598298427</v>
      </c>
      <c r="R767" s="37">
        <f t="shared" si="244"/>
        <v>-19714.432859511518</v>
      </c>
      <c r="S767" s="37">
        <f t="shared" si="245"/>
        <v>6511.6692518808895</v>
      </c>
      <c r="V767" s="37">
        <f t="shared" si="246"/>
        <v>-4592.0469421593134</v>
      </c>
      <c r="W767" s="37">
        <f t="shared" si="247"/>
        <v>-19983.329640170159</v>
      </c>
      <c r="Y767" s="37">
        <f t="shared" si="249"/>
        <v>33931.616828154125</v>
      </c>
      <c r="Z767" s="37">
        <f t="shared" si="250"/>
        <v>-219460.32032080059</v>
      </c>
      <c r="AA767" s="37">
        <f t="shared" si="251"/>
        <v>922.47957829122129</v>
      </c>
      <c r="AB767" s="37">
        <f t="shared" si="252"/>
        <v>-1965.2501670721183</v>
      </c>
      <c r="AC767" s="37">
        <f t="shared" si="253"/>
        <v>-3.6102983850318737</v>
      </c>
      <c r="AD767" s="37">
        <f t="shared" si="254"/>
        <v>25.053390458709565</v>
      </c>
      <c r="AE767" s="39">
        <f t="shared" si="255"/>
        <v>-0.61864521600192468</v>
      </c>
      <c r="AF767" s="39">
        <f t="shared" si="256"/>
        <v>10.078364781392795</v>
      </c>
      <c r="AG767" s="39">
        <f t="shared" si="257"/>
        <v>-0.73860262638826812</v>
      </c>
      <c r="AH767" s="39">
        <f t="shared" si="258"/>
        <v>3.1424979484828341</v>
      </c>
      <c r="AI767" s="39">
        <f t="shared" si="259"/>
        <v>-2.2530505426416809</v>
      </c>
      <c r="AJ767" s="39">
        <f t="shared" si="260"/>
        <v>11.832527728833936</v>
      </c>
      <c r="AK767" s="37">
        <f t="shared" si="261"/>
        <v>227387.50393890805</v>
      </c>
      <c r="AL767" s="37">
        <f t="shared" si="262"/>
        <v>235713.08384437053</v>
      </c>
      <c r="AM767" s="37">
        <f t="shared" si="263"/>
        <v>208133.8352467916</v>
      </c>
    </row>
    <row r="768" spans="12:39">
      <c r="L768">
        <v>764</v>
      </c>
      <c r="M768" s="37">
        <f t="shared" si="248"/>
        <v>4.8003535746851833</v>
      </c>
      <c r="N768" s="37">
        <f t="shared" si="242"/>
        <v>20439.255982753613</v>
      </c>
      <c r="O768" s="37">
        <f t="shared" si="243"/>
        <v>2519.3319542841282</v>
      </c>
      <c r="R768" s="37">
        <f t="shared" si="244"/>
        <v>-19692.520812072471</v>
      </c>
      <c r="S768" s="37">
        <f t="shared" si="245"/>
        <v>6513.5323679988905</v>
      </c>
      <c r="V768" s="37">
        <f t="shared" si="246"/>
        <v>-4560.7440172463876</v>
      </c>
      <c r="W768" s="37">
        <f t="shared" si="247"/>
        <v>-19980.668045715873</v>
      </c>
      <c r="Y768" s="37">
        <f t="shared" si="249"/>
        <v>34392.405330001609</v>
      </c>
      <c r="Z768" s="37">
        <f t="shared" si="250"/>
        <v>-220439.81373052931</v>
      </c>
      <c r="AA768" s="37">
        <f t="shared" si="251"/>
        <v>920.67442909870533</v>
      </c>
      <c r="AB768" s="37">
        <f t="shared" si="252"/>
        <v>-1952.7234718427635</v>
      </c>
      <c r="AC768" s="37">
        <f t="shared" si="253"/>
        <v>-3.6113676295982056</v>
      </c>
      <c r="AD768" s="37">
        <f t="shared" si="254"/>
        <v>24.814432389054069</v>
      </c>
      <c r="AE768" s="39">
        <f t="shared" si="255"/>
        <v>-0.63071298919107766</v>
      </c>
      <c r="AF768" s="39">
        <f t="shared" si="256"/>
        <v>9.9889210995159985</v>
      </c>
      <c r="AG768" s="39">
        <f t="shared" si="257"/>
        <v>-0.73497086219687258</v>
      </c>
      <c r="AH768" s="39">
        <f t="shared" si="258"/>
        <v>3.1137903822134363</v>
      </c>
      <c r="AI768" s="39">
        <f t="shared" si="259"/>
        <v>-2.2456837782102554</v>
      </c>
      <c r="AJ768" s="39">
        <f t="shared" si="260"/>
        <v>11.711720907324633</v>
      </c>
      <c r="AK768" s="37">
        <f t="shared" si="261"/>
        <v>228393.73900063781</v>
      </c>
      <c r="AL768" s="37">
        <f t="shared" si="262"/>
        <v>236772.12992610477</v>
      </c>
      <c r="AM768" s="37">
        <f t="shared" si="263"/>
        <v>209182.40524316981</v>
      </c>
    </row>
    <row r="769" spans="12:39">
      <c r="L769">
        <v>765</v>
      </c>
      <c r="M769" s="37">
        <f t="shared" si="248"/>
        <v>4.8066367599923625</v>
      </c>
      <c r="N769" s="37">
        <f t="shared" si="242"/>
        <v>20470.541566592467</v>
      </c>
      <c r="O769" s="37">
        <f t="shared" si="243"/>
        <v>2522.1901769845899</v>
      </c>
      <c r="R769" s="37">
        <f t="shared" si="244"/>
        <v>-19670.620903385272</v>
      </c>
      <c r="S769" s="37">
        <f t="shared" si="245"/>
        <v>6515.5331238892131</v>
      </c>
      <c r="V769" s="37">
        <f t="shared" si="246"/>
        <v>-4529.4584334075334</v>
      </c>
      <c r="W769" s="37">
        <f t="shared" si="247"/>
        <v>-19977.80982301541</v>
      </c>
      <c r="Y769" s="37">
        <f t="shared" si="249"/>
        <v>34852.291123597264</v>
      </c>
      <c r="Z769" s="37">
        <f t="shared" si="250"/>
        <v>-221413.07366240205</v>
      </c>
      <c r="AA769" s="37">
        <f t="shared" si="251"/>
        <v>918.86874528390626</v>
      </c>
      <c r="AB769" s="37">
        <f t="shared" si="252"/>
        <v>-1940.3162556482364</v>
      </c>
      <c r="AC769" s="37">
        <f t="shared" si="253"/>
        <v>-3.6121353757112962</v>
      </c>
      <c r="AD769" s="37">
        <f t="shared" si="254"/>
        <v>24.580123990752632</v>
      </c>
      <c r="AE769" s="39">
        <f t="shared" si="255"/>
        <v>-0.64240203292401366</v>
      </c>
      <c r="AF769" s="39">
        <f t="shared" si="256"/>
        <v>9.9011137513977463</v>
      </c>
      <c r="AG769" s="39">
        <f t="shared" si="257"/>
        <v>-0.7313920951409052</v>
      </c>
      <c r="AH769" s="39">
        <f t="shared" si="258"/>
        <v>3.0856266770619634</v>
      </c>
      <c r="AI769" s="39">
        <f t="shared" si="259"/>
        <v>-2.2383412476463773</v>
      </c>
      <c r="AJ769" s="39">
        <f t="shared" si="260"/>
        <v>11.593383562292921</v>
      </c>
      <c r="AK769" s="37">
        <f t="shared" si="261"/>
        <v>229394.38930625221</v>
      </c>
      <c r="AL769" s="37">
        <f t="shared" si="262"/>
        <v>237825.11327315326</v>
      </c>
      <c r="AM769" s="37">
        <f t="shared" si="263"/>
        <v>210225.02726021982</v>
      </c>
    </row>
    <row r="770" spans="12:39">
      <c r="L770">
        <v>766</v>
      </c>
      <c r="M770" s="37">
        <f t="shared" si="248"/>
        <v>4.8129199452995417</v>
      </c>
      <c r="N770" s="37">
        <f t="shared" si="242"/>
        <v>20501.808574255967</v>
      </c>
      <c r="O770" s="37">
        <f t="shared" si="243"/>
        <v>2525.244915093489</v>
      </c>
      <c r="R770" s="37">
        <f t="shared" si="244"/>
        <v>-19648.733998020823</v>
      </c>
      <c r="S770" s="37">
        <f t="shared" si="245"/>
        <v>6517.671440565442</v>
      </c>
      <c r="V770" s="37">
        <f t="shared" si="246"/>
        <v>-4498.191425744033</v>
      </c>
      <c r="W770" s="37">
        <f t="shared" si="247"/>
        <v>-19974.755084906512</v>
      </c>
      <c r="Y770" s="37">
        <f t="shared" si="249"/>
        <v>35311.273979317251</v>
      </c>
      <c r="Z770" s="37">
        <f t="shared" si="250"/>
        <v>-222380.15927472731</v>
      </c>
      <c r="AA770" s="37">
        <f t="shared" si="251"/>
        <v>917.06267759605066</v>
      </c>
      <c r="AB770" s="37">
        <f t="shared" si="252"/>
        <v>-1928.02619365286</v>
      </c>
      <c r="AC770" s="37">
        <f t="shared" si="253"/>
        <v>-3.6126167057349008</v>
      </c>
      <c r="AD770" s="37">
        <f t="shared" si="254"/>
        <v>24.350337523814389</v>
      </c>
      <c r="AE770" s="39">
        <f t="shared" si="255"/>
        <v>-0.6537259832629746</v>
      </c>
      <c r="AF770" s="39">
        <f t="shared" si="256"/>
        <v>9.8149006645377419</v>
      </c>
      <c r="AG770" s="39">
        <f t="shared" si="257"/>
        <v>-0.72786525956596582</v>
      </c>
      <c r="AH770" s="39">
        <f t="shared" si="258"/>
        <v>3.0579922099015033</v>
      </c>
      <c r="AI770" s="39">
        <f t="shared" si="259"/>
        <v>-2.2310254629059605</v>
      </c>
      <c r="AJ770" s="39">
        <f t="shared" si="260"/>
        <v>11.477444649375144</v>
      </c>
      <c r="AK770" s="37">
        <f t="shared" si="261"/>
        <v>230389.50223272698</v>
      </c>
      <c r="AL770" s="37">
        <f t="shared" si="262"/>
        <v>238872.09015237156</v>
      </c>
      <c r="AM770" s="37">
        <f t="shared" si="263"/>
        <v>211261.75534309764</v>
      </c>
    </row>
    <row r="771" spans="12:39">
      <c r="L771">
        <v>767</v>
      </c>
      <c r="M771" s="37">
        <f t="shared" si="248"/>
        <v>4.8192031306067209</v>
      </c>
      <c r="N771" s="37">
        <f t="shared" si="242"/>
        <v>20533.055771376192</v>
      </c>
      <c r="O771" s="37">
        <f t="shared" si="243"/>
        <v>2528.4960480149939</v>
      </c>
      <c r="R771" s="37">
        <f t="shared" si="244"/>
        <v>-19626.860960036665</v>
      </c>
      <c r="S771" s="37">
        <f t="shared" si="245"/>
        <v>6519.9472336104955</v>
      </c>
      <c r="V771" s="37">
        <f t="shared" si="246"/>
        <v>-4466.9442286238091</v>
      </c>
      <c r="W771" s="37">
        <f t="shared" si="247"/>
        <v>-19971.503951985007</v>
      </c>
      <c r="Y771" s="37">
        <f t="shared" si="249"/>
        <v>35769.353741027066</v>
      </c>
      <c r="Z771" s="37">
        <f t="shared" si="250"/>
        <v>-223341.12857936329</v>
      </c>
      <c r="AA771" s="37">
        <f t="shared" si="251"/>
        <v>915.25636924318326</v>
      </c>
      <c r="AB771" s="37">
        <f t="shared" si="252"/>
        <v>-1915.8510248909529</v>
      </c>
      <c r="AC771" s="37">
        <f t="shared" si="253"/>
        <v>-3.6128259722583462</v>
      </c>
      <c r="AD771" s="37">
        <f t="shared" si="254"/>
        <v>24.124949801808711</v>
      </c>
      <c r="AE771" s="39">
        <f t="shared" si="255"/>
        <v>-0.6646979067784613</v>
      </c>
      <c r="AF771" s="39">
        <f t="shared" si="256"/>
        <v>9.730241168087769</v>
      </c>
      <c r="AG771" s="39">
        <f t="shared" si="257"/>
        <v>-0.72438931893866221</v>
      </c>
      <c r="AH771" s="39">
        <f t="shared" si="258"/>
        <v>3.0308728696570135</v>
      </c>
      <c r="AI771" s="39">
        <f t="shared" si="259"/>
        <v>-2.2237387465412226</v>
      </c>
      <c r="AJ771" s="39">
        <f t="shared" si="260"/>
        <v>11.36383576406393</v>
      </c>
      <c r="AK771" s="37">
        <f t="shared" si="261"/>
        <v>231379.12429863628</v>
      </c>
      <c r="AL771" s="37">
        <f t="shared" si="262"/>
        <v>239913.11573855806</v>
      </c>
      <c r="AM771" s="37">
        <f t="shared" si="263"/>
        <v>212292.64250600815</v>
      </c>
    </row>
    <row r="772" spans="12:39">
      <c r="L772">
        <v>768</v>
      </c>
      <c r="M772" s="37">
        <f t="shared" si="248"/>
        <v>4.8254863159139001</v>
      </c>
      <c r="N772" s="37">
        <f t="shared" si="242"/>
        <v>20564.281924367297</v>
      </c>
      <c r="O772" s="37">
        <f t="shared" si="243"/>
        <v>2531.9434473999454</v>
      </c>
      <c r="R772" s="37">
        <f t="shared" si="244"/>
        <v>-19605.002652942891</v>
      </c>
      <c r="S772" s="37">
        <f t="shared" si="245"/>
        <v>6522.3604131799621</v>
      </c>
      <c r="V772" s="37">
        <f t="shared" si="246"/>
        <v>-4435.7180756327025</v>
      </c>
      <c r="W772" s="37">
        <f t="shared" si="247"/>
        <v>-19968.056552600054</v>
      </c>
      <c r="Y772" s="37">
        <f t="shared" si="249"/>
        <v>36226.530322402126</v>
      </c>
      <c r="Z772" s="37">
        <f t="shared" si="250"/>
        <v>-224296.03847308355</v>
      </c>
      <c r="AA772" s="37">
        <f t="shared" si="251"/>
        <v>913.44995625705405</v>
      </c>
      <c r="AB772" s="37">
        <f t="shared" si="252"/>
        <v>-1903.7885499900485</v>
      </c>
      <c r="AC772" s="37">
        <f t="shared" si="253"/>
        <v>-3.612776837077885</v>
      </c>
      <c r="AD772" s="37">
        <f t="shared" si="254"/>
        <v>23.903841993301857</v>
      </c>
      <c r="AE772" s="39">
        <f t="shared" si="255"/>
        <v>-0.67533032815097915</v>
      </c>
      <c r="AF772" s="39">
        <f t="shared" si="256"/>
        <v>9.6470959358458206</v>
      </c>
      <c r="AG772" s="39">
        <f t="shared" si="257"/>
        <v>-0.72096326485325934</v>
      </c>
      <c r="AH772" s="39">
        <f t="shared" si="258"/>
        <v>3.0042550353215995</v>
      </c>
      <c r="AI772" s="39">
        <f t="shared" si="259"/>
        <v>-2.2164832440736464</v>
      </c>
      <c r="AJ772" s="39">
        <f t="shared" si="260"/>
        <v>11.252491022134436</v>
      </c>
      <c r="AK772" s="37">
        <f t="shared" si="261"/>
        <v>232363.30118613623</v>
      </c>
      <c r="AL772" s="37">
        <f t="shared" si="262"/>
        <v>240948.24414441508</v>
      </c>
      <c r="AM772" s="37">
        <f t="shared" si="263"/>
        <v>213317.74075999964</v>
      </c>
    </row>
    <row r="773" spans="12:39">
      <c r="L773">
        <v>769</v>
      </c>
      <c r="M773" s="37">
        <f t="shared" si="248"/>
        <v>4.8317695012210793</v>
      </c>
      <c r="N773" s="37">
        <f t="shared" ref="N773:N836" si="264">COS(M773)*$D$37+$D$36</f>
        <v>20595.485800474235</v>
      </c>
      <c r="O773" s="37">
        <f t="shared" ref="O773:O836" si="265">SIN(M773)*$D$37+$E$36</f>
        <v>2535.5869771509178</v>
      </c>
      <c r="R773" s="37">
        <f t="shared" ref="R773:R836" si="266">COS(M773)*$D$48+$D$47</f>
        <v>-19583.159939668036</v>
      </c>
      <c r="S773" s="37">
        <f t="shared" ref="S773:S836" si="267">SIN(M773)*$D$48+$E$47</f>
        <v>6524.9108840056433</v>
      </c>
      <c r="V773" s="37">
        <f t="shared" ref="V773:V836" si="268">COS(M773)*$D$57+$D$56</f>
        <v>-4404.5141995257636</v>
      </c>
      <c r="W773" s="37">
        <f t="shared" ref="W773:W836" si="269">SIN(M773)*$D$57+$E$56</f>
        <v>-19964.413022849083</v>
      </c>
      <c r="Y773" s="37">
        <f t="shared" si="249"/>
        <v>36682.80370342602</v>
      </c>
      <c r="Z773" s="37">
        <f t="shared" si="250"/>
        <v>-225244.94476782941</v>
      </c>
      <c r="AA773" s="37">
        <f t="shared" si="251"/>
        <v>911.64356783851508</v>
      </c>
      <c r="AB773" s="37">
        <f t="shared" si="252"/>
        <v>-1891.8366289933977</v>
      </c>
      <c r="AC773" s="37">
        <f t="shared" si="253"/>
        <v>-3.6124823078517845</v>
      </c>
      <c r="AD773" s="37">
        <f t="shared" si="254"/>
        <v>23.686899433509602</v>
      </c>
      <c r="AE773" s="39">
        <f t="shared" si="255"/>
        <v>-0.68563525624539312</v>
      </c>
      <c r="AF773" s="39">
        <f t="shared" si="256"/>
        <v>9.5654269319814187</v>
      </c>
      <c r="AG773" s="39">
        <f t="shared" si="257"/>
        <v>-0.71758611607924239</v>
      </c>
      <c r="AH773" s="39">
        <f t="shared" si="258"/>
        <v>2.978125555088226</v>
      </c>
      <c r="AI773" s="39">
        <f t="shared" si="259"/>
        <v>-2.2092609355271491</v>
      </c>
      <c r="AJ773" s="39">
        <f t="shared" si="260"/>
        <v>11.143346946439959</v>
      </c>
      <c r="AK773" s="37">
        <f t="shared" si="261"/>
        <v>233342.07776221374</v>
      </c>
      <c r="AL773" s="37">
        <f t="shared" si="262"/>
        <v>241977.52844944142</v>
      </c>
      <c r="AM773" s="37">
        <f t="shared" si="263"/>
        <v>214337.10113978398</v>
      </c>
    </row>
    <row r="774" spans="12:39">
      <c r="L774">
        <v>770</v>
      </c>
      <c r="M774" s="37">
        <f t="shared" ref="M774:M837" si="270">M773+$J$3</f>
        <v>4.8380526865282585</v>
      </c>
      <c r="N774" s="37">
        <f t="shared" si="264"/>
        <v>20626.666167821408</v>
      </c>
      <c r="O774" s="37">
        <f t="shared" si="265"/>
        <v>2539.4264934275961</v>
      </c>
      <c r="R774" s="37">
        <f t="shared" si="266"/>
        <v>-19561.333682525015</v>
      </c>
      <c r="S774" s="37">
        <f t="shared" si="267"/>
        <v>6527.5985453993171</v>
      </c>
      <c r="V774" s="37">
        <f t="shared" si="268"/>
        <v>-4373.3338321785932</v>
      </c>
      <c r="W774" s="37">
        <f t="shared" si="269"/>
        <v>-19960.573506572404</v>
      </c>
      <c r="Y774" s="37">
        <f t="shared" ref="Y774:Y837" si="271">Y773+(AA773*$D$14)+((1/2)*AC773)*$D$14^2</f>
        <v>37138.1739270568</v>
      </c>
      <c r="Z774" s="37">
        <f t="shared" ref="Z774:Z837" si="272">Z773+(AB773*$D$14)+((1/2)*AD773)*$D$14^2</f>
        <v>-226187.9022198969</v>
      </c>
      <c r="AA774" s="37">
        <f t="shared" ref="AA774:AA837" si="273">AA773+(AC773*$D$14)</f>
        <v>909.83732668458924</v>
      </c>
      <c r="AB774" s="37">
        <f t="shared" ref="AB774:AB837" si="274">AB773+(AD773*$D$14)</f>
        <v>-1879.9931792766429</v>
      </c>
      <c r="AC774" s="37">
        <f t="shared" ref="AC774:AC837" si="275">AE774+AG774+AI774</f>
        <v>-3.6119547725835432</v>
      </c>
      <c r="AD774" s="37">
        <f t="shared" ref="AD774:AD837" si="276">AF774+AH774+AJ774</f>
        <v>23.474011445559874</v>
      </c>
      <c r="AE774" s="39">
        <f t="shared" ref="AE774:AE837" si="277">$D$40*($D$36-Y774)/(AK774^2+$D$41^2)^(3/2)</f>
        <v>-0.69562420875284292</v>
      </c>
      <c r="AF774" s="39">
        <f t="shared" ref="AF774:AF837" si="278">$D$40*($E$36-Z774)/(AK774^2+$D$41^2)^(3/2)</f>
        <v>9.4851973593399244</v>
      </c>
      <c r="AG774" s="39">
        <f t="shared" ref="AG774:AG837" si="279">$D$51*($D$47-Y774)/(AL774^2+$D$52^2)^(3/2)</f>
        <v>-0.71425691764770793</v>
      </c>
      <c r="AH774" s="39">
        <f t="shared" ref="AH774:AH837" si="280">$D$51*($E$47-Z774)/(AL774^2+$D$52^2)^(3/2)</f>
        <v>2.9524717265312774</v>
      </c>
      <c r="AI774" s="39">
        <f t="shared" ref="AI774:AI837" si="281">$D$60*($D$56-Y774)/(AM774^2+$D$61^2)^(3/2)</f>
        <v>-2.2020736461829924</v>
      </c>
      <c r="AJ774" s="39">
        <f t="shared" ref="AJ774:AJ837" si="282">$D$60*($E$56-Z774)/(AM774^2+$D$61^2)^(3/2)</f>
        <v>11.036342359688671</v>
      </c>
      <c r="AK774" s="37">
        <f t="shared" ref="AK774:AK837" si="283">SQRT(($D$36-Y774)^2+($E$36-Z774)^2)</f>
        <v>234315.49809922976</v>
      </c>
      <c r="AL774" s="37">
        <f t="shared" ref="AL774:AL837" si="284">SQRT(($D$47-Y774)^2+($E$47-Z774)^2)</f>
        <v>243001.02072780309</v>
      </c>
      <c r="AM774" s="37">
        <f t="shared" ref="AM774:AM837" si="285">SQRT(($D$56-Y774)^2+($E$56-Z774)^2)</f>
        <v>215350.77372962379</v>
      </c>
    </row>
    <row r="775" spans="12:39">
      <c r="L775">
        <v>771</v>
      </c>
      <c r="M775" s="37">
        <f t="shared" si="270"/>
        <v>4.8443358718354377</v>
      </c>
      <c r="N775" s="37">
        <f t="shared" si="264"/>
        <v>20657.821795461296</v>
      </c>
      <c r="O775" s="37">
        <f t="shared" si="265"/>
        <v>2543.4618446524519</v>
      </c>
      <c r="R775" s="37">
        <f t="shared" si="266"/>
        <v>-19539.524743177091</v>
      </c>
      <c r="S775" s="37">
        <f t="shared" si="267"/>
        <v>6530.4232912567159</v>
      </c>
      <c r="V775" s="37">
        <f t="shared" si="268"/>
        <v>-4342.1782045387035</v>
      </c>
      <c r="W775" s="37">
        <f t="shared" si="269"/>
        <v>-19956.538155347549</v>
      </c>
      <c r="Y775" s="37">
        <f t="shared" si="271"/>
        <v>37592.641096052517</v>
      </c>
      <c r="Z775" s="37">
        <f t="shared" si="272"/>
        <v>-227124.96455810452</v>
      </c>
      <c r="AA775" s="37">
        <f t="shared" si="273"/>
        <v>908.03134929829753</v>
      </c>
      <c r="AB775" s="37">
        <f t="shared" si="274"/>
        <v>-1868.2561735538629</v>
      </c>
      <c r="AC775" s="37">
        <f t="shared" si="275"/>
        <v>-3.6112060320765722</v>
      </c>
      <c r="AD775" s="37">
        <f t="shared" si="276"/>
        <v>23.265071170803139</v>
      </c>
      <c r="AE775" s="39">
        <f t="shared" si="277"/>
        <v>-0.70530823548887112</v>
      </c>
      <c r="AF775" s="39">
        <f t="shared" si="278"/>
        <v>9.4063716101868931</v>
      </c>
      <c r="AG775" s="39">
        <f t="shared" si="279"/>
        <v>-0.71097473997478799</v>
      </c>
      <c r="AH775" s="39">
        <f t="shared" si="280"/>
        <v>2.9272812777774235</v>
      </c>
      <c r="AI775" s="39">
        <f t="shared" si="281"/>
        <v>-2.1949230566129132</v>
      </c>
      <c r="AJ775" s="39">
        <f t="shared" si="282"/>
        <v>10.931418282838822</v>
      </c>
      <c r="AK775" s="37">
        <f t="shared" si="283"/>
        <v>235283.60549478646</v>
      </c>
      <c r="AL775" s="37">
        <f t="shared" si="284"/>
        <v>244018.77207522589</v>
      </c>
      <c r="AM775" s="37">
        <f t="shared" si="285"/>
        <v>216358.80768832649</v>
      </c>
    </row>
    <row r="776" spans="12:39">
      <c r="L776">
        <v>772</v>
      </c>
      <c r="M776" s="37">
        <f t="shared" si="270"/>
        <v>4.8506190571426169</v>
      </c>
      <c r="N776" s="37">
        <f t="shared" si="264"/>
        <v>20688.951453423073</v>
      </c>
      <c r="O776" s="37">
        <f t="shared" si="265"/>
        <v>2547.6928715167278</v>
      </c>
      <c r="R776" s="37">
        <f t="shared" si="266"/>
        <v>-19517.733982603848</v>
      </c>
      <c r="S776" s="37">
        <f t="shared" si="267"/>
        <v>6533.3850100617092</v>
      </c>
      <c r="V776" s="37">
        <f t="shared" si="268"/>
        <v>-4311.0485465769279</v>
      </c>
      <c r="W776" s="37">
        <f t="shared" si="269"/>
        <v>-19952.307128483273</v>
      </c>
      <c r="Y776" s="37">
        <f t="shared" si="271"/>
        <v>38046.205369947653</v>
      </c>
      <c r="Z776" s="37">
        <f t="shared" si="272"/>
        <v>-228056.1845109851</v>
      </c>
      <c r="AA776" s="37">
        <f t="shared" si="273"/>
        <v>906.22574628225925</v>
      </c>
      <c r="AB776" s="37">
        <f t="shared" si="274"/>
        <v>-1856.6236379684615</v>
      </c>
      <c r="AC776" s="37">
        <f t="shared" si="275"/>
        <v>-3.6102473304929266</v>
      </c>
      <c r="AD776" s="37">
        <f t="shared" si="276"/>
        <v>23.059975407642586</v>
      </c>
      <c r="AE776" s="39">
        <f t="shared" si="277"/>
        <v>-0.71469794043013413</v>
      </c>
      <c r="AF776" s="39">
        <f t="shared" si="278"/>
        <v>9.3289152192591978</v>
      </c>
      <c r="AG776" s="39">
        <f t="shared" si="279"/>
        <v>-0.70773867802033075</v>
      </c>
      <c r="AH776" s="39">
        <f t="shared" si="280"/>
        <v>2.9025423496088987</v>
      </c>
      <c r="AI776" s="39">
        <f t="shared" si="281"/>
        <v>-2.1878107120424617</v>
      </c>
      <c r="AJ776" s="39">
        <f t="shared" si="282"/>
        <v>10.82851783877449</v>
      </c>
      <c r="AK776" s="37">
        <f t="shared" si="283"/>
        <v>236246.44249094542</v>
      </c>
      <c r="AL776" s="37">
        <f t="shared" si="284"/>
        <v>245030.83263495294</v>
      </c>
      <c r="AM776" s="37">
        <f t="shared" si="285"/>
        <v>217361.25127338275</v>
      </c>
    </row>
    <row r="777" spans="12:39">
      <c r="L777">
        <v>773</v>
      </c>
      <c r="M777" s="37">
        <f t="shared" si="270"/>
        <v>4.8569022424497961</v>
      </c>
      <c r="N777" s="37">
        <f t="shared" si="264"/>
        <v>20720.053912761141</v>
      </c>
      <c r="O777" s="37">
        <f t="shared" si="265"/>
        <v>2552.1194069867279</v>
      </c>
      <c r="R777" s="37">
        <f t="shared" si="266"/>
        <v>-19495.962261067201</v>
      </c>
      <c r="S777" s="37">
        <f t="shared" si="267"/>
        <v>6536.4835848907096</v>
      </c>
      <c r="V777" s="37">
        <f t="shared" si="268"/>
        <v>-4279.946087238859</v>
      </c>
      <c r="W777" s="37">
        <f t="shared" si="269"/>
        <v>-19947.880593013273</v>
      </c>
      <c r="Y777" s="37">
        <f t="shared" si="271"/>
        <v>38498.866962172469</v>
      </c>
      <c r="Z777" s="37">
        <f t="shared" si="272"/>
        <v>-228981.61383304338</v>
      </c>
      <c r="AA777" s="37">
        <f t="shared" si="273"/>
        <v>904.42062261701278</v>
      </c>
      <c r="AB777" s="37">
        <f t="shared" si="274"/>
        <v>-1845.0936502646402</v>
      </c>
      <c r="AC777" s="37">
        <f t="shared" si="275"/>
        <v>-3.6090893841393497</v>
      </c>
      <c r="AD777" s="37">
        <f t="shared" si="276"/>
        <v>22.858624458392455</v>
      </c>
      <c r="AE777" s="39">
        <f t="shared" si="277"/>
        <v>-0.72380350256651438</v>
      </c>
      <c r="AF777" s="39">
        <f t="shared" si="278"/>
        <v>9.2527948189988631</v>
      </c>
      <c r="AG777" s="39">
        <f t="shared" si="279"/>
        <v>-0.70454785048017154</v>
      </c>
      <c r="AH777" s="39">
        <f t="shared" si="280"/>
        <v>2.8782434784460014</v>
      </c>
      <c r="AI777" s="39">
        <f t="shared" si="281"/>
        <v>-2.1807380310926638</v>
      </c>
      <c r="AJ777" s="39">
        <f t="shared" si="282"/>
        <v>10.72758616094759</v>
      </c>
      <c r="AK777" s="37">
        <f t="shared" si="283"/>
        <v>237204.05089282268</v>
      </c>
      <c r="AL777" s="37">
        <f t="shared" si="284"/>
        <v>246037.25162280572</v>
      </c>
      <c r="AM777" s="37">
        <f t="shared" si="285"/>
        <v>218358.15186428576</v>
      </c>
    </row>
    <row r="778" spans="12:39">
      <c r="L778">
        <v>774</v>
      </c>
      <c r="M778" s="37">
        <f t="shared" si="270"/>
        <v>4.8631854277569753</v>
      </c>
      <c r="N778" s="37">
        <f t="shared" si="264"/>
        <v>20751.127945603665</v>
      </c>
      <c r="O778" s="37">
        <f t="shared" si="265"/>
        <v>2556.7412763104112</v>
      </c>
      <c r="R778" s="37">
        <f t="shared" si="266"/>
        <v>-19474.210438077436</v>
      </c>
      <c r="S778" s="37">
        <f t="shared" si="267"/>
        <v>6539.7188934172882</v>
      </c>
      <c r="V778" s="37">
        <f t="shared" si="268"/>
        <v>-4248.8720543963364</v>
      </c>
      <c r="W778" s="37">
        <f t="shared" si="269"/>
        <v>-19943.258723689589</v>
      </c>
      <c r="Y778" s="37">
        <f t="shared" si="271"/>
        <v>38950.626137307954</v>
      </c>
      <c r="Z778" s="37">
        <f t="shared" si="272"/>
        <v>-229901.30333011842</v>
      </c>
      <c r="AA778" s="37">
        <f t="shared" si="273"/>
        <v>902.61607792494306</v>
      </c>
      <c r="AB778" s="37">
        <f t="shared" si="274"/>
        <v>-1833.664338035444</v>
      </c>
      <c r="AC778" s="37">
        <f t="shared" si="275"/>
        <v>-3.6077424085948966</v>
      </c>
      <c r="AD778" s="37">
        <f t="shared" si="276"/>
        <v>22.660921983704895</v>
      </c>
      <c r="AE778" s="39">
        <f t="shared" si="277"/>
        <v>-0.73263469564033923</v>
      </c>
      <c r="AF778" s="39">
        <f t="shared" si="278"/>
        <v>9.177978096853991</v>
      </c>
      <c r="AG778" s="39">
        <f t="shared" si="279"/>
        <v>-0.70140139901038123</v>
      </c>
      <c r="AH778" s="39">
        <f t="shared" si="280"/>
        <v>2.8543735801589398</v>
      </c>
      <c r="AI778" s="39">
        <f t="shared" si="281"/>
        <v>-2.1737063139441761</v>
      </c>
      <c r="AJ778" s="39">
        <f t="shared" si="282"/>
        <v>10.628570306691962</v>
      </c>
      <c r="AK778" s="37">
        <f t="shared" si="283"/>
        <v>238156.47178658596</v>
      </c>
      <c r="AL778" s="37">
        <f t="shared" si="284"/>
        <v>247038.07735138756</v>
      </c>
      <c r="AM778" s="37">
        <f t="shared" si="285"/>
        <v>219349.5559850646</v>
      </c>
    </row>
    <row r="779" spans="12:39">
      <c r="L779">
        <v>775</v>
      </c>
      <c r="M779" s="37">
        <f t="shared" si="270"/>
        <v>4.8694686130641545</v>
      </c>
      <c r="N779" s="37">
        <f t="shared" si="264"/>
        <v>20782.172325201031</v>
      </c>
      <c r="O779" s="37">
        <f t="shared" si="265"/>
        <v>2561.5582970242913</v>
      </c>
      <c r="R779" s="37">
        <f t="shared" si="266"/>
        <v>-19452.479372359277</v>
      </c>
      <c r="S779" s="37">
        <f t="shared" si="267"/>
        <v>6543.090807917004</v>
      </c>
      <c r="V779" s="37">
        <f t="shared" si="268"/>
        <v>-4217.8276747989694</v>
      </c>
      <c r="W779" s="37">
        <f t="shared" si="269"/>
        <v>-19938.44170297571</v>
      </c>
      <c r="Y779" s="37">
        <f t="shared" si="271"/>
        <v>39401.483208469355</v>
      </c>
      <c r="Z779" s="37">
        <f t="shared" si="272"/>
        <v>-230815.30288388819</v>
      </c>
      <c r="AA779" s="37">
        <f t="shared" si="273"/>
        <v>900.81220672064558</v>
      </c>
      <c r="AB779" s="37">
        <f t="shared" si="274"/>
        <v>-1822.3338770435914</v>
      </c>
      <c r="AC779" s="37">
        <f t="shared" si="275"/>
        <v>-3.6062161442864067</v>
      </c>
      <c r="AD779" s="37">
        <f t="shared" si="276"/>
        <v>22.466774864134752</v>
      </c>
      <c r="AE779" s="39">
        <f t="shared" si="277"/>
        <v>-0.74120090683944995</v>
      </c>
      <c r="AF779" s="39">
        <f t="shared" si="278"/>
        <v>9.1044337545362222</v>
      </c>
      <c r="AG779" s="39">
        <f t="shared" si="279"/>
        <v>-0.69829848748211909</v>
      </c>
      <c r="AH779" s="39">
        <f t="shared" si="280"/>
        <v>2.830921934662928</v>
      </c>
      <c r="AI779" s="39">
        <f t="shared" si="281"/>
        <v>-2.1667167499648379</v>
      </c>
      <c r="AJ779" s="39">
        <f t="shared" si="282"/>
        <v>10.531419174935602</v>
      </c>
      <c r="AK779" s="37">
        <f t="shared" si="283"/>
        <v>239103.74555687723</v>
      </c>
      <c r="AL779" s="37">
        <f t="shared" si="284"/>
        <v>248033.35725346475</v>
      </c>
      <c r="AM779" s="37">
        <f t="shared" si="285"/>
        <v>220335.50932606478</v>
      </c>
    </row>
    <row r="780" spans="12:39">
      <c r="L780">
        <v>776</v>
      </c>
      <c r="M780" s="37">
        <f t="shared" si="270"/>
        <v>4.8757517983713337</v>
      </c>
      <c r="N780" s="37">
        <f t="shared" si="264"/>
        <v>20813.185825974291</v>
      </c>
      <c r="O780" s="37">
        <f t="shared" si="265"/>
        <v>2566.5702789606385</v>
      </c>
      <c r="R780" s="37">
        <f t="shared" si="266"/>
        <v>-19430.769921817995</v>
      </c>
      <c r="S780" s="37">
        <f t="shared" si="267"/>
        <v>6546.5991952724471</v>
      </c>
      <c r="V780" s="37">
        <f t="shared" si="268"/>
        <v>-4186.8141740257079</v>
      </c>
      <c r="W780" s="37">
        <f t="shared" si="269"/>
        <v>-19933.429721039363</v>
      </c>
      <c r="Y780" s="37">
        <f t="shared" si="271"/>
        <v>39851.438534811641</v>
      </c>
      <c r="Z780" s="37">
        <f t="shared" si="272"/>
        <v>-231723.66147555195</v>
      </c>
      <c r="AA780" s="37">
        <f t="shared" si="273"/>
        <v>899.00909864850234</v>
      </c>
      <c r="AB780" s="37">
        <f t="shared" si="274"/>
        <v>-1811.1004896115242</v>
      </c>
      <c r="AC780" s="37">
        <f t="shared" si="275"/>
        <v>-3.6045198806103298</v>
      </c>
      <c r="AD780" s="37">
        <f t="shared" si="276"/>
        <v>22.276093068439145</v>
      </c>
      <c r="AE780" s="39">
        <f t="shared" si="277"/>
        <v>-0.74951115450649852</v>
      </c>
      <c r="AF780" s="39">
        <f t="shared" si="278"/>
        <v>9.0321314691320431</v>
      </c>
      <c r="AG780" s="39">
        <f t="shared" si="279"/>
        <v>-0.69523830126550279</v>
      </c>
      <c r="AH780" s="39">
        <f t="shared" si="280"/>
        <v>2.807878171252197</v>
      </c>
      <c r="AI780" s="39">
        <f t="shared" si="281"/>
        <v>-2.1597704248383285</v>
      </c>
      <c r="AJ780" s="39">
        <f t="shared" si="282"/>
        <v>10.436083428054905</v>
      </c>
      <c r="AK780" s="37">
        <f t="shared" si="283"/>
        <v>240045.9119036833</v>
      </c>
      <c r="AL780" s="37">
        <f t="shared" si="284"/>
        <v>249023.13790456014</v>
      </c>
      <c r="AM780" s="37">
        <f t="shared" si="285"/>
        <v>221316.05676500662</v>
      </c>
    </row>
    <row r="781" spans="12:39">
      <c r="L781">
        <v>777</v>
      </c>
      <c r="M781" s="37">
        <f t="shared" si="270"/>
        <v>4.8820349836785129</v>
      </c>
      <c r="N781" s="37">
        <f t="shared" si="264"/>
        <v>20844.167223563541</v>
      </c>
      <c r="O781" s="37">
        <f t="shared" si="265"/>
        <v>2571.7770242549877</v>
      </c>
      <c r="R781" s="37">
        <f t="shared" si="266"/>
        <v>-19409.08294350552</v>
      </c>
      <c r="S781" s="37">
        <f t="shared" si="267"/>
        <v>6550.2439169784921</v>
      </c>
      <c r="V781" s="37">
        <f t="shared" si="268"/>
        <v>-4155.8327764364585</v>
      </c>
      <c r="W781" s="37">
        <f t="shared" si="269"/>
        <v>-19928.222975745011</v>
      </c>
      <c r="Y781" s="37">
        <f t="shared" si="271"/>
        <v>40300.492519150815</v>
      </c>
      <c r="Z781" s="37">
        <f t="shared" si="272"/>
        <v>-232626.42720872414</v>
      </c>
      <c r="AA781" s="37">
        <f t="shared" si="273"/>
        <v>897.20683870819721</v>
      </c>
      <c r="AB781" s="37">
        <f t="shared" si="274"/>
        <v>-1799.9624430773047</v>
      </c>
      <c r="AC781" s="37">
        <f t="shared" si="275"/>
        <v>-3.6026624786929937</v>
      </c>
      <c r="AD781" s="37">
        <f t="shared" si="276"/>
        <v>22.088789528236475</v>
      </c>
      <c r="AE781" s="39">
        <f t="shared" si="277"/>
        <v>-0.75757410492274857</v>
      </c>
      <c r="AF781" s="39">
        <f t="shared" si="278"/>
        <v>8.9610418559714979</v>
      </c>
      <c r="AG781" s="39">
        <f t="shared" si="279"/>
        <v>-0.69222004654134228</v>
      </c>
      <c r="AH781" s="39">
        <f t="shared" si="280"/>
        <v>2.7852322546327986</v>
      </c>
      <c r="AI781" s="39">
        <f t="shared" si="281"/>
        <v>-2.1528683272289029</v>
      </c>
      <c r="AJ781" s="39">
        <f t="shared" si="282"/>
        <v>10.34251541763218</v>
      </c>
      <c r="AK781" s="37">
        <f t="shared" si="283"/>
        <v>240983.00985867612</v>
      </c>
      <c r="AL781" s="37">
        <f t="shared" si="284"/>
        <v>250007.46504479117</v>
      </c>
      <c r="AM781" s="37">
        <f t="shared" si="285"/>
        <v>222291.24238735036</v>
      </c>
    </row>
    <row r="782" spans="12:39">
      <c r="L782">
        <v>778</v>
      </c>
      <c r="M782" s="37">
        <f t="shared" si="270"/>
        <v>4.888318168985692</v>
      </c>
      <c r="N782" s="37">
        <f t="shared" si="264"/>
        <v>20875.11529487625</v>
      </c>
      <c r="O782" s="37">
        <f t="shared" si="265"/>
        <v>2577.1783273539504</v>
      </c>
      <c r="R782" s="37">
        <f t="shared" si="266"/>
        <v>-19387.419293586623</v>
      </c>
      <c r="S782" s="37">
        <f t="shared" si="267"/>
        <v>6554.0248291477656</v>
      </c>
      <c r="V782" s="37">
        <f t="shared" si="268"/>
        <v>-4124.884705123749</v>
      </c>
      <c r="W782" s="37">
        <f t="shared" si="269"/>
        <v>-19922.821672646049</v>
      </c>
      <c r="Y782" s="37">
        <f t="shared" si="271"/>
        <v>40748.645605695077</v>
      </c>
      <c r="Z782" s="37">
        <f t="shared" si="272"/>
        <v>-233523.64733157176</v>
      </c>
      <c r="AA782" s="37">
        <f t="shared" si="273"/>
        <v>895.40550746885071</v>
      </c>
      <c r="AB782" s="37">
        <f t="shared" si="274"/>
        <v>-1788.9180483131863</v>
      </c>
      <c r="AC782" s="37">
        <f t="shared" si="275"/>
        <v>-3.6006523928742933</v>
      </c>
      <c r="AD782" s="37">
        <f t="shared" si="276"/>
        <v>21.904780018669449</v>
      </c>
      <c r="AE782" s="39">
        <f t="shared" si="277"/>
        <v>-0.76539808822071653</v>
      </c>
      <c r="AF782" s="39">
        <f t="shared" si="278"/>
        <v>8.891136433162341</v>
      </c>
      <c r="AG782" s="39">
        <f t="shared" si="279"/>
        <v>-0.68924294963935873</v>
      </c>
      <c r="AH782" s="39">
        <f t="shared" si="280"/>
        <v>2.7629744716154154</v>
      </c>
      <c r="AI782" s="39">
        <f t="shared" si="281"/>
        <v>-2.1460113550142181</v>
      </c>
      <c r="AJ782" s="39">
        <f t="shared" si="282"/>
        <v>10.250669113891695</v>
      </c>
      <c r="AK782" s="37">
        <f t="shared" si="283"/>
        <v>241915.07780104282</v>
      </c>
      <c r="AL782" s="37">
        <f t="shared" si="284"/>
        <v>250986.38359998353</v>
      </c>
      <c r="AM782" s="37">
        <f t="shared" si="285"/>
        <v>223261.10950599666</v>
      </c>
    </row>
    <row r="783" spans="12:39">
      <c r="L783">
        <v>779</v>
      </c>
      <c r="M783" s="37">
        <f t="shared" si="270"/>
        <v>4.8946013542928712</v>
      </c>
      <c r="N783" s="37">
        <f t="shared" si="264"/>
        <v>20906.028818135557</v>
      </c>
      <c r="O783" s="37">
        <f t="shared" si="265"/>
        <v>2582.7739750233277</v>
      </c>
      <c r="R783" s="37">
        <f t="shared" si="266"/>
        <v>-19365.779827305112</v>
      </c>
      <c r="S783" s="37">
        <f t="shared" si="267"/>
        <v>6557.9417825163291</v>
      </c>
      <c r="V783" s="37">
        <f t="shared" si="268"/>
        <v>-4093.9711818644441</v>
      </c>
      <c r="W783" s="37">
        <f t="shared" si="269"/>
        <v>-19917.226024976673</v>
      </c>
      <c r="Y783" s="37">
        <f t="shared" si="271"/>
        <v>41195.898277880391</v>
      </c>
      <c r="Z783" s="37">
        <f t="shared" si="272"/>
        <v>-234415.36825822602</v>
      </c>
      <c r="AA783" s="37">
        <f t="shared" si="273"/>
        <v>893.60518127241357</v>
      </c>
      <c r="AB783" s="37">
        <f t="shared" si="274"/>
        <v>-1777.9656583038516</v>
      </c>
      <c r="AC783" s="37">
        <f t="shared" si="275"/>
        <v>-3.5984976909945754</v>
      </c>
      <c r="AD783" s="37">
        <f t="shared" si="276"/>
        <v>21.723983044742987</v>
      </c>
      <c r="AE783" s="39">
        <f t="shared" si="277"/>
        <v>-0.77299111347657068</v>
      </c>
      <c r="AF783" s="39">
        <f t="shared" si="278"/>
        <v>8.8223875877045757</v>
      </c>
      <c r="AG783" s="39">
        <f t="shared" si="279"/>
        <v>-0.68630625640172427</v>
      </c>
      <c r="AH783" s="39">
        <f t="shared" si="280"/>
        <v>2.7410954184323804</v>
      </c>
      <c r="AI783" s="39">
        <f t="shared" si="281"/>
        <v>-2.1392003211162804</v>
      </c>
      <c r="AJ783" s="39">
        <f t="shared" si="282"/>
        <v>10.160500038606031</v>
      </c>
      <c r="AK783" s="37">
        <f t="shared" si="283"/>
        <v>242842.15347282556</v>
      </c>
      <c r="AL783" s="37">
        <f t="shared" si="284"/>
        <v>251959.93770208969</v>
      </c>
      <c r="AM783" s="37">
        <f t="shared" si="285"/>
        <v>224225.70068034844</v>
      </c>
    </row>
    <row r="784" spans="12:39">
      <c r="L784">
        <v>780</v>
      </c>
      <c r="M784" s="37">
        <f t="shared" si="270"/>
        <v>4.9008845396000504</v>
      </c>
      <c r="N784" s="37">
        <f t="shared" si="264"/>
        <v>20936.906572928492</v>
      </c>
      <c r="O784" s="37">
        <f t="shared" si="265"/>
        <v>2588.5637463565317</v>
      </c>
      <c r="R784" s="37">
        <f t="shared" si="266"/>
        <v>-19344.165398950056</v>
      </c>
      <c r="S784" s="37">
        <f t="shared" si="267"/>
        <v>6561.9946224495725</v>
      </c>
      <c r="V784" s="37">
        <f t="shared" si="268"/>
        <v>-4063.0934270715097</v>
      </c>
      <c r="W784" s="37">
        <f t="shared" si="269"/>
        <v>-19911.436253643467</v>
      </c>
      <c r="Y784" s="37">
        <f t="shared" si="271"/>
        <v>41642.251056305227</v>
      </c>
      <c r="Z784" s="37">
        <f t="shared" si="272"/>
        <v>-235301.63558949737</v>
      </c>
      <c r="AA784" s="37">
        <f t="shared" si="273"/>
        <v>891.80593242691634</v>
      </c>
      <c r="AB784" s="37">
        <f t="shared" si="274"/>
        <v>-1767.1036667814801</v>
      </c>
      <c r="AC784" s="37">
        <f t="shared" si="275"/>
        <v>-3.5962060735587098</v>
      </c>
      <c r="AD784" s="37">
        <f t="shared" si="276"/>
        <v>21.546319733026188</v>
      </c>
      <c r="AE784" s="39">
        <f t="shared" si="277"/>
        <v>-0.78036088302980666</v>
      </c>
      <c r="AF784" s="39">
        <f t="shared" si="278"/>
        <v>8.7547685431040545</v>
      </c>
      <c r="AG784" s="39">
        <f t="shared" si="279"/>
        <v>-0.68340923157082678</v>
      </c>
      <c r="AH784" s="39">
        <f t="shared" si="280"/>
        <v>2.7195859886453282</v>
      </c>
      <c r="AI784" s="39">
        <f t="shared" si="281"/>
        <v>-2.1324359589580761</v>
      </c>
      <c r="AJ784" s="39">
        <f t="shared" si="282"/>
        <v>10.071965201276804</v>
      </c>
      <c r="AK784" s="37">
        <f t="shared" si="283"/>
        <v>243764.27399378936</v>
      </c>
      <c r="AL784" s="37">
        <f t="shared" si="284"/>
        <v>252928.17070894086</v>
      </c>
      <c r="AM784" s="37">
        <f t="shared" si="285"/>
        <v>225185.05773475979</v>
      </c>
    </row>
    <row r="785" spans="12:39">
      <c r="L785">
        <v>781</v>
      </c>
      <c r="M785" s="37">
        <f t="shared" si="270"/>
        <v>4.9071677249072296</v>
      </c>
      <c r="N785" s="37">
        <f t="shared" si="264"/>
        <v>20967.747340254165</v>
      </c>
      <c r="O785" s="37">
        <f t="shared" si="265"/>
        <v>2594.5474127833031</v>
      </c>
      <c r="R785" s="37">
        <f t="shared" si="266"/>
        <v>-19322.576861822083</v>
      </c>
      <c r="S785" s="37">
        <f t="shared" si="267"/>
        <v>6566.1831889483119</v>
      </c>
      <c r="V785" s="37">
        <f t="shared" si="268"/>
        <v>-4032.2526597458332</v>
      </c>
      <c r="W785" s="37">
        <f t="shared" si="269"/>
        <v>-19905.452587216696</v>
      </c>
      <c r="Y785" s="37">
        <f t="shared" si="271"/>
        <v>42087.704496759492</v>
      </c>
      <c r="Z785" s="37">
        <f t="shared" si="272"/>
        <v>-236182.49413292148</v>
      </c>
      <c r="AA785" s="37">
        <f t="shared" si="273"/>
        <v>890.00782939013698</v>
      </c>
      <c r="AB785" s="37">
        <f t="shared" si="274"/>
        <v>-1756.3305069149669</v>
      </c>
      <c r="AC785" s="37">
        <f t="shared" si="275"/>
        <v>-3.5937848918459636</v>
      </c>
      <c r="AD785" s="37">
        <f t="shared" si="276"/>
        <v>21.371713728425394</v>
      </c>
      <c r="AE785" s="39">
        <f t="shared" si="277"/>
        <v>-0.78751480607467383</v>
      </c>
      <c r="AF785" s="39">
        <f t="shared" si="278"/>
        <v>8.6882533284087931</v>
      </c>
      <c r="AG785" s="39">
        <f t="shared" si="279"/>
        <v>-0.68055115820006884</v>
      </c>
      <c r="AH785" s="39">
        <f t="shared" si="280"/>
        <v>2.6984373616113579</v>
      </c>
      <c r="AI785" s="39">
        <f t="shared" si="281"/>
        <v>-2.1257189275712212</v>
      </c>
      <c r="AJ785" s="39">
        <f t="shared" si="282"/>
        <v>9.9850230384052434</v>
      </c>
      <c r="AK785" s="37">
        <f t="shared" si="283"/>
        <v>244681.47587583633</v>
      </c>
      <c r="AL785" s="37">
        <f t="shared" si="284"/>
        <v>253891.12522335799</v>
      </c>
      <c r="AM785" s="37">
        <f t="shared" si="285"/>
        <v>226139.22177639595</v>
      </c>
    </row>
    <row r="786" spans="12:39">
      <c r="L786">
        <v>782</v>
      </c>
      <c r="M786" s="37">
        <f t="shared" si="270"/>
        <v>4.9134509102144088</v>
      </c>
      <c r="N786" s="37">
        <f t="shared" si="264"/>
        <v>20998.5499025719</v>
      </c>
      <c r="O786" s="37">
        <f t="shared" si="265"/>
        <v>2600.7247380787376</v>
      </c>
      <c r="R786" s="37">
        <f t="shared" si="266"/>
        <v>-19301.015068199671</v>
      </c>
      <c r="S786" s="37">
        <f t="shared" si="267"/>
        <v>6570.5073166551165</v>
      </c>
      <c r="V786" s="37">
        <f t="shared" si="268"/>
        <v>-4001.4500974281009</v>
      </c>
      <c r="W786" s="37">
        <f t="shared" si="269"/>
        <v>-19899.275261921262</v>
      </c>
      <c r="Y786" s="37">
        <f t="shared" si="271"/>
        <v>42532.25918834308</v>
      </c>
      <c r="Z786" s="37">
        <f t="shared" si="272"/>
        <v>-237057.98792216292</v>
      </c>
      <c r="AA786" s="37">
        <f t="shared" si="273"/>
        <v>888.21093694421404</v>
      </c>
      <c r="AB786" s="37">
        <f t="shared" si="274"/>
        <v>-1745.6446500507543</v>
      </c>
      <c r="AC786" s="37">
        <f t="shared" si="275"/>
        <v>-3.5912411650306222</v>
      </c>
      <c r="AD786" s="37">
        <f t="shared" si="276"/>
        <v>21.200091095758268</v>
      </c>
      <c r="AE786" s="39">
        <f t="shared" si="277"/>
        <v>-0.79446001156504942</v>
      </c>
      <c r="AF786" s="39">
        <f t="shared" si="278"/>
        <v>8.6228167485967084</v>
      </c>
      <c r="AG786" s="39">
        <f t="shared" si="279"/>
        <v>-0.67773133708688083</v>
      </c>
      <c r="AH786" s="39">
        <f t="shared" si="280"/>
        <v>2.6776409914787629</v>
      </c>
      <c r="AI786" s="39">
        <f t="shared" si="281"/>
        <v>-2.1190498163786922</v>
      </c>
      <c r="AJ786" s="39">
        <f t="shared" si="282"/>
        <v>9.8996333556827949</v>
      </c>
      <c r="AK786" s="37">
        <f t="shared" si="283"/>
        <v>245593.79503698269</v>
      </c>
      <c r="AL786" s="37">
        <f t="shared" si="284"/>
        <v>254848.84311164866</v>
      </c>
      <c r="AM786" s="37">
        <f t="shared" si="285"/>
        <v>227088.2332125275</v>
      </c>
    </row>
    <row r="787" spans="12:39">
      <c r="L787">
        <v>783</v>
      </c>
      <c r="M787" s="37">
        <f t="shared" si="270"/>
        <v>4.919734095521588</v>
      </c>
      <c r="N787" s="37">
        <f t="shared" si="264"/>
        <v>21029.31304384927</v>
      </c>
      <c r="O787" s="37">
        <f t="shared" si="265"/>
        <v>2607.0954783726102</v>
      </c>
      <c r="R787" s="37">
        <f t="shared" si="266"/>
        <v>-19279.480869305513</v>
      </c>
      <c r="S787" s="37">
        <f t="shared" si="267"/>
        <v>6574.9668348608266</v>
      </c>
      <c r="V787" s="37">
        <f t="shared" si="268"/>
        <v>-3970.686956150731</v>
      </c>
      <c r="W787" s="37">
        <f t="shared" si="269"/>
        <v>-19892.904521627388</v>
      </c>
      <c r="Y787" s="37">
        <f t="shared" si="271"/>
        <v>42975.915751669563</v>
      </c>
      <c r="Z787" s="37">
        <f t="shared" si="272"/>
        <v>-237928.1602358013</v>
      </c>
      <c r="AA787" s="37">
        <f t="shared" si="273"/>
        <v>886.41531636169873</v>
      </c>
      <c r="AB787" s="37">
        <f t="shared" si="274"/>
        <v>-1735.0446045028752</v>
      </c>
      <c r="AC787" s="37">
        <f t="shared" si="275"/>
        <v>-3.5885815963725758</v>
      </c>
      <c r="AD787" s="37">
        <f t="shared" si="276"/>
        <v>21.031380225868446</v>
      </c>
      <c r="AE787" s="39">
        <f t="shared" si="277"/>
        <v>-0.80120336047173335</v>
      </c>
      <c r="AF787" s="39">
        <f t="shared" si="278"/>
        <v>8.5584343562467247</v>
      </c>
      <c r="AG787" s="39">
        <f t="shared" si="279"/>
        <v>-0.67494908622671523</v>
      </c>
      <c r="AH787" s="39">
        <f t="shared" si="280"/>
        <v>2.6571885966833029</v>
      </c>
      <c r="AI787" s="39">
        <f t="shared" si="281"/>
        <v>-2.112429149674127</v>
      </c>
      <c r="AJ787" s="39">
        <f t="shared" si="282"/>
        <v>9.8157572729384164</v>
      </c>
      <c r="AK787" s="37">
        <f t="shared" si="283"/>
        <v>246501.26681491514</v>
      </c>
      <c r="AL787" s="37">
        <f t="shared" si="284"/>
        <v>255801.36552151269</v>
      </c>
      <c r="AM787" s="37">
        <f t="shared" si="285"/>
        <v>228032.13176728055</v>
      </c>
    </row>
    <row r="788" spans="12:39">
      <c r="L788">
        <v>784</v>
      </c>
      <c r="M788" s="37">
        <f t="shared" si="270"/>
        <v>4.9260172808287672</v>
      </c>
      <c r="N788" s="37">
        <f t="shared" si="264"/>
        <v>21060.035549610133</v>
      </c>
      <c r="O788" s="37">
        <f t="shared" si="265"/>
        <v>2613.6593821590022</v>
      </c>
      <c r="R788" s="37">
        <f t="shared" si="266"/>
        <v>-19257.975115272908</v>
      </c>
      <c r="S788" s="37">
        <f t="shared" si="267"/>
        <v>6579.5615675113022</v>
      </c>
      <c r="V788" s="37">
        <f t="shared" si="268"/>
        <v>-3939.9644503898662</v>
      </c>
      <c r="W788" s="37">
        <f t="shared" si="269"/>
        <v>-19886.340617840997</v>
      </c>
      <c r="Y788" s="37">
        <f t="shared" si="271"/>
        <v>43418.674837150866</v>
      </c>
      <c r="Z788" s="37">
        <f t="shared" si="272"/>
        <v>-238793.05361552449</v>
      </c>
      <c r="AA788" s="37">
        <f t="shared" si="273"/>
        <v>884.62102556351249</v>
      </c>
      <c r="AB788" s="37">
        <f t="shared" si="274"/>
        <v>-1724.5289143899411</v>
      </c>
      <c r="AC788" s="37">
        <f t="shared" si="275"/>
        <v>-3.5858125885345009</v>
      </c>
      <c r="AD788" s="37">
        <f t="shared" si="276"/>
        <v>20.865511746042493</v>
      </c>
      <c r="AE788" s="39">
        <f t="shared" si="277"/>
        <v>-0.80775145742867815</v>
      </c>
      <c r="AF788" s="39">
        <f t="shared" si="278"/>
        <v>8.4950824244290626</v>
      </c>
      <c r="AG788" s="39">
        <f t="shared" si="279"/>
        <v>-0.67220374028734986</v>
      </c>
      <c r="AH788" s="39">
        <f t="shared" si="280"/>
        <v>2.6370721499197463</v>
      </c>
      <c r="AI788" s="39">
        <f t="shared" si="281"/>
        <v>-2.105857390818473</v>
      </c>
      <c r="AJ788" s="39">
        <f t="shared" si="282"/>
        <v>9.7333571716936866</v>
      </c>
      <c r="AK788" s="37">
        <f t="shared" si="283"/>
        <v>247403.92598014249</v>
      </c>
      <c r="AL788" s="37">
        <f t="shared" si="284"/>
        <v>256748.73289938067</v>
      </c>
      <c r="AM788" s="37">
        <f t="shared" si="285"/>
        <v>228970.9564978641</v>
      </c>
    </row>
    <row r="789" spans="12:39">
      <c r="L789">
        <v>785</v>
      </c>
      <c r="M789" s="37">
        <f t="shared" si="270"/>
        <v>4.9323004661359464</v>
      </c>
      <c r="N789" s="37">
        <f t="shared" si="264"/>
        <v>21090.716206982572</v>
      </c>
      <c r="O789" s="37">
        <f t="shared" si="265"/>
        <v>2620.4161903062313</v>
      </c>
      <c r="R789" s="37">
        <f t="shared" si="266"/>
        <v>-19236.498655112198</v>
      </c>
      <c r="S789" s="37">
        <f t="shared" si="267"/>
        <v>6584.2913332143617</v>
      </c>
      <c r="V789" s="37">
        <f t="shared" si="268"/>
        <v>-3909.2837930174287</v>
      </c>
      <c r="W789" s="37">
        <f t="shared" si="269"/>
        <v>-19879.58380969377</v>
      </c>
      <c r="Y789" s="37">
        <f t="shared" si="271"/>
        <v>43860.537123359056</v>
      </c>
      <c r="Z789" s="37">
        <f t="shared" si="272"/>
        <v>-239652.7098837512</v>
      </c>
      <c r="AA789" s="37">
        <f t="shared" si="273"/>
        <v>882.82811926924524</v>
      </c>
      <c r="AB789" s="37">
        <f t="shared" si="274"/>
        <v>-1714.0961585169198</v>
      </c>
      <c r="AC789" s="37">
        <f t="shared" si="275"/>
        <v>-3.5829402580774472</v>
      </c>
      <c r="AD789" s="37">
        <f t="shared" si="276"/>
        <v>20.70241843450059</v>
      </c>
      <c r="AE789" s="39">
        <f t="shared" si="277"/>
        <v>-0.81411066180246461</v>
      </c>
      <c r="AF789" s="39">
        <f t="shared" si="278"/>
        <v>8.4327379207550379</v>
      </c>
      <c r="AG789" s="39">
        <f t="shared" si="279"/>
        <v>-0.66949465010247311</v>
      </c>
      <c r="AH789" s="39">
        <f t="shared" si="280"/>
        <v>2.6172838685633129</v>
      </c>
      <c r="AI789" s="39">
        <f t="shared" si="281"/>
        <v>-2.0993349461725095</v>
      </c>
      <c r="AJ789" s="39">
        <f t="shared" si="282"/>
        <v>9.6523966451822396</v>
      </c>
      <c r="AK789" s="37">
        <f t="shared" si="283"/>
        <v>248301.80674875664</v>
      </c>
      <c r="AL789" s="37">
        <f t="shared" si="284"/>
        <v>257690.98500720659</v>
      </c>
      <c r="AM789" s="37">
        <f t="shared" si="285"/>
        <v>229904.74581029429</v>
      </c>
    </row>
    <row r="790" spans="12:39">
      <c r="L790">
        <v>786</v>
      </c>
      <c r="M790" s="37">
        <f t="shared" si="270"/>
        <v>4.9385836514431256</v>
      </c>
      <c r="N790" s="37">
        <f t="shared" si="264"/>
        <v>21121.353804746763</v>
      </c>
      <c r="O790" s="37">
        <f t="shared" si="265"/>
        <v>2627.3656360670811</v>
      </c>
      <c r="R790" s="37">
        <f t="shared" si="266"/>
        <v>-19215.052336677265</v>
      </c>
      <c r="S790" s="37">
        <f t="shared" si="267"/>
        <v>6589.1559452469573</v>
      </c>
      <c r="V790" s="37">
        <f t="shared" si="268"/>
        <v>-3878.6461952532372</v>
      </c>
      <c r="W790" s="37">
        <f t="shared" si="269"/>
        <v>-19872.634363932921</v>
      </c>
      <c r="Y790" s="37">
        <f t="shared" si="271"/>
        <v>44301.503315461421</v>
      </c>
      <c r="Z790" s="37">
        <f t="shared" si="272"/>
        <v>-240507.17016070537</v>
      </c>
      <c r="AA790" s="37">
        <f t="shared" si="273"/>
        <v>881.03664914020646</v>
      </c>
      <c r="AB790" s="37">
        <f t="shared" si="274"/>
        <v>-1703.7449492996695</v>
      </c>
      <c r="AC790" s="37">
        <f t="shared" si="275"/>
        <v>-3.5799704491838709</v>
      </c>
      <c r="AD790" s="37">
        <f t="shared" si="276"/>
        <v>20.542035138748524</v>
      </c>
      <c r="AE790" s="39">
        <f t="shared" si="277"/>
        <v>-0.82028709821709311</v>
      </c>
      <c r="AF790" s="39">
        <f t="shared" si="278"/>
        <v>8.3713784825288737</v>
      </c>
      <c r="AG790" s="39">
        <f t="shared" si="279"/>
        <v>-0.66682118218376496</v>
      </c>
      <c r="AH790" s="39">
        <f t="shared" si="280"/>
        <v>2.5978162055179386</v>
      </c>
      <c r="AI790" s="39">
        <f t="shared" si="281"/>
        <v>-2.0928621687830127</v>
      </c>
      <c r="AJ790" s="39">
        <f t="shared" si="282"/>
        <v>9.5728404507017117</v>
      </c>
      <c r="AK790" s="37">
        <f t="shared" si="283"/>
        <v>249194.94279481767</v>
      </c>
      <c r="AL790" s="37">
        <f t="shared" si="284"/>
        <v>258628.16093873631</v>
      </c>
      <c r="AM790" s="37">
        <f t="shared" si="285"/>
        <v>230833.53747463512</v>
      </c>
    </row>
    <row r="791" spans="12:39">
      <c r="L791">
        <v>787</v>
      </c>
      <c r="M791" s="37">
        <f t="shared" si="270"/>
        <v>4.9448668367503048</v>
      </c>
      <c r="N791" s="37">
        <f t="shared" si="264"/>
        <v>21151.947133382808</v>
      </c>
      <c r="O791" s="37">
        <f t="shared" si="265"/>
        <v>2634.5074450893326</v>
      </c>
      <c r="R791" s="37">
        <f t="shared" si="266"/>
        <v>-19193.637006632034</v>
      </c>
      <c r="S791" s="37">
        <f t="shared" si="267"/>
        <v>6594.1552115625327</v>
      </c>
      <c r="V791" s="37">
        <f t="shared" si="268"/>
        <v>-3848.0528666171917</v>
      </c>
      <c r="W791" s="37">
        <f t="shared" si="269"/>
        <v>-19865.492554910667</v>
      </c>
      <c r="Y791" s="37">
        <f t="shared" si="271"/>
        <v>44741.574143725375</v>
      </c>
      <c r="Z791" s="37">
        <f t="shared" si="272"/>
        <v>-241356.47488096287</v>
      </c>
      <c r="AA791" s="37">
        <f t="shared" si="273"/>
        <v>879.24666391561448</v>
      </c>
      <c r="AB791" s="37">
        <f t="shared" si="274"/>
        <v>-1693.4739317302954</v>
      </c>
      <c r="AC791" s="37">
        <f t="shared" si="275"/>
        <v>-3.5769087466535718</v>
      </c>
      <c r="AD791" s="37">
        <f t="shared" si="276"/>
        <v>20.384298697589813</v>
      </c>
      <c r="AE791" s="39">
        <f t="shared" si="277"/>
        <v>-0.82628666656425109</v>
      </c>
      <c r="AF791" s="39">
        <f t="shared" si="278"/>
        <v>8.3109823929480822</v>
      </c>
      <c r="AG791" s="39">
        <f t="shared" si="279"/>
        <v>-0.66418271825070263</v>
      </c>
      <c r="AH791" s="39">
        <f t="shared" si="280"/>
        <v>2.5786618404695139</v>
      </c>
      <c r="AI791" s="39">
        <f t="shared" si="281"/>
        <v>-2.0864393618386181</v>
      </c>
      <c r="AJ791" s="39">
        <f t="shared" si="282"/>
        <v>9.4946544641722159</v>
      </c>
      <c r="AK791" s="37">
        <f t="shared" si="283"/>
        <v>250083.36726237665</v>
      </c>
      <c r="AL791" s="37">
        <f t="shared" si="284"/>
        <v>259560.29913527146</v>
      </c>
      <c r="AM791" s="37">
        <f t="shared" si="285"/>
        <v>231757.36863977314</v>
      </c>
    </row>
    <row r="792" spans="12:39">
      <c r="L792">
        <v>788</v>
      </c>
      <c r="M792" s="37">
        <f t="shared" si="270"/>
        <v>4.951150022057484</v>
      </c>
      <c r="N792" s="37">
        <f t="shared" si="264"/>
        <v>21182.494985118476</v>
      </c>
      <c r="O792" s="37">
        <f t="shared" si="265"/>
        <v>2641.8413354265949</v>
      </c>
      <c r="R792" s="37">
        <f t="shared" si="266"/>
        <v>-19172.253510417067</v>
      </c>
      <c r="S792" s="37">
        <f t="shared" si="267"/>
        <v>6599.2889347986165</v>
      </c>
      <c r="V792" s="37">
        <f t="shared" si="268"/>
        <v>-3817.505014881523</v>
      </c>
      <c r="W792" s="37">
        <f t="shared" si="269"/>
        <v>-19858.158664573406</v>
      </c>
      <c r="Y792" s="37">
        <f t="shared" si="271"/>
        <v>45180.75036208985</v>
      </c>
      <c r="Z792" s="37">
        <f t="shared" si="272"/>
        <v>-242200.66380949083</v>
      </c>
      <c r="AA792" s="37">
        <f t="shared" si="273"/>
        <v>877.4582095422877</v>
      </c>
      <c r="AB792" s="37">
        <f t="shared" si="274"/>
        <v>-1683.2817823815005</v>
      </c>
      <c r="AC792" s="37">
        <f t="shared" si="275"/>
        <v>-3.5737604882154699</v>
      </c>
      <c r="AD792" s="37">
        <f t="shared" si="276"/>
        <v>20.229147866609875</v>
      </c>
      <c r="AE792" s="39">
        <f t="shared" si="277"/>
        <v>-0.83211505152727427</v>
      </c>
      <c r="AF792" s="39">
        <f t="shared" si="278"/>
        <v>8.2515285583008566</v>
      </c>
      <c r="AG792" s="39">
        <f t="shared" si="279"/>
        <v>-0.66157865477730671</v>
      </c>
      <c r="AH792" s="39">
        <f t="shared" si="280"/>
        <v>2.5598136715233282</v>
      </c>
      <c r="AI792" s="39">
        <f t="shared" si="281"/>
        <v>-2.0800667819108889</v>
      </c>
      <c r="AJ792" s="39">
        <f t="shared" si="282"/>
        <v>9.4178056367856904</v>
      </c>
      <c r="AK792" s="37">
        <f t="shared" si="283"/>
        <v>250967.11277714904</v>
      </c>
      <c r="AL792" s="37">
        <f t="shared" si="284"/>
        <v>260487.43740094817</v>
      </c>
      <c r="AM792" s="37">
        <f t="shared" si="285"/>
        <v>232676.27584774443</v>
      </c>
    </row>
    <row r="793" spans="12:39">
      <c r="L793">
        <v>789</v>
      </c>
      <c r="M793" s="37">
        <f t="shared" si="270"/>
        <v>4.9574332073646632</v>
      </c>
      <c r="N793" s="37">
        <f t="shared" si="264"/>
        <v>21212.996153976888</v>
      </c>
      <c r="O793" s="37">
        <f t="shared" si="265"/>
        <v>2649.3670175494335</v>
      </c>
      <c r="R793" s="37">
        <f t="shared" si="266"/>
        <v>-19150.902692216179</v>
      </c>
      <c r="S793" s="37">
        <f t="shared" si="267"/>
        <v>6604.5569122846036</v>
      </c>
      <c r="V793" s="37">
        <f t="shared" si="268"/>
        <v>-3787.0038460231108</v>
      </c>
      <c r="W793" s="37">
        <f t="shared" si="269"/>
        <v>-19850.632982450566</v>
      </c>
      <c r="Y793" s="37">
        <f t="shared" si="271"/>
        <v>45619.032746799967</v>
      </c>
      <c r="Z793" s="37">
        <f t="shared" si="272"/>
        <v>-243039.77605719827</v>
      </c>
      <c r="AA793" s="37">
        <f t="shared" si="273"/>
        <v>875.67132929818001</v>
      </c>
      <c r="AB793" s="37">
        <f t="shared" si="274"/>
        <v>-1673.1672084481957</v>
      </c>
      <c r="AC793" s="37">
        <f t="shared" si="275"/>
        <v>-3.5705307761945821</v>
      </c>
      <c r="AD793" s="37">
        <f t="shared" si="276"/>
        <v>20.076523246952878</v>
      </c>
      <c r="AE793" s="39">
        <f t="shared" si="277"/>
        <v>-0.83777773164548042</v>
      </c>
      <c r="AF793" s="39">
        <f t="shared" si="278"/>
        <v>8.1929964861137883</v>
      </c>
      <c r="AG793" s="39">
        <f t="shared" si="279"/>
        <v>-0.65900840255512194</v>
      </c>
      <c r="AH793" s="39">
        <f t="shared" si="280"/>
        <v>2.5412648072062933</v>
      </c>
      <c r="AI793" s="39">
        <f t="shared" si="281"/>
        <v>-2.0737446419939798</v>
      </c>
      <c r="AJ793" s="39">
        <f t="shared" si="282"/>
        <v>9.3422619536327964</v>
      </c>
      <c r="AK793" s="37">
        <f t="shared" si="283"/>
        <v>251846.21145785111</v>
      </c>
      <c r="AL793" s="37">
        <f t="shared" si="284"/>
        <v>261409.61291754871</v>
      </c>
      <c r="AM793" s="37">
        <f t="shared" si="285"/>
        <v>233590.2950476298</v>
      </c>
    </row>
    <row r="794" spans="12:39">
      <c r="L794">
        <v>790</v>
      </c>
      <c r="M794" s="37">
        <f t="shared" si="270"/>
        <v>4.9637163926718424</v>
      </c>
      <c r="N794" s="37">
        <f t="shared" si="264"/>
        <v>21243.449435824125</v>
      </c>
      <c r="O794" s="37">
        <f t="shared" si="265"/>
        <v>2657.0841943568057</v>
      </c>
      <c r="R794" s="37">
        <f t="shared" si="266"/>
        <v>-19129.585394923113</v>
      </c>
      <c r="S794" s="37">
        <f t="shared" si="267"/>
        <v>6609.9589360497639</v>
      </c>
      <c r="V794" s="37">
        <f t="shared" si="268"/>
        <v>-3756.5505641758755</v>
      </c>
      <c r="W794" s="37">
        <f t="shared" si="269"/>
        <v>-19842.915805643195</v>
      </c>
      <c r="Y794" s="37">
        <f t="shared" si="271"/>
        <v>46056.422095102032</v>
      </c>
      <c r="Z794" s="37">
        <f t="shared" si="272"/>
        <v>-243873.85009601648</v>
      </c>
      <c r="AA794" s="37">
        <f t="shared" si="273"/>
        <v>873.88606391008273</v>
      </c>
      <c r="AB794" s="37">
        <f t="shared" si="274"/>
        <v>-1663.1289468247192</v>
      </c>
      <c r="AC794" s="37">
        <f t="shared" si="275"/>
        <v>-3.5672244885722737</v>
      </c>
      <c r="AD794" s="37">
        <f t="shared" si="276"/>
        <v>19.926367217225973</v>
      </c>
      <c r="AE794" s="39">
        <f t="shared" si="277"/>
        <v>-0.84327998794367709</v>
      </c>
      <c r="AF794" s="39">
        <f t="shared" si="278"/>
        <v>8.1353662642029132</v>
      </c>
      <c r="AG794" s="39">
        <f t="shared" si="279"/>
        <v>-0.65647138627180401</v>
      </c>
      <c r="AH794" s="39">
        <f t="shared" si="280"/>
        <v>2.5230085588158091</v>
      </c>
      <c r="AI794" s="39">
        <f t="shared" si="281"/>
        <v>-2.0674731143567926</v>
      </c>
      <c r="AJ794" s="39">
        <f t="shared" si="282"/>
        <v>9.2679923942072531</v>
      </c>
      <c r="AK794" s="37">
        <f t="shared" si="283"/>
        <v>252720.69492721147</v>
      </c>
      <c r="AL794" s="37">
        <f t="shared" si="284"/>
        <v>262326.86225886387</v>
      </c>
      <c r="AM794" s="37">
        <f t="shared" si="285"/>
        <v>234499.46160903451</v>
      </c>
    </row>
    <row r="795" spans="12:39">
      <c r="L795">
        <v>791</v>
      </c>
      <c r="M795" s="37">
        <f t="shared" si="270"/>
        <v>4.9699995779790216</v>
      </c>
      <c r="N795" s="37">
        <f t="shared" si="264"/>
        <v>21273.85362841676</v>
      </c>
      <c r="O795" s="37">
        <f t="shared" si="265"/>
        <v>2664.9925611877852</v>
      </c>
      <c r="R795" s="37">
        <f t="shared" si="266"/>
        <v>-19108.302460108269</v>
      </c>
      <c r="S795" s="37">
        <f t="shared" si="267"/>
        <v>6615.4947928314496</v>
      </c>
      <c r="V795" s="37">
        <f t="shared" si="268"/>
        <v>-3726.1463715832406</v>
      </c>
      <c r="W795" s="37">
        <f t="shared" si="269"/>
        <v>-19835.007438812216</v>
      </c>
      <c r="Y795" s="37">
        <f t="shared" si="271"/>
        <v>46492.919223996003</v>
      </c>
      <c r="Z795" s="37">
        <f t="shared" si="272"/>
        <v>-244702.92377352668</v>
      </c>
      <c r="AA795" s="37">
        <f t="shared" si="273"/>
        <v>872.10245166579659</v>
      </c>
      <c r="AB795" s="37">
        <f t="shared" si="274"/>
        <v>-1653.1657632161061</v>
      </c>
      <c r="AC795" s="37">
        <f t="shared" si="275"/>
        <v>-3.5638462894738816</v>
      </c>
      <c r="AD795" s="37">
        <f t="shared" si="276"/>
        <v>19.77862386837003</v>
      </c>
      <c r="AE795" s="39">
        <f t="shared" si="277"/>
        <v>-0.84862691215039454</v>
      </c>
      <c r="AF795" s="39">
        <f t="shared" si="278"/>
        <v>8.078618540586298</v>
      </c>
      <c r="AG795" s="39">
        <f t="shared" si="279"/>
        <v>-0.65396704410454021</v>
      </c>
      <c r="AH795" s="39">
        <f t="shared" si="280"/>
        <v>2.505038433097496</v>
      </c>
      <c r="AI795" s="39">
        <f t="shared" si="281"/>
        <v>-2.0612523332189467</v>
      </c>
      <c r="AJ795" s="39">
        <f t="shared" si="282"/>
        <v>9.1949668946862353</v>
      </c>
      <c r="AK795" s="37">
        <f t="shared" si="283"/>
        <v>253590.594322669</v>
      </c>
      <c r="AL795" s="37">
        <f t="shared" si="284"/>
        <v>263239.22140462237</v>
      </c>
      <c r="AM795" s="37">
        <f t="shared" si="285"/>
        <v>235403.81033516765</v>
      </c>
    </row>
    <row r="796" spans="12:39">
      <c r="L796">
        <v>792</v>
      </c>
      <c r="M796" s="37">
        <f t="shared" si="270"/>
        <v>4.9762827632862008</v>
      </c>
      <c r="N796" s="37">
        <f t="shared" si="264"/>
        <v>21304.20753144933</v>
      </c>
      <c r="O796" s="37">
        <f t="shared" si="265"/>
        <v>2673.0918058335892</v>
      </c>
      <c r="R796" s="37">
        <f t="shared" si="266"/>
        <v>-19087.054727985469</v>
      </c>
      <c r="S796" s="37">
        <f t="shared" si="267"/>
        <v>6621.1642640835125</v>
      </c>
      <c r="V796" s="37">
        <f t="shared" si="268"/>
        <v>-3695.7924685506687</v>
      </c>
      <c r="W796" s="37">
        <f t="shared" si="269"/>
        <v>-19826.908194166412</v>
      </c>
      <c r="Y796" s="37">
        <f t="shared" si="271"/>
        <v>46928.524969042715</v>
      </c>
      <c r="Z796" s="37">
        <f t="shared" si="272"/>
        <v>-245527.03432715117</v>
      </c>
      <c r="AA796" s="37">
        <f t="shared" si="273"/>
        <v>870.3205285210596</v>
      </c>
      <c r="AB796" s="37">
        <f t="shared" si="274"/>
        <v>-1643.276451281921</v>
      </c>
      <c r="AC796" s="37">
        <f t="shared" si="275"/>
        <v>-3.5604006391173004</v>
      </c>
      <c r="AD796" s="37">
        <f t="shared" si="276"/>
        <v>19.633238941350964</v>
      </c>
      <c r="AE796" s="39">
        <f t="shared" si="277"/>
        <v>-0.85382341452678756</v>
      </c>
      <c r="AF796" s="39">
        <f t="shared" si="278"/>
        <v>8.0227345042165119</v>
      </c>
      <c r="AG796" s="39">
        <f t="shared" si="279"/>
        <v>-0.65149482732784736</v>
      </c>
      <c r="AH796" s="39">
        <f t="shared" si="280"/>
        <v>2.4873481252360756</v>
      </c>
      <c r="AI796" s="39">
        <f t="shared" si="281"/>
        <v>-2.0550823972626655</v>
      </c>
      <c r="AJ796" s="39">
        <f t="shared" si="282"/>
        <v>9.1231563118983772</v>
      </c>
      <c r="AK796" s="37">
        <f t="shared" si="283"/>
        <v>254455.9403067684</v>
      </c>
      <c r="AL796" s="37">
        <f t="shared" si="284"/>
        <v>264146.72575400374</v>
      </c>
      <c r="AM796" s="37">
        <f t="shared" si="285"/>
        <v>236303.37547553575</v>
      </c>
    </row>
    <row r="797" spans="12:39">
      <c r="L797">
        <v>793</v>
      </c>
      <c r="M797" s="37">
        <f t="shared" si="270"/>
        <v>4.98256594859338</v>
      </c>
      <c r="N797" s="37">
        <f t="shared" si="264"/>
        <v>21334.509946601724</v>
      </c>
      <c r="O797" s="37">
        <f t="shared" si="265"/>
        <v>2681.3816085499084</v>
      </c>
      <c r="R797" s="37">
        <f t="shared" si="266"/>
        <v>-19065.843037378792</v>
      </c>
      <c r="S797" s="37">
        <f t="shared" si="267"/>
        <v>6626.9671259849365</v>
      </c>
      <c r="V797" s="37">
        <f t="shared" si="268"/>
        <v>-3665.4900533982768</v>
      </c>
      <c r="W797" s="37">
        <f t="shared" si="269"/>
        <v>-19818.618391450091</v>
      </c>
      <c r="Y797" s="37">
        <f t="shared" si="271"/>
        <v>47363.240183223352</v>
      </c>
      <c r="Z797" s="37">
        <f t="shared" si="272"/>
        <v>-246346.21839792444</v>
      </c>
      <c r="AA797" s="37">
        <f t="shared" si="273"/>
        <v>868.54032820150098</v>
      </c>
      <c r="AB797" s="37">
        <f t="shared" si="274"/>
        <v>-1633.4598318112455</v>
      </c>
      <c r="AC797" s="37">
        <f t="shared" si="275"/>
        <v>-3.5568918032525403</v>
      </c>
      <c r="AD797" s="37">
        <f t="shared" si="276"/>
        <v>19.490159767529029</v>
      </c>
      <c r="AE797" s="39">
        <f t="shared" si="277"/>
        <v>-0.85887423132704155</v>
      </c>
      <c r="AF797" s="39">
        <f t="shared" si="278"/>
        <v>7.9676958664955517</v>
      </c>
      <c r="AG797" s="39">
        <f t="shared" si="279"/>
        <v>-0.64905419993505431</v>
      </c>
      <c r="AH797" s="39">
        <f t="shared" si="280"/>
        <v>2.4699315121436025</v>
      </c>
      <c r="AI797" s="39">
        <f t="shared" si="281"/>
        <v>-2.0489633719904443</v>
      </c>
      <c r="AJ797" s="39">
        <f t="shared" si="282"/>
        <v>9.0525323888898725</v>
      </c>
      <c r="AK797" s="37">
        <f t="shared" si="283"/>
        <v>255316.76307726355</v>
      </c>
      <c r="AL797" s="37">
        <f t="shared" si="284"/>
        <v>265049.41013874946</v>
      </c>
      <c r="AM797" s="37">
        <f t="shared" si="285"/>
        <v>237198.19073826447</v>
      </c>
    </row>
    <row r="798" spans="12:39">
      <c r="L798">
        <v>794</v>
      </c>
      <c r="M798" s="37">
        <f t="shared" si="270"/>
        <v>4.9888491339005592</v>
      </c>
      <c r="N798" s="37">
        <f t="shared" si="264"/>
        <v>21364.759677586469</v>
      </c>
      <c r="O798" s="37">
        <f t="shared" si="265"/>
        <v>2689.8616420695262</v>
      </c>
      <c r="R798" s="37">
        <f t="shared" si="266"/>
        <v>-19044.668225689471</v>
      </c>
      <c r="S798" s="37">
        <f t="shared" si="267"/>
        <v>6632.903149448668</v>
      </c>
      <c r="V798" s="37">
        <f t="shared" si="268"/>
        <v>-3635.2403224135301</v>
      </c>
      <c r="W798" s="37">
        <f t="shared" si="269"/>
        <v>-19810.138357930475</v>
      </c>
      <c r="Y798" s="37">
        <f t="shared" si="271"/>
        <v>47797.065735848693</v>
      </c>
      <c r="Z798" s="37">
        <f t="shared" si="272"/>
        <v>-247160.51204385914</v>
      </c>
      <c r="AA798" s="37">
        <f t="shared" si="273"/>
        <v>866.76188229987474</v>
      </c>
      <c r="AB798" s="37">
        <f t="shared" si="274"/>
        <v>-1623.7147519274811</v>
      </c>
      <c r="AC798" s="37">
        <f t="shared" si="275"/>
        <v>-3.5533238621213257</v>
      </c>
      <c r="AD798" s="37">
        <f t="shared" si="276"/>
        <v>19.349335211573937</v>
      </c>
      <c r="AE798" s="39">
        <f t="shared" si="277"/>
        <v>-0.86378393190963576</v>
      </c>
      <c r="AF798" s="39">
        <f t="shared" si="278"/>
        <v>7.9134848435343192</v>
      </c>
      <c r="AG798" s="39">
        <f t="shared" si="279"/>
        <v>-0.64664463827288809</v>
      </c>
      <c r="AH798" s="39">
        <f t="shared" si="280"/>
        <v>2.4527826460304007</v>
      </c>
      <c r="AI798" s="39">
        <f t="shared" si="281"/>
        <v>-2.0428952919388017</v>
      </c>
      <c r="AJ798" s="39">
        <f t="shared" si="282"/>
        <v>8.9830677220092188</v>
      </c>
      <c r="AK798" s="37">
        <f t="shared" si="283"/>
        <v>256173.09237693882</v>
      </c>
      <c r="AL798" s="37">
        <f t="shared" si="284"/>
        <v>265947.30883588729</v>
      </c>
      <c r="AM798" s="37">
        <f t="shared" si="285"/>
        <v>238088.28930206204</v>
      </c>
    </row>
    <row r="799" spans="12:39">
      <c r="L799">
        <v>795</v>
      </c>
      <c r="M799" s="37">
        <f t="shared" si="270"/>
        <v>4.9951323192077384</v>
      </c>
      <c r="N799" s="37">
        <f t="shared" si="264"/>
        <v>21394.955530195988</v>
      </c>
      <c r="O799" s="37">
        <f t="shared" si="265"/>
        <v>2698.531571615239</v>
      </c>
      <c r="R799" s="37">
        <f t="shared" si="266"/>
        <v>-19023.531128862807</v>
      </c>
      <c r="S799" s="37">
        <f t="shared" si="267"/>
        <v>6638.9721001306671</v>
      </c>
      <c r="V799" s="37">
        <f t="shared" si="268"/>
        <v>-3605.0444698040114</v>
      </c>
      <c r="W799" s="37">
        <f t="shared" si="269"/>
        <v>-19801.46842838476</v>
      </c>
      <c r="Y799" s="37">
        <f t="shared" si="271"/>
        <v>48230.002511515864</v>
      </c>
      <c r="Z799" s="37">
        <f t="shared" si="272"/>
        <v>-247969.95075292143</v>
      </c>
      <c r="AA799" s="37">
        <f t="shared" si="273"/>
        <v>864.98522036881411</v>
      </c>
      <c r="AB799" s="37">
        <f t="shared" si="274"/>
        <v>-1614.0400843216942</v>
      </c>
      <c r="AC799" s="37">
        <f t="shared" si="275"/>
        <v>-3.549700718963674</v>
      </c>
      <c r="AD799" s="37">
        <f t="shared" si="276"/>
        <v>19.210715616801622</v>
      </c>
      <c r="AE799" s="39">
        <f t="shared" si="277"/>
        <v>-0.86855692551800812</v>
      </c>
      <c r="AF799" s="39">
        <f t="shared" si="278"/>
        <v>7.8600841391239236</v>
      </c>
      <c r="AG799" s="39">
        <f t="shared" si="279"/>
        <v>-0.64426563068875131</v>
      </c>
      <c r="AH799" s="39">
        <f t="shared" si="280"/>
        <v>2.435895748245438</v>
      </c>
      <c r="AI799" s="39">
        <f t="shared" si="281"/>
        <v>-2.0368781627569148</v>
      </c>
      <c r="AJ799" s="39">
        <f t="shared" si="282"/>
        <v>8.9147357294322624</v>
      </c>
      <c r="AK799" s="37">
        <f t="shared" si="283"/>
        <v>257024.95750315825</v>
      </c>
      <c r="AL799" s="37">
        <f t="shared" si="284"/>
        <v>266840.45558008284</v>
      </c>
      <c r="AM799" s="37">
        <f t="shared" si="285"/>
        <v>238973.70382783673</v>
      </c>
    </row>
    <row r="800" spans="12:39">
      <c r="L800">
        <v>796</v>
      </c>
      <c r="M800" s="37">
        <f t="shared" si="270"/>
        <v>5.0014155045149176</v>
      </c>
      <c r="N800" s="37">
        <f t="shared" si="264"/>
        <v>21425.09631234972</v>
      </c>
      <c r="O800" s="37">
        <f t="shared" si="265"/>
        <v>2707.3910549130733</v>
      </c>
      <c r="R800" s="37">
        <f t="shared" si="266"/>
        <v>-19002.432581355195</v>
      </c>
      <c r="S800" s="37">
        <f t="shared" si="267"/>
        <v>6645.1737384391508</v>
      </c>
      <c r="V800" s="37">
        <f t="shared" si="268"/>
        <v>-3574.9036876502787</v>
      </c>
      <c r="W800" s="37">
        <f t="shared" si="269"/>
        <v>-19792.608945086926</v>
      </c>
      <c r="Y800" s="37">
        <f t="shared" si="271"/>
        <v>48662.051409110405</v>
      </c>
      <c r="Z800" s="37">
        <f t="shared" si="272"/>
        <v>-248774.56945563018</v>
      </c>
      <c r="AA800" s="37">
        <f t="shared" si="273"/>
        <v>863.21037000933222</v>
      </c>
      <c r="AB800" s="37">
        <f t="shared" si="274"/>
        <v>-1604.4347265132933</v>
      </c>
      <c r="AC800" s="37">
        <f t="shared" si="275"/>
        <v>-3.5460261080967612</v>
      </c>
      <c r="AD800" s="37">
        <f t="shared" si="276"/>
        <v>19.074252752813294</v>
      </c>
      <c r="AE800" s="39">
        <f t="shared" si="277"/>
        <v>-0.87319746774770723</v>
      </c>
      <c r="AF800" s="39">
        <f t="shared" si="278"/>
        <v>7.8074769283841592</v>
      </c>
      <c r="AG800" s="39">
        <f t="shared" si="279"/>
        <v>-0.64191667719006562</v>
      </c>
      <c r="AH800" s="39">
        <f t="shared" si="280"/>
        <v>2.4192652033726958</v>
      </c>
      <c r="AI800" s="39">
        <f t="shared" si="281"/>
        <v>-2.0309119631589883</v>
      </c>
      <c r="AJ800" s="39">
        <f t="shared" si="282"/>
        <v>8.8475106210564416</v>
      </c>
      <c r="AK800" s="37">
        <f t="shared" si="283"/>
        <v>257872.3873171517</v>
      </c>
      <c r="AL800" s="37">
        <f t="shared" si="284"/>
        <v>267728.8835756316</v>
      </c>
      <c r="AM800" s="37">
        <f t="shared" si="285"/>
        <v>239854.46646998107</v>
      </c>
    </row>
    <row r="801" spans="12:39">
      <c r="L801">
        <v>797</v>
      </c>
      <c r="M801" s="37">
        <f t="shared" si="270"/>
        <v>5.0076986898220968</v>
      </c>
      <c r="N801" s="37">
        <f t="shared" si="264"/>
        <v>21455.1808341412</v>
      </c>
      <c r="O801" s="37">
        <f t="shared" si="265"/>
        <v>2716.4397422057982</v>
      </c>
      <c r="R801" s="37">
        <f t="shared" si="266"/>
        <v>-18981.37341610116</v>
      </c>
      <c r="S801" s="37">
        <f t="shared" si="267"/>
        <v>6651.5078195440583</v>
      </c>
      <c r="V801" s="37">
        <f t="shared" si="268"/>
        <v>-3544.8191658588021</v>
      </c>
      <c r="W801" s="37">
        <f t="shared" si="269"/>
        <v>-19783.560257794201</v>
      </c>
      <c r="Y801" s="37">
        <f t="shared" si="271"/>
        <v>49093.213340851558</v>
      </c>
      <c r="Z801" s="37">
        <f t="shared" si="272"/>
        <v>-249574.40253729271</v>
      </c>
      <c r="AA801" s="37">
        <f t="shared" si="273"/>
        <v>861.4373569552838</v>
      </c>
      <c r="AB801" s="37">
        <f t="shared" si="274"/>
        <v>-1594.8976001368867</v>
      </c>
      <c r="AC801" s="37">
        <f t="shared" si="275"/>
        <v>-3.5423036025896932</v>
      </c>
      <c r="AD801" s="37">
        <f t="shared" si="276"/>
        <v>18.939899765325265</v>
      </c>
      <c r="AE801" s="39">
        <f t="shared" si="277"/>
        <v>-0.87770966671641315</v>
      </c>
      <c r="AF801" s="39">
        <f t="shared" si="278"/>
        <v>7.7556468420591402</v>
      </c>
      <c r="AG801" s="39">
        <f t="shared" si="279"/>
        <v>-0.6395972891152516</v>
      </c>
      <c r="AH801" s="39">
        <f t="shared" si="280"/>
        <v>2.4028855535714655</v>
      </c>
      <c r="AI801" s="39">
        <f t="shared" si="281"/>
        <v>-2.0249966467580287</v>
      </c>
      <c r="AJ801" s="39">
        <f t="shared" si="282"/>
        <v>8.7813673696946601</v>
      </c>
      <c r="AK801" s="37">
        <f t="shared" si="283"/>
        <v>258715.41025304681</v>
      </c>
      <c r="AL801" s="37">
        <f t="shared" si="284"/>
        <v>268612.62550810399</v>
      </c>
      <c r="AM801" s="37">
        <f t="shared" si="285"/>
        <v>240730.6088873343</v>
      </c>
    </row>
    <row r="802" spans="12:39">
      <c r="L802">
        <v>798</v>
      </c>
      <c r="M802" s="37">
        <f t="shared" si="270"/>
        <v>5.013981875129276</v>
      </c>
      <c r="N802" s="37">
        <f t="shared" si="264"/>
        <v>21485.207907885011</v>
      </c>
      <c r="O802" s="37">
        <f t="shared" si="265"/>
        <v>2725.6772762667351</v>
      </c>
      <c r="R802" s="37">
        <f t="shared" si="266"/>
        <v>-18960.354464480493</v>
      </c>
      <c r="S802" s="37">
        <f t="shared" si="267"/>
        <v>6657.9740933867142</v>
      </c>
      <c r="V802" s="37">
        <f t="shared" si="268"/>
        <v>-3514.792092114988</v>
      </c>
      <c r="W802" s="37">
        <f t="shared" si="269"/>
        <v>-19774.322723733265</v>
      </c>
      <c r="Y802" s="37">
        <f t="shared" si="271"/>
        <v>49523.489231378873</v>
      </c>
      <c r="Z802" s="37">
        <f t="shared" si="272"/>
        <v>-250369.48384989047</v>
      </c>
      <c r="AA802" s="37">
        <f t="shared" si="273"/>
        <v>859.66620515398893</v>
      </c>
      <c r="AB802" s="37">
        <f t="shared" si="274"/>
        <v>-1585.4276502542241</v>
      </c>
      <c r="AC802" s="37">
        <f t="shared" si="275"/>
        <v>-3.5385366215565903</v>
      </c>
      <c r="AD802" s="37">
        <f t="shared" si="276"/>
        <v>18.807611128084584</v>
      </c>
      <c r="AE802" s="39">
        <f t="shared" si="277"/>
        <v>-0.88209748895224771</v>
      </c>
      <c r="AF802" s="39">
        <f t="shared" si="278"/>
        <v>7.7045779514312835</v>
      </c>
      <c r="AG802" s="39">
        <f t="shared" si="279"/>
        <v>-0.63730698881584558</v>
      </c>
      <c r="AH802" s="39">
        <f t="shared" si="280"/>
        <v>2.386751493148823</v>
      </c>
      <c r="AI802" s="39">
        <f t="shared" si="281"/>
        <v>-2.019132143788497</v>
      </c>
      <c r="AJ802" s="39">
        <f t="shared" si="282"/>
        <v>8.7162816835044783</v>
      </c>
      <c r="AK802" s="37">
        <f t="shared" si="283"/>
        <v>259554.0543266552</v>
      </c>
      <c r="AL802" s="37">
        <f t="shared" si="284"/>
        <v>269491.71355565655</v>
      </c>
      <c r="AM802" s="37">
        <f t="shared" si="285"/>
        <v>241602.16225383442</v>
      </c>
    </row>
    <row r="803" spans="12:39">
      <c r="L803">
        <v>799</v>
      </c>
      <c r="M803" s="37">
        <f t="shared" si="270"/>
        <v>5.0202650604364552</v>
      </c>
      <c r="N803" s="37">
        <f t="shared" si="264"/>
        <v>21515.176348163706</v>
      </c>
      <c r="O803" s="37">
        <f t="shared" si="265"/>
        <v>2735.1032924138535</v>
      </c>
      <c r="R803" s="37">
        <f t="shared" si="266"/>
        <v>-18939.376556285406</v>
      </c>
      <c r="S803" s="37">
        <f t="shared" si="267"/>
        <v>6664.5723046896974</v>
      </c>
      <c r="V803" s="37">
        <f t="shared" si="268"/>
        <v>-3484.8236518362946</v>
      </c>
      <c r="W803" s="37">
        <f t="shared" si="269"/>
        <v>-19764.896707586147</v>
      </c>
      <c r="Y803" s="37">
        <f t="shared" si="271"/>
        <v>49952.880016878175</v>
      </c>
      <c r="Z803" s="37">
        <f t="shared" si="272"/>
        <v>-251159.84672362657</v>
      </c>
      <c r="AA803" s="37">
        <f t="shared" si="273"/>
        <v>857.8969368432106</v>
      </c>
      <c r="AB803" s="37">
        <f t="shared" si="274"/>
        <v>-1576.0238446901817</v>
      </c>
      <c r="AC803" s="37">
        <f t="shared" si="275"/>
        <v>-3.5347284370890786</v>
      </c>
      <c r="AD803" s="37">
        <f t="shared" si="276"/>
        <v>18.677342596770494</v>
      </c>
      <c r="AE803" s="39">
        <f t="shared" si="277"/>
        <v>-0.88636476501462047</v>
      </c>
      <c r="AF803" s="39">
        <f t="shared" si="278"/>
        <v>7.6542547538238441</v>
      </c>
      <c r="AG803" s="39">
        <f t="shared" si="279"/>
        <v>-0.63504530934939984</v>
      </c>
      <c r="AH803" s="39">
        <f t="shared" si="280"/>
        <v>2.3708578633536108</v>
      </c>
      <c r="AI803" s="39">
        <f t="shared" si="281"/>
        <v>-2.0133183627250584</v>
      </c>
      <c r="AJ803" s="39">
        <f t="shared" si="282"/>
        <v>8.6522299795930397</v>
      </c>
      <c r="AK803" s="37">
        <f t="shared" si="283"/>
        <v>260388.34714402157</v>
      </c>
      <c r="AL803" s="37">
        <f t="shared" si="284"/>
        <v>270366.17940002016</v>
      </c>
      <c r="AM803" s="37">
        <f t="shared" si="285"/>
        <v>242469.15726887039</v>
      </c>
    </row>
    <row r="804" spans="12:39">
      <c r="L804">
        <v>800</v>
      </c>
      <c r="M804" s="37">
        <f t="shared" si="270"/>
        <v>5.0265482457436343</v>
      </c>
      <c r="N804" s="37">
        <f t="shared" si="264"/>
        <v>21545.08497187457</v>
      </c>
      <c r="O804" s="37">
        <f t="shared" si="265"/>
        <v>2744.7174185241784</v>
      </c>
      <c r="R804" s="37">
        <f t="shared" si="266"/>
        <v>-18918.4405196878</v>
      </c>
      <c r="S804" s="37">
        <f t="shared" si="267"/>
        <v>6671.3021929669248</v>
      </c>
      <c r="V804" s="37">
        <f t="shared" si="268"/>
        <v>-3454.9150281254288</v>
      </c>
      <c r="W804" s="37">
        <f t="shared" si="269"/>
        <v>-19755.282581475822</v>
      </c>
      <c r="Y804" s="37">
        <f t="shared" si="271"/>
        <v>50381.386644245147</v>
      </c>
      <c r="Z804" s="37">
        <f t="shared" si="272"/>
        <v>-251945.52397814707</v>
      </c>
      <c r="AA804" s="37">
        <f t="shared" si="273"/>
        <v>856.12957262466603</v>
      </c>
      <c r="AB804" s="37">
        <f t="shared" si="274"/>
        <v>-1566.6851733917965</v>
      </c>
      <c r="AC804" s="37">
        <f t="shared" si="275"/>
        <v>-3.5308821808474105</v>
      </c>
      <c r="AD804" s="37">
        <f t="shared" si="276"/>
        <v>18.549051164786107</v>
      </c>
      <c r="AE804" s="39">
        <f t="shared" si="277"/>
        <v>-0.89051519486144204</v>
      </c>
      <c r="AF804" s="39">
        <f t="shared" si="278"/>
        <v>7.6046621586672138</v>
      </c>
      <c r="AG804" s="39">
        <f t="shared" si="279"/>
        <v>-0.63281179418258937</v>
      </c>
      <c r="AH804" s="39">
        <f t="shared" si="280"/>
        <v>2.3551996473809673</v>
      </c>
      <c r="AI804" s="39">
        <f t="shared" si="281"/>
        <v>-2.0075551918033789</v>
      </c>
      <c r="AJ804" s="39">
        <f t="shared" si="282"/>
        <v>8.5891893587379275</v>
      </c>
      <c r="AK804" s="37">
        <f t="shared" si="283"/>
        <v>261218.31590974322</v>
      </c>
      <c r="AL804" s="37">
        <f t="shared" si="284"/>
        <v>271236.0542371769</v>
      </c>
      <c r="AM804" s="37">
        <f t="shared" si="285"/>
        <v>243331.62416734503</v>
      </c>
    </row>
    <row r="805" spans="12:39">
      <c r="L805">
        <v>801</v>
      </c>
      <c r="M805" s="37">
        <f t="shared" si="270"/>
        <v>5.0328314310508135</v>
      </c>
      <c r="N805" s="37">
        <f t="shared" si="264"/>
        <v>21574.932598276358</v>
      </c>
      <c r="O805" s="37">
        <f t="shared" si="265"/>
        <v>2754.5192750484712</v>
      </c>
      <c r="R805" s="37">
        <f t="shared" si="266"/>
        <v>-18897.547181206552</v>
      </c>
      <c r="S805" s="37">
        <f t="shared" si="267"/>
        <v>6678.1634925339295</v>
      </c>
      <c r="V805" s="37">
        <f t="shared" si="268"/>
        <v>-3425.0674017236433</v>
      </c>
      <c r="W805" s="37">
        <f t="shared" si="269"/>
        <v>-19745.480724951529</v>
      </c>
      <c r="Y805" s="37">
        <f t="shared" si="271"/>
        <v>50809.010070284872</v>
      </c>
      <c r="Z805" s="37">
        <f t="shared" si="272"/>
        <v>-252726.54793344735</v>
      </c>
      <c r="AA805" s="37">
        <f t="shared" si="273"/>
        <v>854.36413153424235</v>
      </c>
      <c r="AB805" s="37">
        <f t="shared" si="274"/>
        <v>-1557.4106478094034</v>
      </c>
      <c r="AC805" s="37">
        <f t="shared" si="275"/>
        <v>-3.5270008503292796</v>
      </c>
      <c r="AD805" s="37">
        <f t="shared" si="276"/>
        <v>18.42269502085302</v>
      </c>
      <c r="AE805" s="39">
        <f t="shared" si="277"/>
        <v>-0.89455235297548719</v>
      </c>
      <c r="AF805" s="39">
        <f t="shared" si="278"/>
        <v>7.5557854741030726</v>
      </c>
      <c r="AG805" s="39">
        <f t="shared" si="279"/>
        <v>-0.6306059969042892</v>
      </c>
      <c r="AH805" s="39">
        <f t="shared" si="280"/>
        <v>2.339771965578159</v>
      </c>
      <c r="AI805" s="39">
        <f t="shared" si="281"/>
        <v>-2.0018425004495031</v>
      </c>
      <c r="AJ805" s="39">
        <f t="shared" si="282"/>
        <v>8.5271375811717878</v>
      </c>
      <c r="AK805" s="37">
        <f t="shared" si="283"/>
        <v>262043.98743506728</v>
      </c>
      <c r="AL805" s="37">
        <f t="shared" si="284"/>
        <v>272101.36878773634</v>
      </c>
      <c r="AM805" s="37">
        <f t="shared" si="285"/>
        <v>244189.59272945847</v>
      </c>
    </row>
    <row r="806" spans="12:39">
      <c r="L806">
        <v>802</v>
      </c>
      <c r="M806" s="37">
        <f t="shared" si="270"/>
        <v>5.0391146163579927</v>
      </c>
      <c r="N806" s="37">
        <f t="shared" si="264"/>
        <v>21604.718049035881</v>
      </c>
      <c r="O806" s="37">
        <f t="shared" si="265"/>
        <v>2764.5084750262213</v>
      </c>
      <c r="R806" s="37">
        <f t="shared" si="266"/>
        <v>-18876.697365674885</v>
      </c>
      <c r="S806" s="37">
        <f t="shared" si="267"/>
        <v>6685.1559325183553</v>
      </c>
      <c r="V806" s="37">
        <f t="shared" si="268"/>
        <v>-3395.2819509641213</v>
      </c>
      <c r="W806" s="37">
        <f t="shared" si="269"/>
        <v>-19735.491524973779</v>
      </c>
      <c r="Y806" s="37">
        <f t="shared" si="271"/>
        <v>51235.751260945697</v>
      </c>
      <c r="Z806" s="37">
        <f t="shared" si="272"/>
        <v>-253502.95042047443</v>
      </c>
      <c r="AA806" s="37">
        <f t="shared" si="273"/>
        <v>852.60063110907765</v>
      </c>
      <c r="AB806" s="37">
        <f t="shared" si="274"/>
        <v>-1548.1993002989768</v>
      </c>
      <c r="AC806" s="37">
        <f t="shared" si="275"/>
        <v>-3.5230873148333082</v>
      </c>
      <c r="AD806" s="37">
        <f t="shared" si="276"/>
        <v>18.298233508322518</v>
      </c>
      <c r="AE806" s="39">
        <f t="shared" si="277"/>
        <v>-0.89847969326206134</v>
      </c>
      <c r="AF806" s="39">
        <f t="shared" si="278"/>
        <v>7.5076103941026497</v>
      </c>
      <c r="AG806" s="39">
        <f t="shared" si="279"/>
        <v>-0.62842748094813505</v>
      </c>
      <c r="AH806" s="39">
        <f t="shared" si="280"/>
        <v>2.3245700708420061</v>
      </c>
      <c r="AI806" s="39">
        <f t="shared" si="281"/>
        <v>-1.9961801406231114</v>
      </c>
      <c r="AJ806" s="39">
        <f t="shared" si="282"/>
        <v>8.46605304337786</v>
      </c>
      <c r="AK806" s="37">
        <f t="shared" si="283"/>
        <v>262865.38814577379</v>
      </c>
      <c r="AL806" s="37">
        <f t="shared" si="284"/>
        <v>272962.15330702224</v>
      </c>
      <c r="AM806" s="37">
        <f t="shared" si="285"/>
        <v>245043.09229022198</v>
      </c>
    </row>
    <row r="807" spans="12:39">
      <c r="L807">
        <v>803</v>
      </c>
      <c r="M807" s="37">
        <f t="shared" si="270"/>
        <v>5.0453978016651719</v>
      </c>
      <c r="N807" s="37">
        <f t="shared" si="264"/>
        <v>21634.440148274542</v>
      </c>
      <c r="O807" s="37">
        <f t="shared" si="265"/>
        <v>2774.6846241009171</v>
      </c>
      <c r="R807" s="37">
        <f t="shared" si="266"/>
        <v>-18855.891896207821</v>
      </c>
      <c r="S807" s="37">
        <f t="shared" si="267"/>
        <v>6692.2792368706414</v>
      </c>
      <c r="V807" s="37">
        <f t="shared" si="268"/>
        <v>-3365.5598517254575</v>
      </c>
      <c r="W807" s="37">
        <f t="shared" si="269"/>
        <v>-19725.315375899081</v>
      </c>
      <c r="Y807" s="37">
        <f t="shared" si="271"/>
        <v>51661.611190585878</v>
      </c>
      <c r="Z807" s="37">
        <f t="shared" si="272"/>
        <v>-254274.76279143538</v>
      </c>
      <c r="AA807" s="37">
        <f t="shared" si="273"/>
        <v>850.83908745166104</v>
      </c>
      <c r="AB807" s="37">
        <f t="shared" si="274"/>
        <v>-1539.0501835448156</v>
      </c>
      <c r="AC807" s="37">
        <f t="shared" si="275"/>
        <v>-3.5191443211337177</v>
      </c>
      <c r="AD807" s="37">
        <f t="shared" si="276"/>
        <v>18.175627086123882</v>
      </c>
      <c r="AE807" s="39">
        <f t="shared" si="277"/>
        <v>-0.90230055372941176</v>
      </c>
      <c r="AF807" s="39">
        <f t="shared" si="278"/>
        <v>7.4601229860762128</v>
      </c>
      <c r="AG807" s="39">
        <f t="shared" si="279"/>
        <v>-0.62627581932420973</v>
      </c>
      <c r="AH807" s="39">
        <f t="shared" si="280"/>
        <v>2.3095893441991171</v>
      </c>
      <c r="AI807" s="39">
        <f t="shared" si="281"/>
        <v>-1.9905679480800964</v>
      </c>
      <c r="AJ807" s="39">
        <f t="shared" si="282"/>
        <v>8.4059147558485545</v>
      </c>
      <c r="AK807" s="37">
        <f t="shared" si="283"/>
        <v>263682.54408985074</v>
      </c>
      <c r="AL807" s="37">
        <f t="shared" si="284"/>
        <v>273818.43759487808</v>
      </c>
      <c r="AM807" s="37">
        <f t="shared" si="285"/>
        <v>245892.15174871034</v>
      </c>
    </row>
    <row r="808" spans="12:39">
      <c r="L808">
        <v>804</v>
      </c>
      <c r="M808" s="37">
        <f t="shared" si="270"/>
        <v>5.0516809869723511</v>
      </c>
      <c r="N808" s="37">
        <f t="shared" si="264"/>
        <v>21664.097722614762</v>
      </c>
      <c r="O808" s="37">
        <f t="shared" si="265"/>
        <v>2785.0473205356166</v>
      </c>
      <c r="R808" s="37">
        <f t="shared" si="266"/>
        <v>-18835.131594169667</v>
      </c>
      <c r="S808" s="37">
        <f t="shared" si="267"/>
        <v>6699.5331243749315</v>
      </c>
      <c r="V808" s="37">
        <f t="shared" si="268"/>
        <v>-3335.9022773852384</v>
      </c>
      <c r="W808" s="37">
        <f t="shared" si="269"/>
        <v>-19714.952679464383</v>
      </c>
      <c r="Y808" s="37">
        <f t="shared" si="271"/>
        <v>52086.590841271565</v>
      </c>
      <c r="Z808" s="37">
        <f t="shared" si="272"/>
        <v>-255042.01592982202</v>
      </c>
      <c r="AA808" s="37">
        <f t="shared" si="273"/>
        <v>849.07951529109414</v>
      </c>
      <c r="AB808" s="37">
        <f t="shared" si="274"/>
        <v>-1529.9623700017537</v>
      </c>
      <c r="AC808" s="37">
        <f t="shared" si="275"/>
        <v>-3.5151744988817546</v>
      </c>
      <c r="AD808" s="37">
        <f t="shared" si="276"/>
        <v>18.054837291274659</v>
      </c>
      <c r="AE808" s="39">
        <f t="shared" si="277"/>
        <v>-0.90601816096273047</v>
      </c>
      <c r="AF808" s="39">
        <f t="shared" si="278"/>
        <v>7.41330967895244</v>
      </c>
      <c r="AG808" s="39">
        <f t="shared" si="279"/>
        <v>-0.62415059435956821</v>
      </c>
      <c r="AH808" s="39">
        <f t="shared" si="280"/>
        <v>2.2948252905607722</v>
      </c>
      <c r="AI808" s="39">
        <f t="shared" si="281"/>
        <v>-1.9850057435594559</v>
      </c>
      <c r="AJ808" s="39">
        <f t="shared" si="282"/>
        <v>8.3467023217614464</v>
      </c>
      <c r="AK808" s="37">
        <f t="shared" si="283"/>
        <v>264495.48094496829</v>
      </c>
      <c r="AL808" s="37">
        <f t="shared" si="284"/>
        <v>274670.25100520242</v>
      </c>
      <c r="AM808" s="37">
        <f t="shared" si="285"/>
        <v>246736.79957706286</v>
      </c>
    </row>
    <row r="809" spans="12:39">
      <c r="L809">
        <v>805</v>
      </c>
      <c r="M809" s="37">
        <f t="shared" si="270"/>
        <v>5.0579641722795303</v>
      </c>
      <c r="N809" s="37">
        <f t="shared" si="264"/>
        <v>21693.689601226284</v>
      </c>
      <c r="O809" s="37">
        <f t="shared" si="265"/>
        <v>2795.5961552288109</v>
      </c>
      <c r="R809" s="37">
        <f t="shared" si="266"/>
        <v>-18814.417279141602</v>
      </c>
      <c r="S809" s="37">
        <f t="shared" si="267"/>
        <v>6706.9173086601677</v>
      </c>
      <c r="V809" s="37">
        <f t="shared" si="268"/>
        <v>-3306.3103987737159</v>
      </c>
      <c r="W809" s="37">
        <f t="shared" si="269"/>
        <v>-19704.40384477119</v>
      </c>
      <c r="Y809" s="37">
        <f t="shared" si="271"/>
        <v>52510.691202104746</v>
      </c>
      <c r="Z809" s="37">
        <f t="shared" si="272"/>
        <v>-255804.74026016149</v>
      </c>
      <c r="AA809" s="37">
        <f t="shared" si="273"/>
        <v>847.32192804165322</v>
      </c>
      <c r="AB809" s="37">
        <f t="shared" si="274"/>
        <v>-1520.9349513561165</v>
      </c>
      <c r="AC809" s="37">
        <f t="shared" si="275"/>
        <v>-3.5111803657479532</v>
      </c>
      <c r="AD809" s="37">
        <f t="shared" si="276"/>
        <v>17.935826702879439</v>
      </c>
      <c r="AE809" s="39">
        <f t="shared" si="277"/>
        <v>-0.90963563440200801</v>
      </c>
      <c r="AF809" s="39">
        <f t="shared" si="278"/>
        <v>7.3671572517074591</v>
      </c>
      <c r="AG809" s="39">
        <f t="shared" si="279"/>
        <v>-0.622051397447137</v>
      </c>
      <c r="AH809" s="39">
        <f t="shared" si="280"/>
        <v>2.280273534644051</v>
      </c>
      <c r="AI809" s="39">
        <f t="shared" si="281"/>
        <v>-1.9794933338988083</v>
      </c>
      <c r="AJ809" s="39">
        <f t="shared" si="282"/>
        <v>8.2883959165279286</v>
      </c>
      <c r="AK809" s="37">
        <f t="shared" si="283"/>
        <v>265304.22402575822</v>
      </c>
      <c r="AL809" s="37">
        <f t="shared" si="284"/>
        <v>275517.62245522317</v>
      </c>
      <c r="AM809" s="37">
        <f t="shared" si="285"/>
        <v>247577.06382924021</v>
      </c>
    </row>
    <row r="810" spans="12:39">
      <c r="L810">
        <v>806</v>
      </c>
      <c r="M810" s="37">
        <f t="shared" si="270"/>
        <v>5.0642473575867095</v>
      </c>
      <c r="N810" s="37">
        <f t="shared" si="264"/>
        <v>21723.21461587241</v>
      </c>
      <c r="O810" s="37">
        <f t="shared" si="265"/>
        <v>2806.3307117305649</v>
      </c>
      <c r="R810" s="37">
        <f t="shared" si="266"/>
        <v>-18793.749768889313</v>
      </c>
      <c r="S810" s="37">
        <f t="shared" si="267"/>
        <v>6714.4314982113956</v>
      </c>
      <c r="V810" s="37">
        <f t="shared" si="268"/>
        <v>-3276.7853841275892</v>
      </c>
      <c r="W810" s="37">
        <f t="shared" si="269"/>
        <v>-19693.669288269433</v>
      </c>
      <c r="Y810" s="37">
        <f t="shared" si="271"/>
        <v>52933.913268579854</v>
      </c>
      <c r="Z810" s="37">
        <f t="shared" si="272"/>
        <v>-256562.96575750166</v>
      </c>
      <c r="AA810" s="37">
        <f t="shared" si="273"/>
        <v>845.56633785877921</v>
      </c>
      <c r="AB810" s="37">
        <f t="shared" si="274"/>
        <v>-1511.9670380046769</v>
      </c>
      <c r="AC810" s="37">
        <f t="shared" si="275"/>
        <v>-3.5071643323193822</v>
      </c>
      <c r="AD810" s="37">
        <f t="shared" si="276"/>
        <v>17.818558907550432</v>
      </c>
      <c r="AE810" s="39">
        <f t="shared" si="277"/>
        <v>-0.91315599043327189</v>
      </c>
      <c r="AF810" s="39">
        <f t="shared" si="278"/>
        <v>7.3216528223230002</v>
      </c>
      <c r="AG810" s="39">
        <f t="shared" si="279"/>
        <v>-0.61997782880286079</v>
      </c>
      <c r="AH810" s="39">
        <f t="shared" si="280"/>
        <v>2.2659298170523785</v>
      </c>
      <c r="AI810" s="39">
        <f t="shared" si="281"/>
        <v>-1.9740305130832496</v>
      </c>
      <c r="AJ810" s="39">
        <f t="shared" si="282"/>
        <v>8.230976268175052</v>
      </c>
      <c r="AK810" s="37">
        <f t="shared" si="283"/>
        <v>266108.79829090548</v>
      </c>
      <c r="AL810" s="37">
        <f t="shared" si="284"/>
        <v>276360.58043451805</v>
      </c>
      <c r="AM810" s="37">
        <f t="shared" si="285"/>
        <v>248412.97214954629</v>
      </c>
    </row>
    <row r="811" spans="12:39">
      <c r="L811">
        <v>807</v>
      </c>
      <c r="M811" s="37">
        <f t="shared" si="270"/>
        <v>5.0705305428938887</v>
      </c>
      <c r="N811" s="37">
        <f t="shared" si="264"/>
        <v>21752.671600956121</v>
      </c>
      <c r="O811" s="37">
        <f t="shared" si="265"/>
        <v>2817.2505662589729</v>
      </c>
      <c r="R811" s="37">
        <f t="shared" si="266"/>
        <v>-18773.129879330718</v>
      </c>
      <c r="S811" s="37">
        <f t="shared" si="267"/>
        <v>6722.0753963812804</v>
      </c>
      <c r="V811" s="37">
        <f t="shared" si="268"/>
        <v>-3247.3283990438808</v>
      </c>
      <c r="W811" s="37">
        <f t="shared" si="269"/>
        <v>-19682.749433741028</v>
      </c>
      <c r="Y811" s="37">
        <f t="shared" si="271"/>
        <v>53356.258041967703</v>
      </c>
      <c r="Z811" s="37">
        <f t="shared" si="272"/>
        <v>-257316.72195664054</v>
      </c>
      <c r="AA811" s="37">
        <f t="shared" si="273"/>
        <v>843.81275569261948</v>
      </c>
      <c r="AB811" s="37">
        <f t="shared" si="274"/>
        <v>-1503.0577585509016</v>
      </c>
      <c r="AC811" s="37">
        <f t="shared" si="275"/>
        <v>-3.5031287067643695</v>
      </c>
      <c r="AD811" s="37">
        <f t="shared" si="276"/>
        <v>17.702998466184575</v>
      </c>
      <c r="AE811" s="39">
        <f t="shared" si="277"/>
        <v>-0.91658214630254353</v>
      </c>
      <c r="AF811" s="39">
        <f t="shared" si="278"/>
        <v>7.2767838371567812</v>
      </c>
      <c r="AG811" s="39">
        <f t="shared" si="279"/>
        <v>-0.61792949723056989</v>
      </c>
      <c r="AH811" s="39">
        <f t="shared" si="280"/>
        <v>2.2517899905075374</v>
      </c>
      <c r="AI811" s="39">
        <f t="shared" si="281"/>
        <v>-1.9686170632312561</v>
      </c>
      <c r="AJ811" s="39">
        <f t="shared" si="282"/>
        <v>8.1744246385202537</v>
      </c>
      <c r="AK811" s="37">
        <f t="shared" si="283"/>
        <v>266909.22835005721</v>
      </c>
      <c r="AL811" s="37">
        <f t="shared" si="284"/>
        <v>277199.15301379189</v>
      </c>
      <c r="AM811" s="37">
        <f t="shared" si="285"/>
        <v>249244.5517809217</v>
      </c>
    </row>
    <row r="812" spans="12:39">
      <c r="L812">
        <v>808</v>
      </c>
      <c r="M812" s="37">
        <f t="shared" si="270"/>
        <v>5.0768137282010679</v>
      </c>
      <c r="N812" s="37">
        <f t="shared" si="264"/>
        <v>21782.059393566076</v>
      </c>
      <c r="O812" s="37">
        <f t="shared" si="265"/>
        <v>2828.3552877168722</v>
      </c>
      <c r="R812" s="37">
        <f t="shared" si="266"/>
        <v>-18752.558424503746</v>
      </c>
      <c r="S812" s="37">
        <f t="shared" si="267"/>
        <v>6729.8487014018101</v>
      </c>
      <c r="V812" s="37">
        <f t="shared" si="268"/>
        <v>-3217.9406064339237</v>
      </c>
      <c r="W812" s="37">
        <f t="shared" si="269"/>
        <v>-19671.644712283127</v>
      </c>
      <c r="Y812" s="37">
        <f t="shared" si="271"/>
        <v>53777.726528725667</v>
      </c>
      <c r="Z812" s="37">
        <f t="shared" si="272"/>
        <v>-258066.03796110774</v>
      </c>
      <c r="AA812" s="37">
        <f t="shared" si="273"/>
        <v>842.06119133923733</v>
      </c>
      <c r="AB812" s="37">
        <f t="shared" si="274"/>
        <v>-1494.2062593178093</v>
      </c>
      <c r="AC812" s="37">
        <f t="shared" si="275"/>
        <v>-3.4990756992769736</v>
      </c>
      <c r="AD812" s="37">
        <f t="shared" si="276"/>
        <v>17.589110882035399</v>
      </c>
      <c r="AE812" s="39">
        <f t="shared" si="277"/>
        <v>-0.91991692386089818</v>
      </c>
      <c r="AF812" s="39">
        <f t="shared" si="278"/>
        <v>7.2325380607054548</v>
      </c>
      <c r="AG812" s="39">
        <f t="shared" si="279"/>
        <v>-0.61590601989444138</v>
      </c>
      <c r="AH812" s="39">
        <f t="shared" si="280"/>
        <v>2.2378500162269752</v>
      </c>
      <c r="AI812" s="39">
        <f t="shared" si="281"/>
        <v>-1.9632527555216341</v>
      </c>
      <c r="AJ812" s="39">
        <f t="shared" si="282"/>
        <v>8.1187228051029692</v>
      </c>
      <c r="AK812" s="37">
        <f t="shared" si="283"/>
        <v>267705.53847055516</v>
      </c>
      <c r="AL812" s="37">
        <f t="shared" si="284"/>
        <v>278033.367853417</v>
      </c>
      <c r="AM812" s="37">
        <f t="shared" si="285"/>
        <v>250071.82957301752</v>
      </c>
    </row>
    <row r="813" spans="12:39">
      <c r="L813">
        <v>809</v>
      </c>
      <c r="M813" s="37">
        <f t="shared" si="270"/>
        <v>5.0830969135082471</v>
      </c>
      <c r="N813" s="37">
        <f t="shared" si="264"/>
        <v>21811.37683352255</v>
      </c>
      <c r="O813" s="37">
        <f t="shared" si="265"/>
        <v>2839.6444377088756</v>
      </c>
      <c r="R813" s="37">
        <f t="shared" si="266"/>
        <v>-18732.036216534216</v>
      </c>
      <c r="S813" s="37">
        <f t="shared" si="267"/>
        <v>6737.7511063962129</v>
      </c>
      <c r="V813" s="37">
        <f t="shared" si="268"/>
        <v>-3188.6231664774505</v>
      </c>
      <c r="W813" s="37">
        <f t="shared" si="269"/>
        <v>-19660.355562291123</v>
      </c>
      <c r="Y813" s="37">
        <f t="shared" si="271"/>
        <v>54198.319739932878</v>
      </c>
      <c r="Z813" s="37">
        <f t="shared" si="272"/>
        <v>-258810.94245190639</v>
      </c>
      <c r="AA813" s="37">
        <f t="shared" si="273"/>
        <v>840.31165348959883</v>
      </c>
      <c r="AB813" s="37">
        <f t="shared" si="274"/>
        <v>-1485.4117038767915</v>
      </c>
      <c r="AC813" s="37">
        <f t="shared" si="275"/>
        <v>-3.4950074263127435</v>
      </c>
      <c r="AD813" s="37">
        <f t="shared" si="276"/>
        <v>17.476862570023094</v>
      </c>
      <c r="AE813" s="39">
        <f t="shared" si="277"/>
        <v>-0.92316305314910041</v>
      </c>
      <c r="AF813" s="39">
        <f t="shared" si="278"/>
        <v>7.1889035657457363</v>
      </c>
      <c r="AG813" s="39">
        <f t="shared" si="279"/>
        <v>-0.61390702209869552</v>
      </c>
      <c r="AH813" s="39">
        <f t="shared" si="280"/>
        <v>2.2241059604396769</v>
      </c>
      <c r="AI813" s="39">
        <f t="shared" si="281"/>
        <v>-1.9579373510649478</v>
      </c>
      <c r="AJ813" s="39">
        <f t="shared" si="282"/>
        <v>8.0638530438376819</v>
      </c>
      <c r="AK813" s="37">
        <f t="shared" si="283"/>
        <v>268497.75258399703</v>
      </c>
      <c r="AL813" s="37">
        <f t="shared" si="284"/>
        <v>278863.25221174525</v>
      </c>
      <c r="AM813" s="37">
        <f t="shared" si="285"/>
        <v>250894.83199005542</v>
      </c>
    </row>
    <row r="814" spans="12:39">
      <c r="L814">
        <v>810</v>
      </c>
      <c r="M814" s="37">
        <f t="shared" si="270"/>
        <v>5.0893800988154263</v>
      </c>
      <c r="N814" s="37">
        <f t="shared" si="264"/>
        <v>21840.622763423209</v>
      </c>
      <c r="O814" s="37">
        <f t="shared" si="265"/>
        <v>2851.117570558672</v>
      </c>
      <c r="R814" s="37">
        <f t="shared" si="266"/>
        <v>-18711.564065603754</v>
      </c>
      <c r="S814" s="37">
        <f t="shared" si="267"/>
        <v>6745.7822993910704</v>
      </c>
      <c r="V814" s="37">
        <f t="shared" si="268"/>
        <v>-3159.37723657679</v>
      </c>
      <c r="W814" s="37">
        <f t="shared" si="269"/>
        <v>-19648.882429441328</v>
      </c>
      <c r="Y814" s="37">
        <f t="shared" si="271"/>
        <v>54618.038690749388</v>
      </c>
      <c r="Z814" s="37">
        <f t="shared" si="272"/>
        <v>-259551.46369602354</v>
      </c>
      <c r="AA814" s="37">
        <f t="shared" si="273"/>
        <v>838.56414977644249</v>
      </c>
      <c r="AB814" s="37">
        <f t="shared" si="274"/>
        <v>-1476.67327259178</v>
      </c>
      <c r="AC814" s="37">
        <f t="shared" si="275"/>
        <v>-3.4909259146262692</v>
      </c>
      <c r="AD814" s="37">
        <f t="shared" si="276"/>
        <v>17.366220827225334</v>
      </c>
      <c r="AE814" s="39">
        <f t="shared" si="277"/>
        <v>-0.92632317582926038</v>
      </c>
      <c r="AF814" s="39">
        <f t="shared" si="278"/>
        <v>7.1458687238354912</v>
      </c>
      <c r="AG814" s="39">
        <f t="shared" si="279"/>
        <v>-0.61193213707428662</v>
      </c>
      <c r="AH814" s="39">
        <f t="shared" si="280"/>
        <v>2.2105539910345926</v>
      </c>
      <c r="AI814" s="39">
        <f t="shared" si="281"/>
        <v>-1.9526706017227222</v>
      </c>
      <c r="AJ814" s="39">
        <f t="shared" si="282"/>
        <v>8.0097981123552504</v>
      </c>
      <c r="AK814" s="37">
        <f t="shared" si="283"/>
        <v>269285.89429263247</v>
      </c>
      <c r="AL814" s="37">
        <f t="shared" si="284"/>
        <v>279688.83295319974</v>
      </c>
      <c r="AM814" s="37">
        <f t="shared" si="285"/>
        <v>251713.58511848183</v>
      </c>
    </row>
    <row r="815" spans="12:39">
      <c r="L815">
        <v>811</v>
      </c>
      <c r="M815" s="37">
        <f t="shared" si="270"/>
        <v>5.0956632841226055</v>
      </c>
      <c r="N815" s="37">
        <f t="shared" si="264"/>
        <v>21869.796028688819</v>
      </c>
      <c r="O815" s="37">
        <f t="shared" si="265"/>
        <v>2862.7742333266206</v>
      </c>
      <c r="R815" s="37">
        <f t="shared" si="266"/>
        <v>-18691.142779917827</v>
      </c>
      <c r="S815" s="37">
        <f t="shared" si="267"/>
        <v>6753.9419633286343</v>
      </c>
      <c r="V815" s="37">
        <f t="shared" si="268"/>
        <v>-3130.203971311179</v>
      </c>
      <c r="W815" s="37">
        <f t="shared" si="269"/>
        <v>-19637.225766673379</v>
      </c>
      <c r="Y815" s="37">
        <f t="shared" si="271"/>
        <v>55036.884399898285</v>
      </c>
      <c r="Z815" s="37">
        <f t="shared" si="272"/>
        <v>-260287.62955471603</v>
      </c>
      <c r="AA815" s="37">
        <f t="shared" si="273"/>
        <v>836.81868681912931</v>
      </c>
      <c r="AB815" s="37">
        <f t="shared" si="274"/>
        <v>-1467.9901621781673</v>
      </c>
      <c r="AC815" s="37">
        <f t="shared" si="275"/>
        <v>-3.4868331051209633</v>
      </c>
      <c r="AD815" s="37">
        <f t="shared" si="276"/>
        <v>17.257153804498106</v>
      </c>
      <c r="AE815" s="39">
        <f t="shared" si="277"/>
        <v>-0.92939984847097235</v>
      </c>
      <c r="AF815" s="39">
        <f t="shared" si="278"/>
        <v>7.1034221961606976</v>
      </c>
      <c r="AG815" s="39">
        <f t="shared" si="279"/>
        <v>-0.60998100577229175</v>
      </c>
      <c r="AH815" s="39">
        <f t="shared" si="280"/>
        <v>2.1971903743356616</v>
      </c>
      <c r="AI815" s="39">
        <f t="shared" si="281"/>
        <v>-1.947452250877699</v>
      </c>
      <c r="AJ815" s="39">
        <f t="shared" si="282"/>
        <v>7.9565412340017474</v>
      </c>
      <c r="AK815" s="37">
        <f t="shared" si="283"/>
        <v>270069.98687559797</v>
      </c>
      <c r="AL815" s="37">
        <f t="shared" si="284"/>
        <v>280510.13655615214</v>
      </c>
      <c r="AM815" s="37">
        <f t="shared" si="285"/>
        <v>252528.11467442263</v>
      </c>
    </row>
    <row r="816" spans="12:39">
      <c r="L816">
        <v>812</v>
      </c>
      <c r="M816" s="37">
        <f t="shared" si="270"/>
        <v>5.1019464694297847</v>
      </c>
      <c r="N816" s="37">
        <f t="shared" si="264"/>
        <v>21898.895477608821</v>
      </c>
      <c r="O816" s="37">
        <f t="shared" si="265"/>
        <v>2874.6139658276352</v>
      </c>
      <c r="R816" s="37">
        <f t="shared" si="266"/>
        <v>-18670.773165673825</v>
      </c>
      <c r="S816" s="37">
        <f t="shared" si="267"/>
        <v>6762.2297760793444</v>
      </c>
      <c r="V816" s="37">
        <f t="shared" si="268"/>
        <v>-3101.1045223911774</v>
      </c>
      <c r="W816" s="37">
        <f t="shared" si="269"/>
        <v>-19625.386034172363</v>
      </c>
      <c r="Y816" s="37">
        <f t="shared" si="271"/>
        <v>55454.857889169711</v>
      </c>
      <c r="Z816" s="37">
        <f t="shared" si="272"/>
        <v>-261019.46749157956</v>
      </c>
      <c r="AA816" s="37">
        <f t="shared" si="273"/>
        <v>835.07527026656885</v>
      </c>
      <c r="AB816" s="37">
        <f t="shared" si="274"/>
        <v>-1459.3615852759183</v>
      </c>
      <c r="AC816" s="37">
        <f t="shared" si="275"/>
        <v>-3.482730856520508</v>
      </c>
      <c r="AD816" s="37">
        <f t="shared" si="276"/>
        <v>17.149630479176288</v>
      </c>
      <c r="AE816" s="39">
        <f t="shared" si="277"/>
        <v>-0.93239554569893124</v>
      </c>
      <c r="AF816" s="39">
        <f t="shared" si="278"/>
        <v>7.0615529247143423</v>
      </c>
      <c r="AG816" s="39">
        <f t="shared" si="279"/>
        <v>-0.60805327666381082</v>
      </c>
      <c r="AH816" s="39">
        <f t="shared" si="280"/>
        <v>2.1840114719981414</v>
      </c>
      <c r="AI816" s="39">
        <f t="shared" si="281"/>
        <v>-1.9422820341577662</v>
      </c>
      <c r="AJ816" s="39">
        <f t="shared" si="282"/>
        <v>7.904066082463804</v>
      </c>
      <c r="AK816" s="37">
        <f t="shared" si="283"/>
        <v>270850.05329499696</v>
      </c>
      <c r="AL816" s="37">
        <f t="shared" si="284"/>
        <v>281327.18912059348</v>
      </c>
      <c r="AM816" s="37">
        <f t="shared" si="285"/>
        <v>253338.44601094417</v>
      </c>
    </row>
    <row r="817" spans="12:39">
      <c r="L817">
        <v>813</v>
      </c>
      <c r="M817" s="37">
        <f t="shared" si="270"/>
        <v>5.1082296547369639</v>
      </c>
      <c r="N817" s="37">
        <f t="shared" si="264"/>
        <v>21927.919961386797</v>
      </c>
      <c r="O817" s="37">
        <f t="shared" si="265"/>
        <v>2886.6363006493493</v>
      </c>
      <c r="R817" s="37">
        <f t="shared" si="266"/>
        <v>-18650.456027029242</v>
      </c>
      <c r="S817" s="37">
        <f t="shared" si="267"/>
        <v>6770.6454104545446</v>
      </c>
      <c r="V817" s="37">
        <f t="shared" si="268"/>
        <v>-3072.0800386132014</v>
      </c>
      <c r="W817" s="37">
        <f t="shared" si="269"/>
        <v>-19613.363699350652</v>
      </c>
      <c r="Y817" s="37">
        <f t="shared" si="271"/>
        <v>55871.960182945928</v>
      </c>
      <c r="Z817" s="37">
        <f t="shared" si="272"/>
        <v>-261747.00458040761</v>
      </c>
      <c r="AA817" s="37">
        <f t="shared" si="273"/>
        <v>833.33390483830863</v>
      </c>
      <c r="AB817" s="37">
        <f t="shared" si="274"/>
        <v>-1450.7867700363302</v>
      </c>
      <c r="AC817" s="37">
        <f t="shared" si="275"/>
        <v>-3.4786209488711086</v>
      </c>
      <c r="AD817" s="37">
        <f t="shared" si="276"/>
        <v>17.043620628806146</v>
      </c>
      <c r="AE817" s="39">
        <f t="shared" si="277"/>
        <v>-0.93531266320837103</v>
      </c>
      <c r="AF817" s="39">
        <f t="shared" si="278"/>
        <v>7.0202501237917128</v>
      </c>
      <c r="AG817" s="39">
        <f t="shared" si="279"/>
        <v>-0.60614860554607519</v>
      </c>
      <c r="AH817" s="39">
        <f t="shared" si="280"/>
        <v>2.1710137380207244</v>
      </c>
      <c r="AI817" s="39">
        <f t="shared" si="281"/>
        <v>-1.9371596801166624</v>
      </c>
      <c r="AJ817" s="39">
        <f t="shared" si="282"/>
        <v>7.8523567669937071</v>
      </c>
      <c r="AK817" s="37">
        <f t="shared" si="283"/>
        <v>271626.11620182788</v>
      </c>
      <c r="AL817" s="37">
        <f t="shared" si="284"/>
        <v>282140.01637560496</v>
      </c>
      <c r="AM817" s="37">
        <f t="shared" si="285"/>
        <v>254144.60412512763</v>
      </c>
    </row>
    <row r="818" spans="12:39">
      <c r="L818">
        <v>814</v>
      </c>
      <c r="M818" s="37">
        <f t="shared" si="270"/>
        <v>5.1145128400441431</v>
      </c>
      <c r="N818" s="37">
        <f t="shared" si="264"/>
        <v>21956.868334185827</v>
      </c>
      <c r="O818" s="37">
        <f t="shared" si="265"/>
        <v>2898.8407631705695</v>
      </c>
      <c r="R818" s="37">
        <f t="shared" si="266"/>
        <v>-18630.192166069923</v>
      </c>
      <c r="S818" s="37">
        <f t="shared" si="267"/>
        <v>6779.1885342193982</v>
      </c>
      <c r="V818" s="37">
        <f t="shared" si="268"/>
        <v>-3043.1316658141732</v>
      </c>
      <c r="W818" s="37">
        <f t="shared" si="269"/>
        <v>-19601.15923682943</v>
      </c>
      <c r="Y818" s="37">
        <f t="shared" si="271"/>
        <v>56288.192307746474</v>
      </c>
      <c r="Z818" s="37">
        <f t="shared" si="272"/>
        <v>-262470.2675128472</v>
      </c>
      <c r="AA818" s="37">
        <f t="shared" si="273"/>
        <v>831.59459436387306</v>
      </c>
      <c r="AB818" s="37">
        <f t="shared" si="274"/>
        <v>-1442.264959721927</v>
      </c>
      <c r="AC818" s="37">
        <f t="shared" si="275"/>
        <v>-3.4745050868830565</v>
      </c>
      <c r="AD818" s="37">
        <f t="shared" si="276"/>
        <v>16.93909480586559</v>
      </c>
      <c r="AE818" s="39">
        <f t="shared" si="277"/>
        <v>-0.93815352065480162</v>
      </c>
      <c r="AF818" s="39">
        <f t="shared" si="278"/>
        <v>6.9795032717909633</v>
      </c>
      <c r="AG818" s="39">
        <f t="shared" si="279"/>
        <v>-0.60426665535460566</v>
      </c>
      <c r="AH818" s="39">
        <f t="shared" si="280"/>
        <v>2.1581937158687197</v>
      </c>
      <c r="AI818" s="39">
        <f t="shared" si="281"/>
        <v>-1.9320849108736491</v>
      </c>
      <c r="AJ818" s="39">
        <f t="shared" si="282"/>
        <v>7.8013978182059072</v>
      </c>
      <c r="AK818" s="37">
        <f t="shared" si="283"/>
        <v>272398.19794176734</v>
      </c>
      <c r="AL818" s="37">
        <f t="shared" si="284"/>
        <v>282948.64368663484</v>
      </c>
      <c r="AM818" s="37">
        <f t="shared" si="285"/>
        <v>254946.61366496215</v>
      </c>
    </row>
    <row r="819" spans="12:39">
      <c r="L819">
        <v>815</v>
      </c>
      <c r="M819" s="37">
        <f t="shared" si="270"/>
        <v>5.1207960253513223</v>
      </c>
      <c r="N819" s="37">
        <f t="shared" si="264"/>
        <v>21985.739453173715</v>
      </c>
      <c r="O819" s="37">
        <f t="shared" si="265"/>
        <v>2911.2268715800128</v>
      </c>
      <c r="R819" s="37">
        <f t="shared" si="266"/>
        <v>-18609.982382778398</v>
      </c>
      <c r="S819" s="37">
        <f t="shared" si="267"/>
        <v>6787.8588101060086</v>
      </c>
      <c r="V819" s="37">
        <f t="shared" si="268"/>
        <v>-3014.2605468262836</v>
      </c>
      <c r="W819" s="37">
        <f t="shared" si="269"/>
        <v>-19588.773128419987</v>
      </c>
      <c r="Y819" s="37">
        <f t="shared" si="271"/>
        <v>56703.555291792552</v>
      </c>
      <c r="Z819" s="37">
        <f t="shared" si="272"/>
        <v>-263189.28260585741</v>
      </c>
      <c r="AA819" s="37">
        <f t="shared" si="273"/>
        <v>829.85734182043154</v>
      </c>
      <c r="AB819" s="37">
        <f t="shared" si="274"/>
        <v>-1433.7954123189941</v>
      </c>
      <c r="AC819" s="37">
        <f t="shared" si="275"/>
        <v>-3.4703849031197334</v>
      </c>
      <c r="AD819" s="37">
        <f t="shared" si="276"/>
        <v>16.836024313428812</v>
      </c>
      <c r="AE819" s="39">
        <f t="shared" si="277"/>
        <v>-0.94092036442373006</v>
      </c>
      <c r="AF819" s="39">
        <f t="shared" si="278"/>
        <v>6.9393021033048354</v>
      </c>
      <c r="AG819" s="39">
        <f t="shared" si="279"/>
        <v>-0.60240709598113451</v>
      </c>
      <c r="AH819" s="39">
        <f t="shared" si="280"/>
        <v>2.1455480357032881</v>
      </c>
      <c r="AI819" s="39">
        <f t="shared" si="281"/>
        <v>-1.9270574427148688</v>
      </c>
      <c r="AJ819" s="39">
        <f t="shared" si="282"/>
        <v>7.7511741744206892</v>
      </c>
      <c r="AK819" s="37">
        <f t="shared" si="283"/>
        <v>273166.32056081039</v>
      </c>
      <c r="AL819" s="37">
        <f t="shared" si="284"/>
        <v>283753.09606258769</v>
      </c>
      <c r="AM819" s="37">
        <f t="shared" si="285"/>
        <v>255744.49893606207</v>
      </c>
    </row>
    <row r="820" spans="12:39">
      <c r="L820">
        <v>816</v>
      </c>
      <c r="M820" s="37">
        <f t="shared" si="270"/>
        <v>5.1270792106585015</v>
      </c>
      <c r="N820" s="37">
        <f t="shared" si="264"/>
        <v>22014.532178568126</v>
      </c>
      <c r="O820" s="37">
        <f t="shared" si="265"/>
        <v>2923.7941368953298</v>
      </c>
      <c r="R820" s="37">
        <f t="shared" si="266"/>
        <v>-18589.827475002312</v>
      </c>
      <c r="S820" s="37">
        <f t="shared" si="267"/>
        <v>6796.6558958267306</v>
      </c>
      <c r="V820" s="37">
        <f t="shared" si="268"/>
        <v>-2985.4678214318747</v>
      </c>
      <c r="W820" s="37">
        <f t="shared" si="269"/>
        <v>-19576.205863104671</v>
      </c>
      <c r="Y820" s="37">
        <f t="shared" si="271"/>
        <v>57118.050164589877</v>
      </c>
      <c r="Z820" s="37">
        <f t="shared" si="272"/>
        <v>-263904.07580897777</v>
      </c>
      <c r="AA820" s="37">
        <f t="shared" si="273"/>
        <v>828.12214936887165</v>
      </c>
      <c r="AB820" s="37">
        <f t="shared" si="274"/>
        <v>-1425.3774001622796</v>
      </c>
      <c r="AC820" s="37">
        <f t="shared" si="275"/>
        <v>-3.466261961041603</v>
      </c>
      <c r="AD820" s="37">
        <f t="shared" si="276"/>
        <v>16.734381181734651</v>
      </c>
      <c r="AE820" s="39">
        <f t="shared" si="277"/>
        <v>-0.9436153702860538</v>
      </c>
      <c r="AF820" s="39">
        <f t="shared" si="278"/>
        <v>6.8996366014923325</v>
      </c>
      <c r="AG820" s="39">
        <f t="shared" si="279"/>
        <v>-0.60056960409714433</v>
      </c>
      <c r="AH820" s="39">
        <f t="shared" si="280"/>
        <v>2.133073411712429</v>
      </c>
      <c r="AI820" s="39">
        <f t="shared" si="281"/>
        <v>-1.9220769866584051</v>
      </c>
      <c r="AJ820" s="39">
        <f t="shared" si="282"/>
        <v>7.7016711685298889</v>
      </c>
      <c r="AK820" s="37">
        <f t="shared" si="283"/>
        <v>273930.50581077376</v>
      </c>
      <c r="AL820" s="37">
        <f t="shared" si="284"/>
        <v>284553.39816273225</v>
      </c>
      <c r="AM820" s="37">
        <f t="shared" si="285"/>
        <v>256538.28390821486</v>
      </c>
    </row>
    <row r="821" spans="12:39">
      <c r="L821">
        <v>817</v>
      </c>
      <c r="M821" s="37">
        <f t="shared" si="270"/>
        <v>5.1333623959656807</v>
      </c>
      <c r="N821" s="37">
        <f t="shared" si="264"/>
        <v>22043.245373681555</v>
      </c>
      <c r="O821" s="37">
        <f t="shared" si="265"/>
        <v>2936.5420629824011</v>
      </c>
      <c r="R821" s="37">
        <f t="shared" si="266"/>
        <v>-18569.728238422911</v>
      </c>
      <c r="S821" s="37">
        <f t="shared" si="267"/>
        <v>6805.5794440876807</v>
      </c>
      <c r="V821" s="37">
        <f t="shared" si="268"/>
        <v>-2956.754626318444</v>
      </c>
      <c r="W821" s="37">
        <f t="shared" si="269"/>
        <v>-19563.4579370176</v>
      </c>
      <c r="Y821" s="37">
        <f t="shared" si="271"/>
        <v>57531.67795652918</v>
      </c>
      <c r="Z821" s="37">
        <f t="shared" si="272"/>
        <v>-264614.6727114112</v>
      </c>
      <c r="AA821" s="37">
        <f t="shared" si="273"/>
        <v>826.38901838835079</v>
      </c>
      <c r="AB821" s="37">
        <f t="shared" si="274"/>
        <v>-1417.0102095714124</v>
      </c>
      <c r="AC821" s="37">
        <f t="shared" si="275"/>
        <v>-3.4621377579125712</v>
      </c>
      <c r="AD821" s="37">
        <f t="shared" si="276"/>
        <v>16.634138145620689</v>
      </c>
      <c r="AE821" s="39">
        <f t="shared" si="277"/>
        <v>-0.94624064594443047</v>
      </c>
      <c r="AF821" s="39">
        <f t="shared" si="278"/>
        <v>6.8604969907189988</v>
      </c>
      <c r="AG821" s="39">
        <f t="shared" si="279"/>
        <v>-0.5987538629827861</v>
      </c>
      <c r="AH821" s="39">
        <f t="shared" si="280"/>
        <v>2.1207666395392915</v>
      </c>
      <c r="AI821" s="39">
        <f t="shared" si="281"/>
        <v>-1.9171432489853548</v>
      </c>
      <c r="AJ821" s="39">
        <f t="shared" si="282"/>
        <v>7.6528745153623978</v>
      </c>
      <c r="AK821" s="37">
        <f t="shared" si="283"/>
        <v>274690.77515466564</v>
      </c>
      <c r="AL821" s="37">
        <f t="shared" si="284"/>
        <v>285349.57430343301</v>
      </c>
      <c r="AM821" s="37">
        <f t="shared" si="285"/>
        <v>257327.99222176356</v>
      </c>
    </row>
    <row r="822" spans="12:39">
      <c r="L822">
        <v>818</v>
      </c>
      <c r="M822" s="37">
        <f t="shared" si="270"/>
        <v>5.1396455812728599</v>
      </c>
      <c r="N822" s="37">
        <f t="shared" si="264"/>
        <v>22071.87790496623</v>
      </c>
      <c r="O822" s="37">
        <f t="shared" si="265"/>
        <v>2949.4701465749349</v>
      </c>
      <c r="R822" s="37">
        <f t="shared" si="266"/>
        <v>-18549.685466523639</v>
      </c>
      <c r="S822" s="37">
        <f t="shared" si="267"/>
        <v>6814.6291026024537</v>
      </c>
      <c r="V822" s="37">
        <f t="shared" si="268"/>
        <v>-2928.1220950337702</v>
      </c>
      <c r="W822" s="37">
        <f t="shared" si="269"/>
        <v>-19550.529853425065</v>
      </c>
      <c r="Y822" s="37">
        <f t="shared" si="271"/>
        <v>57944.439698503615</v>
      </c>
      <c r="Z822" s="37">
        <f t="shared" si="272"/>
        <v>-265321.09854892874</v>
      </c>
      <c r="AA822" s="37">
        <f t="shared" si="273"/>
        <v>824.65794950939448</v>
      </c>
      <c r="AB822" s="37">
        <f t="shared" si="274"/>
        <v>-1408.6931404986019</v>
      </c>
      <c r="AC822" s="37">
        <f t="shared" si="275"/>
        <v>-3.4580137275753264</v>
      </c>
      <c r="AD822" s="37">
        <f t="shared" si="276"/>
        <v>16.535268622785352</v>
      </c>
      <c r="AE822" s="39">
        <f t="shared" si="277"/>
        <v>-0.94879823347562153</v>
      </c>
      <c r="AF822" s="39">
        <f t="shared" si="278"/>
        <v>6.821873729454758</v>
      </c>
      <c r="AG822" s="39">
        <f t="shared" si="279"/>
        <v>-0.5969595623609727</v>
      </c>
      <c r="AH822" s="39">
        <f t="shared" si="280"/>
        <v>2.1086245938036554</v>
      </c>
      <c r="AI822" s="39">
        <f t="shared" si="281"/>
        <v>-1.9122559317387324</v>
      </c>
      <c r="AJ822" s="39">
        <f t="shared" si="282"/>
        <v>7.6047702995269404</v>
      </c>
      <c r="AK822" s="37">
        <f t="shared" si="283"/>
        <v>275447.1497719257</v>
      </c>
      <c r="AL822" s="37">
        <f t="shared" si="284"/>
        <v>286141.64846471162</v>
      </c>
      <c r="AM822" s="37">
        <f t="shared" si="285"/>
        <v>258113.6471938302</v>
      </c>
    </row>
    <row r="823" spans="12:39">
      <c r="L823">
        <v>819</v>
      </c>
      <c r="M823" s="37">
        <f t="shared" si="270"/>
        <v>5.1459287665800391</v>
      </c>
      <c r="N823" s="37">
        <f t="shared" si="264"/>
        <v>22100.42864205884</v>
      </c>
      <c r="O823" s="37">
        <f t="shared" si="265"/>
        <v>2962.5778772943268</v>
      </c>
      <c r="R823" s="37">
        <f t="shared" si="266"/>
        <v>-18529.699950558814</v>
      </c>
      <c r="S823" s="37">
        <f t="shared" si="267"/>
        <v>6823.8045141060284</v>
      </c>
      <c r="V823" s="37">
        <f t="shared" si="268"/>
        <v>-2899.5713579411604</v>
      </c>
      <c r="W823" s="37">
        <f t="shared" si="269"/>
        <v>-19537.422122705673</v>
      </c>
      <c r="Y823" s="37">
        <f t="shared" si="271"/>
        <v>58356.336421542364</v>
      </c>
      <c r="Z823" s="37">
        <f t="shared" si="272"/>
        <v>-266023.37821060017</v>
      </c>
      <c r="AA823" s="37">
        <f t="shared" si="273"/>
        <v>822.92894264560687</v>
      </c>
      <c r="AB823" s="37">
        <f t="shared" si="274"/>
        <v>-1400.4255061872093</v>
      </c>
      <c r="AC823" s="37">
        <f t="shared" si="275"/>
        <v>-3.4538912431022508</v>
      </c>
      <c r="AD823" s="37">
        <f t="shared" si="276"/>
        <v>16.437746692843174</v>
      </c>
      <c r="AE823" s="39">
        <f t="shared" si="277"/>
        <v>-0.95129011167350197</v>
      </c>
      <c r="AF823" s="39">
        <f t="shared" si="278"/>
        <v>6.7837575034183182</v>
      </c>
      <c r="AG823" s="39">
        <f t="shared" si="279"/>
        <v>-0.59518639823652286</v>
      </c>
      <c r="AH823" s="39">
        <f t="shared" si="280"/>
        <v>2.0966442257129057</v>
      </c>
      <c r="AI823" s="39">
        <f t="shared" si="281"/>
        <v>-1.9074147331922258</v>
      </c>
      <c r="AJ823" s="39">
        <f t="shared" si="282"/>
        <v>7.557344963711949</v>
      </c>
      <c r="AK823" s="37">
        <f t="shared" si="283"/>
        <v>276199.65056353994</v>
      </c>
      <c r="AL823" s="37">
        <f t="shared" si="284"/>
        <v>286929.6442966428</v>
      </c>
      <c r="AM823" s="37">
        <f t="shared" si="285"/>
        <v>258895.27182438399</v>
      </c>
    </row>
    <row r="824" spans="12:39">
      <c r="L824">
        <v>820</v>
      </c>
      <c r="M824" s="37">
        <f t="shared" si="270"/>
        <v>5.1522119518872183</v>
      </c>
      <c r="N824" s="37">
        <f t="shared" si="264"/>
        <v>22128.896457825169</v>
      </c>
      <c r="O824" s="37">
        <f t="shared" si="265"/>
        <v>2975.8647376698118</v>
      </c>
      <c r="R824" s="37">
        <f t="shared" si="266"/>
        <v>-18509.77247952238</v>
      </c>
      <c r="S824" s="37">
        <f t="shared" si="267"/>
        <v>6833.1053163688684</v>
      </c>
      <c r="V824" s="37">
        <f t="shared" si="268"/>
        <v>-2871.1035421748297</v>
      </c>
      <c r="W824" s="37">
        <f t="shared" si="269"/>
        <v>-19524.135262330186</v>
      </c>
      <c r="Y824" s="37">
        <f t="shared" si="271"/>
        <v>58767.369156459783</v>
      </c>
      <c r="Z824" s="37">
        <f t="shared" si="272"/>
        <v>-266721.53624535719</v>
      </c>
      <c r="AA824" s="37">
        <f t="shared" si="273"/>
        <v>821.20199702405569</v>
      </c>
      <c r="AB824" s="37">
        <f t="shared" si="274"/>
        <v>-1392.2066328407877</v>
      </c>
      <c r="AC824" s="37">
        <f t="shared" si="275"/>
        <v>-3.4497716193281036</v>
      </c>
      <c r="AD824" s="37">
        <f t="shared" si="276"/>
        <v>16.341547077141065</v>
      </c>
      <c r="AE824" s="39">
        <f t="shared" si="277"/>
        <v>-0.95371819829749183</v>
      </c>
      <c r="AF824" s="39">
        <f t="shared" si="278"/>
        <v>6.7461392189599696</v>
      </c>
      <c r="AG824" s="39">
        <f t="shared" si="279"/>
        <v>-0.59343407274013504</v>
      </c>
      <c r="AH824" s="39">
        <f t="shared" si="280"/>
        <v>2.0848225607586097</v>
      </c>
      <c r="AI824" s="39">
        <f t="shared" si="281"/>
        <v>-1.9026193482904765</v>
      </c>
      <c r="AJ824" s="39">
        <f t="shared" si="282"/>
        <v>7.5105852974224874</v>
      </c>
      <c r="AK824" s="37">
        <f t="shared" si="283"/>
        <v>276948.29815703322</v>
      </c>
      <c r="AL824" s="37">
        <f t="shared" si="284"/>
        <v>287713.58512559073</v>
      </c>
      <c r="AM824" s="37">
        <f t="shared" si="285"/>
        <v>259672.88880215987</v>
      </c>
    </row>
    <row r="825" spans="12:39">
      <c r="L825">
        <v>821</v>
      </c>
      <c r="M825" s="37">
        <f t="shared" si="270"/>
        <v>5.1584951371943975</v>
      </c>
      <c r="N825" s="37">
        <f t="shared" si="264"/>
        <v>22157.280228404601</v>
      </c>
      <c r="O825" s="37">
        <f t="shared" si="265"/>
        <v>2989.3302031588928</v>
      </c>
      <c r="R825" s="37">
        <f t="shared" si="266"/>
        <v>-18489.903840116778</v>
      </c>
      <c r="S825" s="37">
        <f t="shared" si="267"/>
        <v>6842.5311422112245</v>
      </c>
      <c r="V825" s="37">
        <f t="shared" si="268"/>
        <v>-2842.7197715953994</v>
      </c>
      <c r="W825" s="37">
        <f t="shared" si="269"/>
        <v>-19510.669796841106</v>
      </c>
      <c r="Y825" s="37">
        <f t="shared" si="271"/>
        <v>59177.53893351939</v>
      </c>
      <c r="Z825" s="37">
        <f t="shared" si="272"/>
        <v>-267415.59686839295</v>
      </c>
      <c r="AA825" s="37">
        <f t="shared" si="273"/>
        <v>819.47711121439158</v>
      </c>
      <c r="AB825" s="37">
        <f t="shared" si="274"/>
        <v>-1384.0358593022172</v>
      </c>
      <c r="AC825" s="37">
        <f t="shared" si="275"/>
        <v>-3.4456561152699026</v>
      </c>
      <c r="AD825" s="37">
        <f t="shared" si="276"/>
        <v>16.246645119301451</v>
      </c>
      <c r="AE825" s="39">
        <f t="shared" si="277"/>
        <v>-0.95608435223041111</v>
      </c>
      <c r="AF825" s="39">
        <f t="shared" si="278"/>
        <v>6.7090099966711376</v>
      </c>
      <c r="AG825" s="39">
        <f t="shared" si="279"/>
        <v>-0.59170229397700336</v>
      </c>
      <c r="AH825" s="39">
        <f t="shared" si="280"/>
        <v>2.073156696495106</v>
      </c>
      <c r="AI825" s="39">
        <f t="shared" si="281"/>
        <v>-1.897869469062488</v>
      </c>
      <c r="AJ825" s="39">
        <f t="shared" si="282"/>
        <v>7.4644784261352095</v>
      </c>
      <c r="AK825" s="37">
        <f t="shared" si="283"/>
        <v>277693.11291134352</v>
      </c>
      <c r="AL825" s="37">
        <f t="shared" si="284"/>
        <v>288493.49396028969</v>
      </c>
      <c r="AM825" s="37">
        <f t="shared" si="285"/>
        <v>260446.5205104312</v>
      </c>
    </row>
    <row r="826" spans="12:39">
      <c r="L826">
        <v>822</v>
      </c>
      <c r="M826" s="37">
        <f t="shared" si="270"/>
        <v>5.1647783225015766</v>
      </c>
      <c r="N826" s="37">
        <f t="shared" si="264"/>
        <v>22185.578833254469</v>
      </c>
      <c r="O826" s="37">
        <f t="shared" si="265"/>
        <v>3002.9737421680493</v>
      </c>
      <c r="R826" s="37">
        <f t="shared" si="266"/>
        <v>-18470.09481672187</v>
      </c>
      <c r="S826" s="37">
        <f t="shared" si="267"/>
        <v>6852.0816195176349</v>
      </c>
      <c r="V826" s="37">
        <f t="shared" si="268"/>
        <v>-2814.4211667455306</v>
      </c>
      <c r="W826" s="37">
        <f t="shared" si="269"/>
        <v>-19497.026257831953</v>
      </c>
      <c r="Y826" s="37">
        <f t="shared" si="271"/>
        <v>59586.846782112181</v>
      </c>
      <c r="Z826" s="37">
        <f t="shared" si="272"/>
        <v>-268105.58396740415</v>
      </c>
      <c r="AA826" s="37">
        <f t="shared" si="273"/>
        <v>817.75428315675663</v>
      </c>
      <c r="AB826" s="37">
        <f t="shared" si="274"/>
        <v>-1375.9125367425665</v>
      </c>
      <c r="AC826" s="37">
        <f t="shared" si="275"/>
        <v>-3.4415459364398622</v>
      </c>
      <c r="AD826" s="37">
        <f t="shared" si="276"/>
        <v>16.15301676646413</v>
      </c>
      <c r="AE826" s="39">
        <f t="shared" si="277"/>
        <v>-0.95839037555003537</v>
      </c>
      <c r="AF826" s="39">
        <f t="shared" si="278"/>
        <v>6.6723611652131192</v>
      </c>
      <c r="AG826" s="39">
        <f t="shared" si="279"/>
        <v>-0.58999077587995152</v>
      </c>
      <c r="AH826" s="39">
        <f t="shared" si="280"/>
        <v>2.0616438003968529</v>
      </c>
      <c r="AI826" s="39">
        <f t="shared" si="281"/>
        <v>-1.8931647850098752</v>
      </c>
      <c r="AJ826" s="39">
        <f t="shared" si="282"/>
        <v>7.4190118008541575</v>
      </c>
      <c r="AK826" s="37">
        <f t="shared" si="283"/>
        <v>278434.11492158117</v>
      </c>
      <c r="AL826" s="37">
        <f t="shared" si="284"/>
        <v>289269.39349777444</v>
      </c>
      <c r="AM826" s="37">
        <f t="shared" si="285"/>
        <v>261216.18903264153</v>
      </c>
    </row>
    <row r="827" spans="12:39">
      <c r="L827">
        <v>823</v>
      </c>
      <c r="M827" s="37">
        <f t="shared" si="270"/>
        <v>5.1710615078087558</v>
      </c>
      <c r="N827" s="37">
        <f t="shared" si="264"/>
        <v>22213.791155194311</v>
      </c>
      <c r="O827" s="37">
        <f t="shared" si="265"/>
        <v>3016.7948160737233</v>
      </c>
      <c r="R827" s="37">
        <f t="shared" si="266"/>
        <v>-18450.346191363984</v>
      </c>
      <c r="S827" s="37">
        <f t="shared" si="267"/>
        <v>6861.7563712516057</v>
      </c>
      <c r="V827" s="37">
        <f t="shared" si="268"/>
        <v>-2786.2088448056888</v>
      </c>
      <c r="W827" s="37">
        <f t="shared" si="269"/>
        <v>-19483.205183926279</v>
      </c>
      <c r="Y827" s="37">
        <f t="shared" si="271"/>
        <v>59995.293730448502</v>
      </c>
      <c r="Z827" s="37">
        <f t="shared" si="272"/>
        <v>-268791.52110867959</v>
      </c>
      <c r="AA827" s="37">
        <f t="shared" si="273"/>
        <v>816.03351018853675</v>
      </c>
      <c r="AB827" s="37">
        <f t="shared" si="274"/>
        <v>-1367.8360283593345</v>
      </c>
      <c r="AC827" s="37">
        <f t="shared" si="275"/>
        <v>-3.4374422370564317</v>
      </c>
      <c r="AD827" s="37">
        <f t="shared" si="276"/>
        <v>16.060638551197531</v>
      </c>
      <c r="AE827" s="39">
        <f t="shared" si="277"/>
        <v>-0.96063801551824346</v>
      </c>
      <c r="AF827" s="39">
        <f t="shared" si="278"/>
        <v>6.636184255356449</v>
      </c>
      <c r="AG827" s="39">
        <f t="shared" si="279"/>
        <v>-0.5882992380669575</v>
      </c>
      <c r="AH827" s="39">
        <f t="shared" si="280"/>
        <v>2.0502811077914238</v>
      </c>
      <c r="AI827" s="39">
        <f t="shared" si="281"/>
        <v>-1.8885049834712309</v>
      </c>
      <c r="AJ827" s="39">
        <f t="shared" si="282"/>
        <v>7.3741731880496593</v>
      </c>
      <c r="AK827" s="37">
        <f t="shared" si="283"/>
        <v>279171.32402367692</v>
      </c>
      <c r="AL827" s="37">
        <f t="shared" si="284"/>
        <v>290041.30612916511</v>
      </c>
      <c r="AM827" s="37">
        <f t="shared" si="285"/>
        <v>261981.9161578994</v>
      </c>
    </row>
    <row r="828" spans="12:39">
      <c r="L828">
        <v>824</v>
      </c>
      <c r="M828" s="37">
        <f t="shared" si="270"/>
        <v>5.177344693115935</v>
      </c>
      <c r="N828" s="37">
        <f t="shared" si="264"/>
        <v>22241.916080449962</v>
      </c>
      <c r="O828" s="37">
        <f t="shared" si="265"/>
        <v>3030.7928792435814</v>
      </c>
      <c r="R828" s="37">
        <f t="shared" si="266"/>
        <v>-18430.658743685024</v>
      </c>
      <c r="S828" s="37">
        <f t="shared" si="267"/>
        <v>6871.555015470507</v>
      </c>
      <c r="V828" s="37">
        <f t="shared" si="268"/>
        <v>-2758.0839195500366</v>
      </c>
      <c r="W828" s="37">
        <f t="shared" si="269"/>
        <v>-19469.207120756419</v>
      </c>
      <c r="Y828" s="37">
        <f t="shared" si="271"/>
        <v>60402.880805263143</v>
      </c>
      <c r="Z828" s="37">
        <f t="shared" si="272"/>
        <v>-269473.43154304038</v>
      </c>
      <c r="AA828" s="37">
        <f t="shared" si="273"/>
        <v>814.31478907000849</v>
      </c>
      <c r="AB828" s="37">
        <f t="shared" si="274"/>
        <v>-1359.8057090837358</v>
      </c>
      <c r="AC828" s="37">
        <f t="shared" si="275"/>
        <v>-3.4333461221581167</v>
      </c>
      <c r="AD828" s="37">
        <f t="shared" si="276"/>
        <v>15.969487574050389</v>
      </c>
      <c r="AE828" s="39">
        <f t="shared" si="277"/>
        <v>-0.96282896649122784</v>
      </c>
      <c r="AF828" s="39">
        <f t="shared" si="278"/>
        <v>6.6004709942211628</v>
      </c>
      <c r="AG828" s="39">
        <f t="shared" si="279"/>
        <v>-0.58662740570279515</v>
      </c>
      <c r="AH828" s="39">
        <f t="shared" si="280"/>
        <v>2.0390659198646475</v>
      </c>
      <c r="AI828" s="39">
        <f t="shared" si="281"/>
        <v>-1.8838897499640939</v>
      </c>
      <c r="AJ828" s="39">
        <f t="shared" si="282"/>
        <v>7.3299506599645792</v>
      </c>
      <c r="AK828" s="37">
        <f t="shared" si="283"/>
        <v>279904.75979892089</v>
      </c>
      <c r="AL828" s="37">
        <f t="shared" si="284"/>
        <v>290809.25394531008</v>
      </c>
      <c r="AM828" s="37">
        <f t="shared" si="285"/>
        <v>262743.72338634072</v>
      </c>
    </row>
    <row r="829" spans="12:39">
      <c r="L829">
        <v>825</v>
      </c>
      <c r="M829" s="37">
        <f t="shared" si="270"/>
        <v>5.1836278784231142</v>
      </c>
      <c r="N829" s="37">
        <f t="shared" si="264"/>
        <v>22269.952498697534</v>
      </c>
      <c r="O829" s="37">
        <f t="shared" si="265"/>
        <v>3044.9673790580591</v>
      </c>
      <c r="R829" s="37">
        <f t="shared" si="266"/>
        <v>-18411.033250911725</v>
      </c>
      <c r="S829" s="37">
        <f t="shared" si="267"/>
        <v>6881.4771653406415</v>
      </c>
      <c r="V829" s="37">
        <f t="shared" si="268"/>
        <v>-2730.0475013024648</v>
      </c>
      <c r="W829" s="37">
        <f t="shared" si="269"/>
        <v>-19455.03262094194</v>
      </c>
      <c r="Y829" s="37">
        <f t="shared" si="271"/>
        <v>60809.609031532877</v>
      </c>
      <c r="Z829" s="37">
        <f t="shared" si="272"/>
        <v>-270151.33821163548</v>
      </c>
      <c r="AA829" s="37">
        <f t="shared" si="273"/>
        <v>812.59811600892942</v>
      </c>
      <c r="AB829" s="37">
        <f t="shared" si="274"/>
        <v>-1351.8209652967107</v>
      </c>
      <c r="AC829" s="37">
        <f t="shared" si="275"/>
        <v>-3.4292586496251527</v>
      </c>
      <c r="AD829" s="37">
        <f t="shared" si="276"/>
        <v>15.879541486720075</v>
      </c>
      <c r="AE829" s="39">
        <f t="shared" si="277"/>
        <v>-0.96496487175457135</v>
      </c>
      <c r="AF829" s="39">
        <f t="shared" si="278"/>
        <v>6.5652132997122292</v>
      </c>
      <c r="AG829" s="39">
        <f t="shared" si="279"/>
        <v>-0.58497500936481672</v>
      </c>
      <c r="AH829" s="39">
        <f t="shared" si="280"/>
        <v>2.0279956017355421</v>
      </c>
      <c r="AI829" s="39">
        <f t="shared" si="281"/>
        <v>-1.8793187685057646</v>
      </c>
      <c r="AJ829" s="39">
        <f t="shared" si="282"/>
        <v>7.2863325852723051</v>
      </c>
      <c r="AK829" s="37">
        <f t="shared" si="283"/>
        <v>280634.44157839671</v>
      </c>
      <c r="AL829" s="37">
        <f t="shared" si="284"/>
        <v>291573.25874229165</v>
      </c>
      <c r="AM829" s="37">
        <f t="shared" si="285"/>
        <v>263501.6319343613</v>
      </c>
    </row>
    <row r="830" spans="12:39">
      <c r="L830">
        <v>826</v>
      </c>
      <c r="M830" s="37">
        <f t="shared" si="270"/>
        <v>5.1899110637302934</v>
      </c>
      <c r="N830" s="37">
        <f t="shared" si="264"/>
        <v>22297.899303107239</v>
      </c>
      <c r="O830" s="37">
        <f t="shared" si="265"/>
        <v>3059.3177559321739</v>
      </c>
      <c r="R830" s="37">
        <f t="shared" si="266"/>
        <v>-18391.470487824932</v>
      </c>
      <c r="S830" s="37">
        <f t="shared" si="267"/>
        <v>6891.522429152521</v>
      </c>
      <c r="V830" s="37">
        <f t="shared" si="268"/>
        <v>-2702.1006968927604</v>
      </c>
      <c r="W830" s="37">
        <f t="shared" si="269"/>
        <v>-19440.682244067826</v>
      </c>
      <c r="Y830" s="37">
        <f t="shared" si="271"/>
        <v>61215.479432206135</v>
      </c>
      <c r="Z830" s="37">
        <f t="shared" si="272"/>
        <v>-270825.26375159802</v>
      </c>
      <c r="AA830" s="37">
        <f t="shared" si="273"/>
        <v>810.88348668411686</v>
      </c>
      <c r="AB830" s="37">
        <f t="shared" si="274"/>
        <v>-1343.8811945533507</v>
      </c>
      <c r="AC830" s="37">
        <f t="shared" si="275"/>
        <v>-3.4251808321130754</v>
      </c>
      <c r="AD830" s="37">
        <f t="shared" si="276"/>
        <v>15.790778475810484</v>
      </c>
      <c r="AE830" s="39">
        <f t="shared" si="277"/>
        <v>-0.96704732528625215</v>
      </c>
      <c r="AF830" s="39">
        <f t="shared" si="278"/>
        <v>6.5304032751407108</v>
      </c>
      <c r="AG830" s="39">
        <f t="shared" si="279"/>
        <v>-0.58334178491259225</v>
      </c>
      <c r="AH830" s="39">
        <f t="shared" si="280"/>
        <v>2.0170675805977538</v>
      </c>
      <c r="AI830" s="39">
        <f t="shared" si="281"/>
        <v>-1.8747917219142314</v>
      </c>
      <c r="AJ830" s="39">
        <f t="shared" si="282"/>
        <v>7.2433076200720201</v>
      </c>
      <c r="AK830" s="37">
        <f t="shared" si="283"/>
        <v>281360.38844731363</v>
      </c>
      <c r="AL830" s="37">
        <f t="shared" si="284"/>
        <v>292333.34202679939</v>
      </c>
      <c r="AM830" s="37">
        <f t="shared" si="285"/>
        <v>264255.66273972561</v>
      </c>
    </row>
    <row r="831" spans="12:39">
      <c r="L831">
        <v>827</v>
      </c>
      <c r="M831" s="37">
        <f t="shared" si="270"/>
        <v>5.1961942490374726</v>
      </c>
      <c r="N831" s="37">
        <f t="shared" si="264"/>
        <v>22325.75539038709</v>
      </c>
      <c r="O831" s="37">
        <f t="shared" si="265"/>
        <v>3073.8434433376178</v>
      </c>
      <c r="R831" s="37">
        <f t="shared" si="266"/>
        <v>-18371.971226729038</v>
      </c>
      <c r="S831" s="37">
        <f t="shared" si="267"/>
        <v>6901.6904103363322</v>
      </c>
      <c r="V831" s="37">
        <f t="shared" si="268"/>
        <v>-2674.2446096129092</v>
      </c>
      <c r="W831" s="37">
        <f t="shared" si="269"/>
        <v>-19426.156556662383</v>
      </c>
      <c r="Y831" s="37">
        <f t="shared" si="271"/>
        <v>61620.493027944183</v>
      </c>
      <c r="Z831" s="37">
        <f t="shared" si="272"/>
        <v>-271495.23050156521</v>
      </c>
      <c r="AA831" s="37">
        <f t="shared" si="273"/>
        <v>809.17089626806035</v>
      </c>
      <c r="AB831" s="37">
        <f t="shared" si="274"/>
        <v>-1335.9858053154455</v>
      </c>
      <c r="AC831" s="37">
        <f t="shared" si="275"/>
        <v>-3.4211136389024999</v>
      </c>
      <c r="AD831" s="37">
        <f t="shared" si="276"/>
        <v>15.703177247156473</v>
      </c>
      <c r="AE831" s="39">
        <f t="shared" si="277"/>
        <v>-0.96907787345088137</v>
      </c>
      <c r="AF831" s="39">
        <f t="shared" si="278"/>
        <v>6.4960332040244921</v>
      </c>
      <c r="AG831" s="39">
        <f t="shared" si="279"/>
        <v>-0.58172747336136199</v>
      </c>
      <c r="AH831" s="39">
        <f t="shared" si="280"/>
        <v>2.006279343925133</v>
      </c>
      <c r="AI831" s="39">
        <f t="shared" si="281"/>
        <v>-1.8703082920902567</v>
      </c>
      <c r="AJ831" s="39">
        <f t="shared" si="282"/>
        <v>7.2008646992068481</v>
      </c>
      <c r="AK831" s="37">
        <f t="shared" si="283"/>
        <v>282082.61924923811</v>
      </c>
      <c r="AL831" s="37">
        <f t="shared" si="284"/>
        <v>293089.52502137295</v>
      </c>
      <c r="AM831" s="37">
        <f t="shared" si="285"/>
        <v>265005.83646655298</v>
      </c>
    </row>
    <row r="832" spans="12:39">
      <c r="L832">
        <v>828</v>
      </c>
      <c r="M832" s="37">
        <f t="shared" si="270"/>
        <v>5.2024774343446518</v>
      </c>
      <c r="N832" s="37">
        <f t="shared" si="264"/>
        <v>22353.51966082646</v>
      </c>
      <c r="O832" s="37">
        <f t="shared" si="265"/>
        <v>3088.5438678251257</v>
      </c>
      <c r="R832" s="37">
        <f t="shared" si="266"/>
        <v>-18352.536237421478</v>
      </c>
      <c r="S832" s="37">
        <f t="shared" si="267"/>
        <v>6911.9807074775881</v>
      </c>
      <c r="V832" s="37">
        <f t="shared" si="268"/>
        <v>-2646.4803391735391</v>
      </c>
      <c r="W832" s="37">
        <f t="shared" si="269"/>
        <v>-19411.456132174873</v>
      </c>
      <c r="Y832" s="37">
        <f t="shared" si="271"/>
        <v>62024.650836873348</v>
      </c>
      <c r="Z832" s="37">
        <f t="shared" si="272"/>
        <v>-272161.26050706703</v>
      </c>
      <c r="AA832" s="37">
        <f t="shared" si="273"/>
        <v>807.46033944860915</v>
      </c>
      <c r="AB832" s="37">
        <f t="shared" si="274"/>
        <v>-1328.1342166918673</v>
      </c>
      <c r="AC832" s="37">
        <f t="shared" si="275"/>
        <v>-3.4170579976690592</v>
      </c>
      <c r="AD832" s="37">
        <f t="shared" si="276"/>
        <v>15.616717010692149</v>
      </c>
      <c r="AE832" s="39">
        <f t="shared" si="277"/>
        <v>-0.97105801662818469</v>
      </c>
      <c r="AF832" s="39">
        <f t="shared" si="278"/>
        <v>6.4620955450616506</v>
      </c>
      <c r="AG832" s="39">
        <f t="shared" si="279"/>
        <v>-0.58013182075914327</v>
      </c>
      <c r="AH832" s="39">
        <f t="shared" si="280"/>
        <v>1.9956284377387954</v>
      </c>
      <c r="AI832" s="39">
        <f t="shared" si="281"/>
        <v>-1.8658681602817313</v>
      </c>
      <c r="AJ832" s="39">
        <f t="shared" si="282"/>
        <v>7.1589930278917047</v>
      </c>
      <c r="AK832" s="37">
        <f t="shared" si="283"/>
        <v>282801.15259023034</v>
      </c>
      <c r="AL832" s="37">
        <f t="shared" si="284"/>
        <v>293841.82866952068</v>
      </c>
      <c r="AM832" s="37">
        <f t="shared" si="285"/>
        <v>265752.17351018672</v>
      </c>
    </row>
    <row r="833" spans="12:39">
      <c r="L833">
        <v>829</v>
      </c>
      <c r="M833" s="37">
        <f t="shared" si="270"/>
        <v>5.208760619651831</v>
      </c>
      <c r="N833" s="37">
        <f t="shared" si="264"/>
        <v>22381.191018339494</v>
      </c>
      <c r="O833" s="37">
        <f t="shared" si="265"/>
        <v>3103.4184490471089</v>
      </c>
      <c r="R833" s="37">
        <f t="shared" si="266"/>
        <v>-18333.166287162356</v>
      </c>
      <c r="S833" s="37">
        <f t="shared" si="267"/>
        <v>6922.3929143329769</v>
      </c>
      <c r="V833" s="37">
        <f t="shared" si="268"/>
        <v>-2618.8089816605075</v>
      </c>
      <c r="W833" s="37">
        <f t="shared" si="269"/>
        <v>-19396.581550952891</v>
      </c>
      <c r="Y833" s="37">
        <f t="shared" si="271"/>
        <v>62427.953874347942</v>
      </c>
      <c r="Z833" s="37">
        <f t="shared" si="272"/>
        <v>-272823.3755257866</v>
      </c>
      <c r="AA833" s="37">
        <f t="shared" si="273"/>
        <v>805.75181044977467</v>
      </c>
      <c r="AB833" s="37">
        <f t="shared" si="274"/>
        <v>-1320.3258581865211</v>
      </c>
      <c r="AC833" s="37">
        <f t="shared" si="275"/>
        <v>-3.413014796177321</v>
      </c>
      <c r="AD833" s="37">
        <f t="shared" si="276"/>
        <v>15.531377465841121</v>
      </c>
      <c r="AE833" s="39">
        <f t="shared" si="277"/>
        <v>-0.97298921077848621</v>
      </c>
      <c r="AF833" s="39">
        <f t="shared" si="278"/>
        <v>6.4285829272691544</v>
      </c>
      <c r="AG833" s="39">
        <f t="shared" si="279"/>
        <v>-0.57855457806736155</v>
      </c>
      <c r="AH833" s="39">
        <f t="shared" si="280"/>
        <v>1.9851124649332181</v>
      </c>
      <c r="AI833" s="39">
        <f t="shared" si="281"/>
        <v>-1.8614710073314731</v>
      </c>
      <c r="AJ833" s="39">
        <f t="shared" si="282"/>
        <v>7.1176820736387478</v>
      </c>
      <c r="AK833" s="37">
        <f t="shared" si="283"/>
        <v>283516.00684288528</v>
      </c>
      <c r="AL833" s="37">
        <f t="shared" si="284"/>
        <v>294590.27364071569</v>
      </c>
      <c r="AM833" s="37">
        <f t="shared" si="285"/>
        <v>266494.69400194811</v>
      </c>
    </row>
    <row r="834" spans="12:39">
      <c r="L834">
        <v>830</v>
      </c>
      <c r="M834" s="37">
        <f t="shared" si="270"/>
        <v>5.2150438049590102</v>
      </c>
      <c r="N834" s="37">
        <f t="shared" si="264"/>
        <v>22408.768370508373</v>
      </c>
      <c r="O834" s="37">
        <f t="shared" si="265"/>
        <v>3118.4665997805696</v>
      </c>
      <c r="R834" s="37">
        <f t="shared" si="266"/>
        <v>-18313.862140644138</v>
      </c>
      <c r="S834" s="37">
        <f t="shared" si="267"/>
        <v>6932.9266198463993</v>
      </c>
      <c r="V834" s="37">
        <f t="shared" si="268"/>
        <v>-2591.2316294916277</v>
      </c>
      <c r="W834" s="37">
        <f t="shared" si="269"/>
        <v>-19381.533400219429</v>
      </c>
      <c r="Y834" s="37">
        <f t="shared" si="271"/>
        <v>62830.403152723309</v>
      </c>
      <c r="Z834" s="37">
        <f t="shared" si="272"/>
        <v>-273481.59703269659</v>
      </c>
      <c r="AA834" s="37">
        <f t="shared" si="273"/>
        <v>804.04530305168601</v>
      </c>
      <c r="AB834" s="37">
        <f t="shared" si="274"/>
        <v>-1312.5601694536006</v>
      </c>
      <c r="AC834" s="37">
        <f t="shared" si="275"/>
        <v>-3.4089848839021455</v>
      </c>
      <c r="AD834" s="37">
        <f t="shared" si="276"/>
        <v>15.447138787408193</v>
      </c>
      <c r="AE834" s="39">
        <f t="shared" si="277"/>
        <v>-0.97487286894812353</v>
      </c>
      <c r="AF834" s="39">
        <f t="shared" si="278"/>
        <v>6.3954881452819938</v>
      </c>
      <c r="AG834" s="39">
        <f t="shared" si="279"/>
        <v>-0.57699550104490471</v>
      </c>
      <c r="AH834" s="39">
        <f t="shared" si="280"/>
        <v>1.9747290836590932</v>
      </c>
      <c r="AI834" s="39">
        <f t="shared" si="281"/>
        <v>-1.8571165139091173</v>
      </c>
      <c r="AJ834" s="39">
        <f t="shared" si="282"/>
        <v>7.0769215584671068</v>
      </c>
      <c r="AK834" s="37">
        <f t="shared" si="283"/>
        <v>284227.20015028381</v>
      </c>
      <c r="AL834" s="37">
        <f t="shared" si="284"/>
        <v>295334.88033527439</v>
      </c>
      <c r="AM834" s="37">
        <f t="shared" si="285"/>
        <v>267233.41781378002</v>
      </c>
    </row>
    <row r="835" spans="12:39">
      <c r="L835">
        <v>831</v>
      </c>
      <c r="M835" s="37">
        <f t="shared" si="270"/>
        <v>5.2213269902661894</v>
      </c>
      <c r="N835" s="37">
        <f t="shared" si="264"/>
        <v>22436.250628626458</v>
      </c>
      <c r="O835" s="37">
        <f t="shared" si="265"/>
        <v>3133.6877259502853</v>
      </c>
      <c r="R835" s="37">
        <f t="shared" si="266"/>
        <v>-18294.624559961481</v>
      </c>
      <c r="S835" s="37">
        <f t="shared" si="267"/>
        <v>6943.5814081651988</v>
      </c>
      <c r="V835" s="37">
        <f t="shared" si="268"/>
        <v>-2563.7493713735435</v>
      </c>
      <c r="W835" s="37">
        <f t="shared" si="269"/>
        <v>-19366.312274049713</v>
      </c>
      <c r="Y835" s="37">
        <f t="shared" si="271"/>
        <v>63231.999681138659</v>
      </c>
      <c r="Z835" s="37">
        <f t="shared" si="272"/>
        <v>-274135.94622507499</v>
      </c>
      <c r="AA835" s="37">
        <f t="shared" si="273"/>
        <v>802.34081060973494</v>
      </c>
      <c r="AB835" s="37">
        <f t="shared" si="274"/>
        <v>-1304.8366000598965</v>
      </c>
      <c r="AC835" s="37">
        <f t="shared" si="275"/>
        <v>-3.4049690735807276</v>
      </c>
      <c r="AD835" s="37">
        <f t="shared" si="276"/>
        <v>15.363981611951377</v>
      </c>
      <c r="AE835" s="39">
        <f t="shared" si="277"/>
        <v>-0.97671036271708833</v>
      </c>
      <c r="AF835" s="39">
        <f t="shared" si="278"/>
        <v>6.3628041548046737</v>
      </c>
      <c r="AG835" s="39">
        <f t="shared" si="279"/>
        <v>-0.57545435013547397</v>
      </c>
      <c r="AH835" s="39">
        <f t="shared" si="280"/>
        <v>1.964476005760692</v>
      </c>
      <c r="AI835" s="39">
        <f t="shared" si="281"/>
        <v>-1.8528043607281652</v>
      </c>
      <c r="AJ835" s="39">
        <f t="shared" si="282"/>
        <v>7.0367014513860111</v>
      </c>
      <c r="AK835" s="37">
        <f t="shared" si="283"/>
        <v>284934.7504298542</v>
      </c>
      <c r="AL835" s="37">
        <f t="shared" si="284"/>
        <v>296075.66888911993</v>
      </c>
      <c r="AM835" s="37">
        <f t="shared" si="285"/>
        <v>267968.36456278164</v>
      </c>
    </row>
    <row r="836" spans="12:39">
      <c r="L836">
        <v>832</v>
      </c>
      <c r="M836" s="37">
        <f t="shared" si="270"/>
        <v>5.2276101755733686</v>
      </c>
      <c r="N836" s="37">
        <f t="shared" si="264"/>
        <v>22463.636707741251</v>
      </c>
      <c r="O836" s="37">
        <f t="shared" si="265"/>
        <v>3149.0812266522553</v>
      </c>
      <c r="R836" s="37">
        <f t="shared" si="266"/>
        <v>-18275.454304581122</v>
      </c>
      <c r="S836" s="37">
        <f t="shared" si="267"/>
        <v>6954.356858656578</v>
      </c>
      <c r="V836" s="37">
        <f t="shared" si="268"/>
        <v>-2536.3632922587481</v>
      </c>
      <c r="W836" s="37">
        <f t="shared" si="269"/>
        <v>-19350.918773347745</v>
      </c>
      <c r="Y836" s="37">
        <f t="shared" si="271"/>
        <v>63632.744465309326</v>
      </c>
      <c r="Z836" s="37">
        <f t="shared" si="272"/>
        <v>-274786.44402740343</v>
      </c>
      <c r="AA836" s="37">
        <f t="shared" si="273"/>
        <v>800.63832607294455</v>
      </c>
      <c r="AB836" s="37">
        <f t="shared" si="274"/>
        <v>-1297.1546092539209</v>
      </c>
      <c r="AC836" s="37">
        <f t="shared" si="275"/>
        <v>-3.4009681426990888</v>
      </c>
      <c r="AD836" s="37">
        <f t="shared" si="276"/>
        <v>15.281887024618234</v>
      </c>
      <c r="AE836" s="39">
        <f t="shared" si="277"/>
        <v>-0.97850302359170527</v>
      </c>
      <c r="AF836" s="39">
        <f t="shared" si="278"/>
        <v>6.3305240682115489</v>
      </c>
      <c r="AG836" s="39">
        <f t="shared" si="279"/>
        <v>-0.57393089035814504</v>
      </c>
      <c r="AH836" s="39">
        <f t="shared" si="280"/>
        <v>1.9543509952656812</v>
      </c>
      <c r="AI836" s="39">
        <f t="shared" si="281"/>
        <v>-1.8485342287492383</v>
      </c>
      <c r="AJ836" s="39">
        <f t="shared" si="282"/>
        <v>6.9970119611410038</v>
      </c>
      <c r="AK836" s="37">
        <f t="shared" si="283"/>
        <v>285638.67537714733</v>
      </c>
      <c r="AL836" s="37">
        <f t="shared" si="284"/>
        <v>296812.65917843382</v>
      </c>
      <c r="AM836" s="37">
        <f t="shared" si="285"/>
        <v>268699.55361563904</v>
      </c>
    </row>
    <row r="837" spans="12:39">
      <c r="L837">
        <v>833</v>
      </c>
      <c r="M837" s="37">
        <f t="shared" si="270"/>
        <v>5.2338933608805478</v>
      </c>
      <c r="N837" s="37">
        <f t="shared" ref="N837:N900" si="286">COS(M837)*$D$37+$D$36</f>
        <v>22490.925526697247</v>
      </c>
      <c r="O837" s="37">
        <f t="shared" ref="O837:O900" si="287">SIN(M837)*$D$37+$E$36</f>
        <v>3164.6464941774311</v>
      </c>
      <c r="R837" s="37">
        <f t="shared" ref="R837:R900" si="288">COS(M837)*$D$48+$D$47</f>
        <v>-18256.352131311927</v>
      </c>
      <c r="S837" s="37">
        <f t="shared" ref="S837:S900" si="289">SIN(M837)*$D$48+$E$47</f>
        <v>6965.2525459242015</v>
      </c>
      <c r="V837" s="37">
        <f t="shared" ref="V837:V900" si="290">COS(M837)*$D$57+$D$56</f>
        <v>-2509.0744733027527</v>
      </c>
      <c r="W837" s="37">
        <f t="shared" ref="W837:W900" si="291">SIN(M837)*$D$57+$E$56</f>
        <v>-19335.353505822568</v>
      </c>
      <c r="Y837" s="37">
        <f t="shared" si="271"/>
        <v>64032.63850732796</v>
      </c>
      <c r="Z837" s="37">
        <f t="shared" si="272"/>
        <v>-275433.11109615228</v>
      </c>
      <c r="AA837" s="37">
        <f t="shared" si="273"/>
        <v>798.93784200159496</v>
      </c>
      <c r="AB837" s="37">
        <f t="shared" si="274"/>
        <v>-1289.5136657416117</v>
      </c>
      <c r="AC837" s="37">
        <f t="shared" si="275"/>
        <v>-3.3969828349151943</v>
      </c>
      <c r="AD837" s="37">
        <f t="shared" si="276"/>
        <v>15.200836546424476</v>
      </c>
      <c r="AE837" s="39">
        <f t="shared" si="277"/>
        <v>-0.98025214434439933</v>
      </c>
      <c r="AF837" s="39">
        <f t="shared" si="278"/>
        <v>6.2986411502885353</v>
      </c>
      <c r="AG837" s="39">
        <f t="shared" si="279"/>
        <v>-0.5724248912009714</v>
      </c>
      <c r="AH837" s="39">
        <f t="shared" si="280"/>
        <v>1.9443518669251543</v>
      </c>
      <c r="AI837" s="39">
        <f t="shared" si="281"/>
        <v>-1.8443057993698235</v>
      </c>
      <c r="AJ837" s="39">
        <f t="shared" si="282"/>
        <v>6.9578435292107867</v>
      </c>
      <c r="AK837" s="37">
        <f t="shared" si="283"/>
        <v>286338.99246952846</v>
      </c>
      <c r="AL837" s="37">
        <f t="shared" si="284"/>
        <v>297545.87082420028</v>
      </c>
      <c r="AM837" s="37">
        <f t="shared" si="285"/>
        <v>269427.00409295317</v>
      </c>
    </row>
    <row r="838" spans="12:39">
      <c r="L838">
        <v>834</v>
      </c>
      <c r="M838" s="37">
        <f t="shared" ref="M838:M901" si="292">M837+$J$3</f>
        <v>5.240176546187727</v>
      </c>
      <c r="N838" s="37">
        <f t="shared" si="286"/>
        <v>22518.116008178597</v>
      </c>
      <c r="O838" s="37">
        <f t="shared" si="287"/>
        <v>3180.382914035702</v>
      </c>
      <c r="R838" s="37">
        <f t="shared" si="288"/>
        <v>-18237.318794274983</v>
      </c>
      <c r="S838" s="37">
        <f t="shared" si="289"/>
        <v>6976.2680398249913</v>
      </c>
      <c r="V838" s="37">
        <f t="shared" si="290"/>
        <v>-2481.8839918214035</v>
      </c>
      <c r="W838" s="37">
        <f t="shared" si="291"/>
        <v>-19319.617085964299</v>
      </c>
      <c r="Y838" s="37">
        <f t="shared" ref="Y838:Y901" si="293">Y837+(AA837*$D$14)+((1/2)*AC837)*$D$14^2</f>
        <v>64431.682805474396</v>
      </c>
      <c r="Z838" s="37">
        <f t="shared" ref="Z838:Z901" si="294">Z837+(AB837*$D$14)+((1/2)*AD837)*$D$14^2</f>
        <v>-276075.96782445483</v>
      </c>
      <c r="AA838" s="37">
        <f t="shared" ref="AA838:AA901" si="295">AA837+(AC837*$D$14)</f>
        <v>797.23935058413736</v>
      </c>
      <c r="AB838" s="37">
        <f t="shared" ref="AB838:AB901" si="296">AB837+(AD837*$D$14)</f>
        <v>-1281.9132474683995</v>
      </c>
      <c r="AC838" s="37">
        <f t="shared" ref="AC838:AC901" si="297">AE838+AG838+AI838</f>
        <v>-3.3930138614224585</v>
      </c>
      <c r="AD838" s="37">
        <f t="shared" ref="AD838:AD901" si="298">AF838+AH838+AJ838</f>
        <v>15.120812121961386</v>
      </c>
      <c r="AE838" s="39">
        <f t="shared" ref="AE838:AE901" si="299">$D$40*($D$36-Y838)/(AK838^2+$D$41^2)^(3/2)</f>
        <v>-0.98195898030304285</v>
      </c>
      <c r="AF838" s="39">
        <f t="shared" ref="AF838:AF901" si="300">$D$40*($E$36-Z838)/(AK838^2+$D$41^2)^(3/2)</f>
        <v>6.2671488141124669</v>
      </c>
      <c r="AG838" s="39">
        <f t="shared" ref="AG838:AG901" si="301">$D$51*($D$47-Y838)/(AL838^2+$D$52^2)^(3/2)</f>
        <v>-0.57093612651764458</v>
      </c>
      <c r="AH838" s="39">
        <f t="shared" ref="AH838:AH901" si="302">$D$51*($E$47-Z838)/(AL838^2+$D$52^2)^(3/2)</f>
        <v>1.9344764848023432</v>
      </c>
      <c r="AI838" s="39">
        <f t="shared" ref="AI838:AI901" si="303">$D$60*($D$56-Y838)/(AM838^2+$D$61^2)^(3/2)</f>
        <v>-1.8401187546017714</v>
      </c>
      <c r="AJ838" s="39">
        <f t="shared" ref="AJ838:AJ901" si="304">$D$60*($E$56-Z838)/(AM838^2+$D$61^2)^(3/2)</f>
        <v>6.9191868230465765</v>
      </c>
      <c r="AK838" s="37">
        <f t="shared" ref="AK838:AK901" si="305">SQRT(($D$36-Y838)^2+($E$36-Z838)^2)</f>
        <v>287035.71896978695</v>
      </c>
      <c r="AL838" s="37">
        <f t="shared" ref="AL838:AL901" si="306">SQRT(($D$47-Y838)^2+($E$47-Z838)^2)</f>
        <v>298275.32319664455</v>
      </c>
      <c r="AM838" s="37">
        <f t="shared" ref="AM838:AM901" si="307">SQRT(($D$56-Y838)^2+($E$56-Z838)^2)</f>
        <v>270150.7348734698</v>
      </c>
    </row>
    <row r="839" spans="12:39">
      <c r="L839">
        <v>835</v>
      </c>
      <c r="M839" s="37">
        <f t="shared" si="292"/>
        <v>5.2464597314949062</v>
      </c>
      <c r="N839" s="37">
        <f t="shared" si="286"/>
        <v>22545.20707875165</v>
      </c>
      <c r="O839" s="37">
        <f t="shared" si="287"/>
        <v>3196.2898649801582</v>
      </c>
      <c r="R839" s="37">
        <f t="shared" si="288"/>
        <v>-18218.355044873846</v>
      </c>
      <c r="S839" s="37">
        <f t="shared" si="289"/>
        <v>6987.4029054861112</v>
      </c>
      <c r="V839" s="37">
        <f t="shared" si="290"/>
        <v>-2454.7929212483523</v>
      </c>
      <c r="W839" s="37">
        <f t="shared" si="291"/>
        <v>-19303.710135019843</v>
      </c>
      <c r="Y839" s="37">
        <f t="shared" si="293"/>
        <v>64829.878354033783</v>
      </c>
      <c r="Z839" s="37">
        <f t="shared" si="294"/>
        <v>-276715.03434667381</v>
      </c>
      <c r="AA839" s="37">
        <f t="shared" si="295"/>
        <v>795.54284365342608</v>
      </c>
      <c r="AB839" s="37">
        <f t="shared" si="296"/>
        <v>-1274.3528414074187</v>
      </c>
      <c r="AC839" s="37">
        <f t="shared" si="297"/>
        <v>-3.3890619022557518</v>
      </c>
      <c r="AD839" s="37">
        <f t="shared" si="298"/>
        <v>15.04179610751256</v>
      </c>
      <c r="AE839" s="39">
        <f t="shared" si="299"/>
        <v>-0.98362475059178278</v>
      </c>
      <c r="AF839" s="39">
        <f t="shared" si="300"/>
        <v>6.2360406170615263</v>
      </c>
      <c r="AG839" s="39">
        <f t="shared" si="301"/>
        <v>-0.56946437442696263</v>
      </c>
      <c r="AH839" s="39">
        <f t="shared" si="302"/>
        <v>1.9247227609076234</v>
      </c>
      <c r="AI839" s="39">
        <f t="shared" si="303"/>
        <v>-1.8359727772370065</v>
      </c>
      <c r="AJ839" s="39">
        <f t="shared" si="304"/>
        <v>6.8810327295434099</v>
      </c>
      <c r="AK839" s="37">
        <f t="shared" si="305"/>
        <v>287728.87192966655</v>
      </c>
      <c r="AL839" s="37">
        <f t="shared" si="306"/>
        <v>299001.03541956923</v>
      </c>
      <c r="AM839" s="37">
        <f t="shared" si="307"/>
        <v>270870.76459821168</v>
      </c>
    </row>
    <row r="840" spans="12:39">
      <c r="L840">
        <v>836</v>
      </c>
      <c r="M840" s="37">
        <f t="shared" si="292"/>
        <v>5.2527429168020854</v>
      </c>
      <c r="N840" s="37">
        <f t="shared" si="286"/>
        <v>22572.197668907324</v>
      </c>
      <c r="O840" s="37">
        <f t="shared" si="287"/>
        <v>3212.3667190316128</v>
      </c>
      <c r="R840" s="37">
        <f t="shared" si="288"/>
        <v>-18199.461631764872</v>
      </c>
      <c r="S840" s="37">
        <f t="shared" si="289"/>
        <v>6998.656703322129</v>
      </c>
      <c r="V840" s="37">
        <f t="shared" si="290"/>
        <v>-2427.8023310926774</v>
      </c>
      <c r="W840" s="37">
        <f t="shared" si="291"/>
        <v>-19287.633280968388</v>
      </c>
      <c r="Y840" s="37">
        <f t="shared" si="293"/>
        <v>65227.226143122716</v>
      </c>
      <c r="Z840" s="37">
        <f t="shared" si="294"/>
        <v>-277350.3305428641</v>
      </c>
      <c r="AA840" s="37">
        <f t="shared" si="295"/>
        <v>793.84831270229824</v>
      </c>
      <c r="AB840" s="37">
        <f t="shared" si="296"/>
        <v>-1266.8319433536624</v>
      </c>
      <c r="AC840" s="37">
        <f t="shared" si="297"/>
        <v>-3.3851276075429313</v>
      </c>
      <c r="AD840" s="37">
        <f t="shared" si="298"/>
        <v>14.96377125956637</v>
      </c>
      <c r="AE840" s="39">
        <f t="shared" si="299"/>
        <v>-0.98525063932563639</v>
      </c>
      <c r="AF840" s="39">
        <f t="shared" si="300"/>
        <v>6.2053102569535179</v>
      </c>
      <c r="AG840" s="39">
        <f t="shared" si="301"/>
        <v>-0.56800941721517684</v>
      </c>
      <c r="AH840" s="39">
        <f t="shared" si="302"/>
        <v>1.9150886538786089</v>
      </c>
      <c r="AI840" s="39">
        <f t="shared" si="303"/>
        <v>-1.8318675510021178</v>
      </c>
      <c r="AJ840" s="39">
        <f t="shared" si="304"/>
        <v>6.8433723487342437</v>
      </c>
      <c r="AK840" s="37">
        <f t="shared" si="305"/>
        <v>288418.46819331823</v>
      </c>
      <c r="AL840" s="37">
        <f t="shared" si="306"/>
        <v>299723.02637459181</v>
      </c>
      <c r="AM840" s="37">
        <f t="shared" si="307"/>
        <v>271587.11167451844</v>
      </c>
    </row>
    <row r="841" spans="12:39">
      <c r="L841">
        <v>837</v>
      </c>
      <c r="M841" s="37">
        <f t="shared" si="292"/>
        <v>5.2590261021092646</v>
      </c>
      <c r="N841" s="37">
        <f t="shared" si="286"/>
        <v>22599.086713103337</v>
      </c>
      <c r="O841" s="37">
        <f t="shared" si="287"/>
        <v>3228.6128415033963</v>
      </c>
      <c r="R841" s="37">
        <f t="shared" si="288"/>
        <v>-18180.639300827665</v>
      </c>
      <c r="S841" s="37">
        <f t="shared" si="289"/>
        <v>7010.0289890523773</v>
      </c>
      <c r="V841" s="37">
        <f t="shared" si="290"/>
        <v>-2400.9132868966631</v>
      </c>
      <c r="W841" s="37">
        <f t="shared" si="291"/>
        <v>-19271.387158496604</v>
      </c>
      <c r="Y841" s="37">
        <f t="shared" si="293"/>
        <v>65623.727158522932</v>
      </c>
      <c r="Z841" s="37">
        <f t="shared" si="294"/>
        <v>-277981.8760431335</v>
      </c>
      <c r="AA841" s="37">
        <f t="shared" si="295"/>
        <v>792.15574889852678</v>
      </c>
      <c r="AB841" s="37">
        <f t="shared" si="296"/>
        <v>-1259.3500577238792</v>
      </c>
      <c r="AC841" s="37">
        <f t="shared" si="297"/>
        <v>-3.3812115987039881</v>
      </c>
      <c r="AD841" s="37">
        <f t="shared" si="298"/>
        <v>14.886720723706976</v>
      </c>
      <c r="AE841" s="39">
        <f t="shared" si="299"/>
        <v>-0.98683779676054673</v>
      </c>
      <c r="AF841" s="39">
        <f t="shared" si="300"/>
        <v>6.1749515683057181</v>
      </c>
      <c r="AG841" s="39">
        <f t="shared" si="301"/>
        <v>-0.56657104124096336</v>
      </c>
      <c r="AH841" s="39">
        <f t="shared" si="302"/>
        <v>1.9055721677030868</v>
      </c>
      <c r="AI841" s="39">
        <f t="shared" si="303"/>
        <v>-1.8278027607024778</v>
      </c>
      <c r="AJ841" s="39">
        <f t="shared" si="304"/>
        <v>6.8061969876981703</v>
      </c>
      <c r="AK841" s="37">
        <f t="shared" si="305"/>
        <v>289104.52440067829</v>
      </c>
      <c r="AL841" s="37">
        <f t="shared" si="306"/>
        <v>300441.31470528466</v>
      </c>
      <c r="AM841" s="37">
        <f t="shared" si="307"/>
        <v>272299.79427999485</v>
      </c>
    </row>
    <row r="842" spans="12:39">
      <c r="L842">
        <v>838</v>
      </c>
      <c r="M842" s="37">
        <f t="shared" si="292"/>
        <v>5.2653092874164438</v>
      </c>
      <c r="N842" s="37">
        <f t="shared" si="286"/>
        <v>22625.873149806266</v>
      </c>
      <c r="O842" s="37">
        <f t="shared" si="287"/>
        <v>3245.0275910264099</v>
      </c>
      <c r="R842" s="37">
        <f t="shared" si="288"/>
        <v>-18161.888795135612</v>
      </c>
      <c r="S842" s="37">
        <f t="shared" si="289"/>
        <v>7021.519313718487</v>
      </c>
      <c r="V842" s="37">
        <f t="shared" si="290"/>
        <v>-2374.1268501937329</v>
      </c>
      <c r="W842" s="37">
        <f t="shared" si="291"/>
        <v>-19254.97240897359</v>
      </c>
      <c r="Y842" s="37">
        <f t="shared" si="293"/>
        <v>66019.382381522344</v>
      </c>
      <c r="Z842" s="37">
        <f t="shared" si="294"/>
        <v>-278609.69023190497</v>
      </c>
      <c r="AA842" s="37">
        <f t="shared" si="295"/>
        <v>790.46514309917484</v>
      </c>
      <c r="AB842" s="37">
        <f t="shared" si="296"/>
        <v>-1251.9066973620256</v>
      </c>
      <c r="AC842" s="37">
        <f t="shared" si="297"/>
        <v>-3.377314469600619</v>
      </c>
      <c r="AD842" s="37">
        <f t="shared" si="298"/>
        <v>14.810628023871434</v>
      </c>
      <c r="AE842" s="39">
        <f t="shared" si="299"/>
        <v>-0.98838734040091836</v>
      </c>
      <c r="AF842" s="39">
        <f t="shared" si="300"/>
        <v>6.1449585187129241</v>
      </c>
      <c r="AG842" s="39">
        <f t="shared" si="301"/>
        <v>-0.56514903684306494</v>
      </c>
      <c r="AH842" s="39">
        <f t="shared" si="302"/>
        <v>1.8961713504836004</v>
      </c>
      <c r="AI842" s="39">
        <f t="shared" si="303"/>
        <v>-1.8237780923566358</v>
      </c>
      <c r="AJ842" s="39">
        <f t="shared" si="304"/>
        <v>6.7694981546749098</v>
      </c>
      <c r="AK842" s="37">
        <f t="shared" si="305"/>
        <v>289787.05699077278</v>
      </c>
      <c r="AL842" s="37">
        <f t="shared" si="306"/>
        <v>301155.91882122244</v>
      </c>
      <c r="AM842" s="37">
        <f t="shared" si="307"/>
        <v>273008.83036637073</v>
      </c>
    </row>
    <row r="843" spans="12:39">
      <c r="L843">
        <v>839</v>
      </c>
      <c r="M843" s="37">
        <f t="shared" si="292"/>
        <v>5.271592472723623</v>
      </c>
      <c r="N843" s="37">
        <f t="shared" si="286"/>
        <v>22652.555921533458</v>
      </c>
      <c r="O843" s="37">
        <f t="shared" si="287"/>
        <v>3261.6103195744508</v>
      </c>
      <c r="R843" s="37">
        <f t="shared" si="288"/>
        <v>-18143.210854926579</v>
      </c>
      <c r="S843" s="37">
        <f t="shared" si="289"/>
        <v>7033.1272237021158</v>
      </c>
      <c r="V843" s="37">
        <f t="shared" si="290"/>
        <v>-2347.4440784665417</v>
      </c>
      <c r="W843" s="37">
        <f t="shared" si="291"/>
        <v>-19238.389680425549</v>
      </c>
      <c r="Y843" s="37">
        <f t="shared" si="293"/>
        <v>66414.192788763234</v>
      </c>
      <c r="Z843" s="37">
        <f t="shared" si="294"/>
        <v>-279233.79225208302</v>
      </c>
      <c r="AA843" s="37">
        <f t="shared" si="295"/>
        <v>788.77648586437454</v>
      </c>
      <c r="AB843" s="37">
        <f t="shared" si="296"/>
        <v>-1244.50138335009</v>
      </c>
      <c r="AC843" s="37">
        <f t="shared" si="297"/>
        <v>-3.3734367876380755</v>
      </c>
      <c r="AD843" s="37">
        <f t="shared" si="298"/>
        <v>14.73547705195773</v>
      </c>
      <c r="AE843" s="39">
        <f t="shared" si="299"/>
        <v>-0.98990035606640547</v>
      </c>
      <c r="AF843" s="39">
        <f t="shared" si="300"/>
        <v>6.1153252053394365</v>
      </c>
      <c r="AG843" s="39">
        <f t="shared" si="301"/>
        <v>-0.56374319825046126</v>
      </c>
      <c r="AH843" s="39">
        <f t="shared" si="302"/>
        <v>1.8868842932419454</v>
      </c>
      <c r="AI843" s="39">
        <f t="shared" si="303"/>
        <v>-1.8197932333212086</v>
      </c>
      <c r="AJ843" s="39">
        <f t="shared" si="304"/>
        <v>6.733267553376348</v>
      </c>
      <c r="AK843" s="37">
        <f t="shared" si="305"/>
        <v>290466.08220495068</v>
      </c>
      <c r="AL843" s="37">
        <f t="shared" si="306"/>
        <v>301866.85690193722</v>
      </c>
      <c r="AM843" s="37">
        <f t="shared" si="307"/>
        <v>273714.23766327463</v>
      </c>
    </row>
    <row r="844" spans="12:39">
      <c r="L844">
        <v>840</v>
      </c>
      <c r="M844" s="37">
        <f t="shared" si="292"/>
        <v>5.2778756580308022</v>
      </c>
      <c r="N844" s="37">
        <f t="shared" si="286"/>
        <v>22679.133974894772</v>
      </c>
      <c r="O844" s="37">
        <f t="shared" si="287"/>
        <v>3278.3603724897894</v>
      </c>
      <c r="R844" s="37">
        <f t="shared" si="288"/>
        <v>-18124.606217573662</v>
      </c>
      <c r="S844" s="37">
        <f t="shared" si="289"/>
        <v>7044.8522607428531</v>
      </c>
      <c r="V844" s="37">
        <f t="shared" si="290"/>
        <v>-2320.8660251052297</v>
      </c>
      <c r="W844" s="37">
        <f t="shared" si="291"/>
        <v>-19221.639627510209</v>
      </c>
      <c r="Y844" s="37">
        <f t="shared" si="293"/>
        <v>66808.159352096962</v>
      </c>
      <c r="Z844" s="37">
        <f t="shared" si="294"/>
        <v>-279854.20100912655</v>
      </c>
      <c r="AA844" s="37">
        <f t="shared" si="295"/>
        <v>787.08976747055544</v>
      </c>
      <c r="AB844" s="37">
        <f t="shared" si="296"/>
        <v>-1237.1336448241111</v>
      </c>
      <c r="AC844" s="37">
        <f t="shared" si="297"/>
        <v>-3.3695790948216358</v>
      </c>
      <c r="AD844" s="37">
        <f t="shared" si="298"/>
        <v>14.661252057770852</v>
      </c>
      <c r="AE844" s="39">
        <f t="shared" si="299"/>
        <v>-0.99137789891947026</v>
      </c>
      <c r="AF844" s="39">
        <f t="shared" si="300"/>
        <v>6.0860458515198763</v>
      </c>
      <c r="AG844" s="39">
        <f t="shared" si="301"/>
        <v>-0.56235332349496758</v>
      </c>
      <c r="AH844" s="39">
        <f t="shared" si="302"/>
        <v>1.8777091287620211</v>
      </c>
      <c r="AI844" s="39">
        <f t="shared" si="303"/>
        <v>-1.8158478724071976</v>
      </c>
      <c r="AJ844" s="39">
        <f t="shared" si="304"/>
        <v>6.697497077488956</v>
      </c>
      <c r="AK844" s="37">
        <f t="shared" si="305"/>
        <v>291141.61609004787</v>
      </c>
      <c r="AL844" s="37">
        <f t="shared" si="306"/>
        <v>302574.14690078562</v>
      </c>
      <c r="AM844" s="37">
        <f t="shared" si="307"/>
        <v>274416.03368192422</v>
      </c>
    </row>
    <row r="845" spans="12:39">
      <c r="L845">
        <v>841</v>
      </c>
      <c r="M845" s="37">
        <f t="shared" si="292"/>
        <v>5.2841588433379814</v>
      </c>
      <c r="N845" s="37">
        <f t="shared" si="286"/>
        <v>22705.606260634166</v>
      </c>
      <c r="O845" s="37">
        <f t="shared" si="287"/>
        <v>3295.2770885090167</v>
      </c>
      <c r="R845" s="37">
        <f t="shared" si="288"/>
        <v>-18106.075617556085</v>
      </c>
      <c r="S845" s="37">
        <f t="shared" si="289"/>
        <v>7056.6939619563118</v>
      </c>
      <c r="V845" s="37">
        <f t="shared" si="290"/>
        <v>-2294.3937393658348</v>
      </c>
      <c r="W845" s="37">
        <f t="shared" si="291"/>
        <v>-19204.722911490982</v>
      </c>
      <c r="Y845" s="37">
        <f t="shared" si="293"/>
        <v>67201.283038445385</v>
      </c>
      <c r="Z845" s="37">
        <f t="shared" si="294"/>
        <v>-280470.93517503142</v>
      </c>
      <c r="AA845" s="37">
        <f t="shared" si="295"/>
        <v>785.40497792314466</v>
      </c>
      <c r="AB845" s="37">
        <f t="shared" si="296"/>
        <v>-1229.8030187952256</v>
      </c>
      <c r="AC845" s="37">
        <f t="shared" si="297"/>
        <v>-3.3657419087695866</v>
      </c>
      <c r="AD845" s="37">
        <f t="shared" si="298"/>
        <v>14.587937639294081</v>
      </c>
      <c r="AE845" s="39">
        <f t="shared" si="299"/>
        <v>-0.99282099445548411</v>
      </c>
      <c r="AF845" s="39">
        <f t="shared" si="300"/>
        <v>6.0571148034658799</v>
      </c>
      <c r="AG845" s="39">
        <f t="shared" si="301"/>
        <v>-0.56097921432621667</v>
      </c>
      <c r="AH845" s="39">
        <f t="shared" si="302"/>
        <v>1.8686440304697103</v>
      </c>
      <c r="AI845" s="39">
        <f t="shared" si="303"/>
        <v>-1.8119416999878861</v>
      </c>
      <c r="AJ845" s="39">
        <f t="shared" si="304"/>
        <v>6.6621788053584909</v>
      </c>
      <c r="AK845" s="37">
        <f t="shared" si="305"/>
        <v>291813.67450148321</v>
      </c>
      <c r="AL845" s="37">
        <f t="shared" si="306"/>
        <v>303277.80654872913</v>
      </c>
      <c r="AM845" s="37">
        <f t="shared" si="307"/>
        <v>275114.23571873456</v>
      </c>
    </row>
    <row r="846" spans="12:39">
      <c r="L846">
        <v>842</v>
      </c>
      <c r="M846" s="37">
        <f t="shared" si="292"/>
        <v>5.2904420286451606</v>
      </c>
      <c r="N846" s="37">
        <f t="shared" si="286"/>
        <v>22731.971733671129</v>
      </c>
      <c r="O846" s="37">
        <f t="shared" si="287"/>
        <v>3312.3597997891511</v>
      </c>
      <c r="R846" s="37">
        <f t="shared" si="288"/>
        <v>-18087.619786430208</v>
      </c>
      <c r="S846" s="37">
        <f t="shared" si="289"/>
        <v>7068.6518598524053</v>
      </c>
      <c r="V846" s="37">
        <f t="shared" si="290"/>
        <v>-2268.0282663288694</v>
      </c>
      <c r="W846" s="37">
        <f t="shared" si="291"/>
        <v>-19187.640200210848</v>
      </c>
      <c r="Y846" s="37">
        <f t="shared" si="293"/>
        <v>67593.564809668358</v>
      </c>
      <c r="Z846" s="37">
        <f t="shared" si="294"/>
        <v>-281084.01319222414</v>
      </c>
      <c r="AA846" s="37">
        <f t="shared" si="295"/>
        <v>783.72210696875982</v>
      </c>
      <c r="AB846" s="37">
        <f t="shared" si="296"/>
        <v>-1222.5090499755786</v>
      </c>
      <c r="AC846" s="37">
        <f t="shared" si="297"/>
        <v>-3.3619257236848936</v>
      </c>
      <c r="AD846" s="37">
        <f t="shared" si="298"/>
        <v>14.515518733274185</v>
      </c>
      <c r="AE846" s="39">
        <f t="shared" si="299"/>
        <v>-0.99423063945688173</v>
      </c>
      <c r="AF846" s="39">
        <f t="shared" si="300"/>
        <v>6.0285265270747743</v>
      </c>
      <c r="AG846" s="39">
        <f t="shared" si="301"/>
        <v>-0.55962067612898136</v>
      </c>
      <c r="AH846" s="39">
        <f t="shared" si="302"/>
        <v>1.8596872113485405</v>
      </c>
      <c r="AI846" s="39">
        <f t="shared" si="303"/>
        <v>-1.8080744080990305</v>
      </c>
      <c r="AJ846" s="39">
        <f t="shared" si="304"/>
        <v>6.6273049948508689</v>
      </c>
      <c r="AK846" s="37">
        <f t="shared" si="305"/>
        <v>292482.2731062891</v>
      </c>
      <c r="AL846" s="37">
        <f t="shared" si="306"/>
        <v>303977.85335803078</v>
      </c>
      <c r="AM846" s="37">
        <f t="shared" si="307"/>
        <v>275808.86085884774</v>
      </c>
    </row>
    <row r="847" spans="12:39">
      <c r="L847">
        <v>843</v>
      </c>
      <c r="M847" s="37">
        <f t="shared" si="292"/>
        <v>5.2967252139523398</v>
      </c>
      <c r="N847" s="37">
        <f t="shared" si="286"/>
        <v>22758.229353141935</v>
      </c>
      <c r="O847" s="37">
        <f t="shared" si="287"/>
        <v>3329.6078319340013</v>
      </c>
      <c r="R847" s="37">
        <f t="shared" si="288"/>
        <v>-18069.239452800644</v>
      </c>
      <c r="S847" s="37">
        <f t="shared" si="289"/>
        <v>7080.7254823538005</v>
      </c>
      <c r="V847" s="37">
        <f t="shared" si="290"/>
        <v>-2241.7706468580645</v>
      </c>
      <c r="W847" s="37">
        <f t="shared" si="291"/>
        <v>-19170.392168065999</v>
      </c>
      <c r="Y847" s="37">
        <f t="shared" si="293"/>
        <v>67985.005622437267</v>
      </c>
      <c r="Z847" s="37">
        <f t="shared" si="294"/>
        <v>-281693.45327737025</v>
      </c>
      <c r="AA847" s="37">
        <f t="shared" si="295"/>
        <v>782.04114410691739</v>
      </c>
      <c r="AB847" s="37">
        <f t="shared" si="296"/>
        <v>-1215.2512906089414</v>
      </c>
      <c r="AC847" s="37">
        <f t="shared" si="297"/>
        <v>-3.3581310112870213</v>
      </c>
      <c r="AD847" s="37">
        <f t="shared" si="298"/>
        <v>14.443980606107395</v>
      </c>
      <c r="AE847" s="39">
        <f t="shared" si="299"/>
        <v>-0.99560780291272488</v>
      </c>
      <c r="AF847" s="39">
        <f t="shared" si="300"/>
        <v>6.0002756048359522</v>
      </c>
      <c r="AG847" s="39">
        <f t="shared" si="301"/>
        <v>-0.55827751784265589</v>
      </c>
      <c r="AH847" s="39">
        <f t="shared" si="302"/>
        <v>1.8508369228894526</v>
      </c>
      <c r="AI847" s="39">
        <f t="shared" si="303"/>
        <v>-1.8042456905316409</v>
      </c>
      <c r="AJ847" s="39">
        <f t="shared" si="304"/>
        <v>6.5928680783819908</v>
      </c>
      <c r="AK847" s="37">
        <f t="shared" si="305"/>
        <v>293147.42738607799</v>
      </c>
      <c r="AL847" s="37">
        <f t="shared" si="306"/>
        <v>304674.30462587043</v>
      </c>
      <c r="AM847" s="37">
        <f t="shared" si="307"/>
        <v>276499.92597958515</v>
      </c>
    </row>
    <row r="848" spans="12:39">
      <c r="L848">
        <v>844</v>
      </c>
      <c r="M848" s="37">
        <f t="shared" si="292"/>
        <v>5.3030083992595189</v>
      </c>
      <c r="N848" s="37">
        <f t="shared" si="286"/>
        <v>22784.378082440722</v>
      </c>
      <c r="O848" s="37">
        <f t="shared" si="287"/>
        <v>3347.020504020792</v>
      </c>
      <c r="R848" s="37">
        <f t="shared" si="288"/>
        <v>-18050.935342291494</v>
      </c>
      <c r="S848" s="37">
        <f t="shared" si="289"/>
        <v>7092.9143528145541</v>
      </c>
      <c r="V848" s="37">
        <f t="shared" si="290"/>
        <v>-2215.621917559276</v>
      </c>
      <c r="W848" s="37">
        <f t="shared" si="291"/>
        <v>-19152.979495979209</v>
      </c>
      <c r="Y848" s="37">
        <f t="shared" si="293"/>
        <v>68375.606428114319</v>
      </c>
      <c r="Z848" s="37">
        <f t="shared" si="294"/>
        <v>-282299.27342509892</v>
      </c>
      <c r="AA848" s="37">
        <f t="shared" si="295"/>
        <v>780.36207860127388</v>
      </c>
      <c r="AB848" s="37">
        <f t="shared" si="296"/>
        <v>-1208.0293003058878</v>
      </c>
      <c r="AC848" s="37">
        <f t="shared" si="297"/>
        <v>-3.3543582217059966</v>
      </c>
      <c r="AD848" s="37">
        <f t="shared" si="298"/>
        <v>14.373308845016481</v>
      </c>
      <c r="AE848" s="39">
        <f t="shared" si="299"/>
        <v>-0.99695342690523137</v>
      </c>
      <c r="AF848" s="39">
        <f t="shared" si="300"/>
        <v>5.9723567328323917</v>
      </c>
      <c r="AG848" s="39">
        <f t="shared" si="301"/>
        <v>-0.55694955188295114</v>
      </c>
      <c r="AH848" s="39">
        <f t="shared" si="302"/>
        <v>1.8420914540738236</v>
      </c>
      <c r="AI848" s="39">
        <f t="shared" si="303"/>
        <v>-1.8004552429178142</v>
      </c>
      <c r="AJ848" s="39">
        <f t="shared" si="304"/>
        <v>6.558860658110266</v>
      </c>
      <c r="AK848" s="37">
        <f t="shared" si="305"/>
        <v>293809.15263994591</v>
      </c>
      <c r="AL848" s="37">
        <f t="shared" si="306"/>
        <v>305367.17743788002</v>
      </c>
      <c r="AM848" s="37">
        <f t="shared" si="307"/>
        <v>277187.4477538247</v>
      </c>
    </row>
    <row r="849" spans="12:39">
      <c r="L849">
        <v>845</v>
      </c>
      <c r="M849" s="37">
        <f t="shared" si="292"/>
        <v>5.3092915845666981</v>
      </c>
      <c r="N849" s="37">
        <f t="shared" si="286"/>
        <v>22810.416889260436</v>
      </c>
      <c r="O849" s="37">
        <f t="shared" si="287"/>
        <v>3364.5971286270442</v>
      </c>
      <c r="R849" s="37">
        <f t="shared" si="288"/>
        <v>-18032.708177517696</v>
      </c>
      <c r="S849" s="37">
        <f t="shared" si="289"/>
        <v>7105.217990038931</v>
      </c>
      <c r="V849" s="37">
        <f t="shared" si="290"/>
        <v>-2189.5831107395634</v>
      </c>
      <c r="W849" s="37">
        <f t="shared" si="291"/>
        <v>-19135.402871372957</v>
      </c>
      <c r="Y849" s="37">
        <f t="shared" si="293"/>
        <v>68765.368172637231</v>
      </c>
      <c r="Z849" s="37">
        <f t="shared" si="294"/>
        <v>-282901.49141164625</v>
      </c>
      <c r="AA849" s="37">
        <f t="shared" si="295"/>
        <v>778.68489949042089</v>
      </c>
      <c r="AB849" s="37">
        <f t="shared" si="296"/>
        <v>-1200.8426458833796</v>
      </c>
      <c r="AC849" s="37">
        <f t="shared" si="297"/>
        <v>-3.3506077843401991</v>
      </c>
      <c r="AD849" s="37">
        <f t="shared" si="298"/>
        <v>14.303489349507359</v>
      </c>
      <c r="AE849" s="39">
        <f t="shared" si="299"/>
        <v>-0.99826842746445044</v>
      </c>
      <c r="AF849" s="39">
        <f t="shared" si="300"/>
        <v>5.9447647178331042</v>
      </c>
      <c r="AG849" s="39">
        <f t="shared" si="301"/>
        <v>-0.55563659406565613</v>
      </c>
      <c r="AH849" s="39">
        <f t="shared" si="302"/>
        <v>1.8334491303882903</v>
      </c>
      <c r="AI849" s="39">
        <f t="shared" si="303"/>
        <v>-1.7967027628100929</v>
      </c>
      <c r="AJ849" s="39">
        <f t="shared" si="304"/>
        <v>6.5252755012859653</v>
      </c>
      <c r="AK849" s="37">
        <f t="shared" si="305"/>
        <v>294467.46398731612</v>
      </c>
      <c r="AL849" s="37">
        <f t="shared" si="306"/>
        <v>306056.48867160216</v>
      </c>
      <c r="AM849" s="37">
        <f t="shared" si="307"/>
        <v>277871.44265330525</v>
      </c>
    </row>
    <row r="850" spans="12:39">
      <c r="L850">
        <v>846</v>
      </c>
      <c r="M850" s="37">
        <f t="shared" si="292"/>
        <v>5.3155747698738773</v>
      </c>
      <c r="N850" s="37">
        <f t="shared" si="286"/>
        <v>22836.344745633563</v>
      </c>
      <c r="O850" s="37">
        <f t="shared" si="287"/>
        <v>3382.3370118577132</v>
      </c>
      <c r="R850" s="37">
        <f t="shared" si="288"/>
        <v>-18014.558678056506</v>
      </c>
      <c r="S850" s="37">
        <f t="shared" si="289"/>
        <v>7117.635908300399</v>
      </c>
      <c r="V850" s="37">
        <f t="shared" si="290"/>
        <v>-2163.6552543664352</v>
      </c>
      <c r="W850" s="37">
        <f t="shared" si="291"/>
        <v>-19117.662988142285</v>
      </c>
      <c r="Y850" s="37">
        <f t="shared" si="293"/>
        <v>69154.291796409394</v>
      </c>
      <c r="Z850" s="37">
        <f t="shared" si="294"/>
        <v>-283500.12479841925</v>
      </c>
      <c r="AA850" s="37">
        <f t="shared" si="295"/>
        <v>777.00959559825083</v>
      </c>
      <c r="AB850" s="37">
        <f t="shared" si="296"/>
        <v>-1193.690901208626</v>
      </c>
      <c r="AC850" s="37">
        <f t="shared" si="297"/>
        <v>-3.3468801086794939</v>
      </c>
      <c r="AD850" s="37">
        <f t="shared" si="298"/>
        <v>14.234508323095334</v>
      </c>
      <c r="AE850" s="39">
        <f t="shared" si="299"/>
        <v>-0.99955369539249606</v>
      </c>
      <c r="AF850" s="39">
        <f t="shared" si="300"/>
        <v>5.9174944744740454</v>
      </c>
      <c r="AG850" s="39">
        <f t="shared" si="301"/>
        <v>-0.5543384635324311</v>
      </c>
      <c r="AH850" s="39">
        <f t="shared" si="302"/>
        <v>1.8249083128703067</v>
      </c>
      <c r="AI850" s="39">
        <f t="shared" si="303"/>
        <v>-1.7929879497545667</v>
      </c>
      <c r="AJ850" s="39">
        <f t="shared" si="304"/>
        <v>6.4921055357509809</v>
      </c>
      <c r="AK850" s="37">
        <f t="shared" si="305"/>
        <v>295122.37637072208</v>
      </c>
      <c r="AL850" s="37">
        <f t="shared" si="306"/>
        <v>306742.25499987276</v>
      </c>
      <c r="AM850" s="37">
        <f t="shared" si="307"/>
        <v>278551.92695185891</v>
      </c>
    </row>
    <row r="851" spans="12:39">
      <c r="L851">
        <v>847</v>
      </c>
      <c r="M851" s="37">
        <f t="shared" si="292"/>
        <v>5.3218579551810565</v>
      </c>
      <c r="N851" s="37">
        <f t="shared" si="286"/>
        <v>22862.160627972735</v>
      </c>
      <c r="O851" s="37">
        <f t="shared" si="287"/>
        <v>3400.2394533725865</v>
      </c>
      <c r="R851" s="37">
        <f t="shared" si="288"/>
        <v>-17996.487560419086</v>
      </c>
      <c r="S851" s="37">
        <f t="shared" si="289"/>
        <v>7130.1676173608103</v>
      </c>
      <c r="V851" s="37">
        <f t="shared" si="290"/>
        <v>-2137.8393720272638</v>
      </c>
      <c r="W851" s="37">
        <f t="shared" si="291"/>
        <v>-19099.760546627414</v>
      </c>
      <c r="Y851" s="37">
        <f t="shared" si="293"/>
        <v>69542.378234194926</v>
      </c>
      <c r="Z851" s="37">
        <f t="shared" si="294"/>
        <v>-284095.1909354832</v>
      </c>
      <c r="AA851" s="37">
        <f t="shared" si="295"/>
        <v>775.3361555439111</v>
      </c>
      <c r="AB851" s="37">
        <f t="shared" si="296"/>
        <v>-1186.5736470470783</v>
      </c>
      <c r="AC851" s="37">
        <f t="shared" si="297"/>
        <v>-3.343175585095187</v>
      </c>
      <c r="AD851" s="37">
        <f t="shared" si="298"/>
        <v>14.166352265290925</v>
      </c>
      <c r="AE851" s="39">
        <f t="shared" si="299"/>
        <v>-1.0008100970584475</v>
      </c>
      <c r="AF851" s="39">
        <f t="shared" si="300"/>
        <v>5.8905410225238413</v>
      </c>
      <c r="AG851" s="39">
        <f t="shared" si="301"/>
        <v>-0.55305498267857167</v>
      </c>
      <c r="AH851" s="39">
        <f t="shared" si="302"/>
        <v>1.8164673971833474</v>
      </c>
      <c r="AI851" s="39">
        <f t="shared" si="303"/>
        <v>-1.7893105053581677</v>
      </c>
      <c r="AJ851" s="39">
        <f t="shared" si="304"/>
        <v>6.459343845583736</v>
      </c>
      <c r="AK851" s="37">
        <f t="shared" si="305"/>
        <v>295773.90455853427</v>
      </c>
      <c r="AL851" s="37">
        <f t="shared" si="306"/>
        <v>307424.49289413157</v>
      </c>
      <c r="AM851" s="37">
        <f t="shared" si="307"/>
        <v>279228.91672857583</v>
      </c>
    </row>
    <row r="852" spans="12:39">
      <c r="L852">
        <v>848</v>
      </c>
      <c r="M852" s="37">
        <f t="shared" si="292"/>
        <v>5.3281411404882357</v>
      </c>
      <c r="N852" s="37">
        <f t="shared" si="286"/>
        <v>22887.86351711112</v>
      </c>
      <c r="O852" s="37">
        <f t="shared" si="287"/>
        <v>3418.3037464139256</v>
      </c>
      <c r="R852" s="37">
        <f t="shared" si="288"/>
        <v>-17978.495538022216</v>
      </c>
      <c r="S852" s="37">
        <f t="shared" si="289"/>
        <v>7142.8126224897478</v>
      </c>
      <c r="V852" s="37">
        <f t="shared" si="290"/>
        <v>-2112.1364828888804</v>
      </c>
      <c r="W852" s="37">
        <f t="shared" si="291"/>
        <v>-19081.696253586073</v>
      </c>
      <c r="Y852" s="37">
        <f t="shared" si="293"/>
        <v>69929.628415018742</v>
      </c>
      <c r="Z852" s="37">
        <f t="shared" si="294"/>
        <v>-284686.70696497353</v>
      </c>
      <c r="AA852" s="37">
        <f t="shared" si="295"/>
        <v>773.66456775136351</v>
      </c>
      <c r="AB852" s="37">
        <f t="shared" si="296"/>
        <v>-1179.490470914433</v>
      </c>
      <c r="AC852" s="37">
        <f t="shared" si="297"/>
        <v>-3.3394945855983886</v>
      </c>
      <c r="AD852" s="37">
        <f t="shared" si="298"/>
        <v>14.099007963836485</v>
      </c>
      <c r="AE852" s="39">
        <f t="shared" si="299"/>
        <v>-1.0020384751651708</v>
      </c>
      <c r="AF852" s="39">
        <f t="shared" si="300"/>
        <v>5.8638994842318164</v>
      </c>
      <c r="AG852" s="39">
        <f t="shared" si="301"/>
        <v>-0.55178597708265442</v>
      </c>
      <c r="AH852" s="39">
        <f t="shared" si="302"/>
        <v>1.8081248127205876</v>
      </c>
      <c r="AI852" s="39">
        <f t="shared" si="303"/>
        <v>-1.7856701333505638</v>
      </c>
      <c r="AJ852" s="39">
        <f t="shared" si="304"/>
        <v>6.4269836668840803</v>
      </c>
      <c r="AK852" s="37">
        <f t="shared" si="305"/>
        <v>296422.06314762932</v>
      </c>
      <c r="AL852" s="37">
        <f t="shared" si="306"/>
        <v>308103.21862765978</v>
      </c>
      <c r="AM852" s="37">
        <f t="shared" si="307"/>
        <v>279902.42787089985</v>
      </c>
    </row>
    <row r="853" spans="12:39">
      <c r="L853">
        <v>849</v>
      </c>
      <c r="M853" s="37">
        <f t="shared" si="292"/>
        <v>5.3344243257954149</v>
      </c>
      <c r="N853" s="37">
        <f t="shared" si="286"/>
        <v>22913.452398342662</v>
      </c>
      <c r="O853" s="37">
        <f t="shared" si="287"/>
        <v>3436.5291778343731</v>
      </c>
      <c r="R853" s="37">
        <f t="shared" si="288"/>
        <v>-17960.583321160138</v>
      </c>
      <c r="S853" s="37">
        <f t="shared" si="289"/>
        <v>7155.5704244840617</v>
      </c>
      <c r="V853" s="37">
        <f t="shared" si="290"/>
        <v>-2086.5476016573393</v>
      </c>
      <c r="W853" s="37">
        <f t="shared" si="291"/>
        <v>-19063.470822165626</v>
      </c>
      <c r="Y853" s="37">
        <f t="shared" si="293"/>
        <v>70316.043262071224</v>
      </c>
      <c r="Z853" s="37">
        <f t="shared" si="294"/>
        <v>-285274.68982443528</v>
      </c>
      <c r="AA853" s="37">
        <f t="shared" si="295"/>
        <v>771.99482045856428</v>
      </c>
      <c r="AB853" s="37">
        <f t="shared" si="296"/>
        <v>-1172.4409669325148</v>
      </c>
      <c r="AC853" s="37">
        <f t="shared" si="297"/>
        <v>-3.3358374645679212</v>
      </c>
      <c r="AD853" s="37">
        <f t="shared" si="298"/>
        <v>14.032462487183597</v>
      </c>
      <c r="AE853" s="39">
        <f t="shared" si="299"/>
        <v>-1.0032396494890745</v>
      </c>
      <c r="AF853" s="39">
        <f t="shared" si="300"/>
        <v>5.8375650817549598</v>
      </c>
      <c r="AG853" s="39">
        <f t="shared" si="301"/>
        <v>-0.55053127543806302</v>
      </c>
      <c r="AH853" s="39">
        <f t="shared" si="302"/>
        <v>1.7998790217362413</v>
      </c>
      <c r="AI853" s="39">
        <f t="shared" si="303"/>
        <v>-1.7820665396407835</v>
      </c>
      <c r="AJ853" s="39">
        <f t="shared" si="304"/>
        <v>6.3950183836923973</v>
      </c>
      <c r="AK853" s="37">
        <f t="shared" si="305"/>
        <v>297066.86656600551</v>
      </c>
      <c r="AL853" s="37">
        <f t="shared" si="306"/>
        <v>308778.44827875018</v>
      </c>
      <c r="AM853" s="37">
        <f t="shared" si="307"/>
        <v>280572.47607765964</v>
      </c>
    </row>
    <row r="854" spans="12:39">
      <c r="L854">
        <v>850</v>
      </c>
      <c r="M854" s="37">
        <f t="shared" si="292"/>
        <v>5.3407075111025941</v>
      </c>
      <c r="N854" s="37">
        <f t="shared" si="286"/>
        <v>22938.926261462148</v>
      </c>
      <c r="O854" s="37">
        <f t="shared" si="287"/>
        <v>3454.9150281251027</v>
      </c>
      <c r="R854" s="37">
        <f t="shared" si="288"/>
        <v>-17942.751616976497</v>
      </c>
      <c r="S854" s="37">
        <f t="shared" si="289"/>
        <v>7168.4405196875723</v>
      </c>
      <c r="V854" s="37">
        <f t="shared" si="290"/>
        <v>-2061.0737385378543</v>
      </c>
      <c r="W854" s="37">
        <f t="shared" si="291"/>
        <v>-19045.084971874898</v>
      </c>
      <c r="Y854" s="37">
        <f t="shared" si="293"/>
        <v>70701.623692617432</v>
      </c>
      <c r="Z854" s="37">
        <f t="shared" si="294"/>
        <v>-285859.15625009069</v>
      </c>
      <c r="AA854" s="37">
        <f t="shared" si="295"/>
        <v>770.32690172628031</v>
      </c>
      <c r="AB854" s="37">
        <f t="shared" si="296"/>
        <v>-1165.424735688923</v>
      </c>
      <c r="AC854" s="37">
        <f t="shared" si="297"/>
        <v>-3.3322045594492775</v>
      </c>
      <c r="AD854" s="37">
        <f t="shared" si="298"/>
        <v>13.966703177203696</v>
      </c>
      <c r="AE854" s="39">
        <f t="shared" si="299"/>
        <v>-1.0044144175940255</v>
      </c>
      <c r="AF854" s="39">
        <f t="shared" si="300"/>
        <v>5.811533134661989</v>
      </c>
      <c r="AG854" s="39">
        <f t="shared" si="301"/>
        <v>-0.54929070948626246</v>
      </c>
      <c r="AH854" s="39">
        <f t="shared" si="302"/>
        <v>1.7917285185033223</v>
      </c>
      <c r="AI854" s="39">
        <f t="shared" si="303"/>
        <v>-1.7784994323689896</v>
      </c>
      <c r="AJ854" s="39">
        <f t="shared" si="304"/>
        <v>6.363441524038385</v>
      </c>
      <c r="AK854" s="37">
        <f t="shared" si="305"/>
        <v>297708.32907534332</v>
      </c>
      <c r="AL854" s="37">
        <f t="shared" si="306"/>
        <v>309450.19773380778</v>
      </c>
      <c r="AM854" s="37">
        <f t="shared" si="307"/>
        <v>281239.07686203514</v>
      </c>
    </row>
    <row r="855" spans="12:39">
      <c r="L855">
        <v>851</v>
      </c>
      <c r="M855" s="37">
        <f t="shared" si="292"/>
        <v>5.3469906964097733</v>
      </c>
      <c r="N855" s="37">
        <f t="shared" si="286"/>
        <v>22964.284100805075</v>
      </c>
      <c r="O855" s="37">
        <f t="shared" si="287"/>
        <v>3473.4605714442278</v>
      </c>
      <c r="R855" s="37">
        <f t="shared" si="288"/>
        <v>-17925.001129436449</v>
      </c>
      <c r="S855" s="37">
        <f t="shared" si="289"/>
        <v>7181.4224000109589</v>
      </c>
      <c r="V855" s="37">
        <f t="shared" si="290"/>
        <v>-2035.7158991949241</v>
      </c>
      <c r="W855" s="37">
        <f t="shared" si="291"/>
        <v>-19026.53942855577</v>
      </c>
      <c r="Y855" s="37">
        <f t="shared" si="293"/>
        <v>71086.370617910638</v>
      </c>
      <c r="Z855" s="37">
        <f t="shared" si="294"/>
        <v>-286440.12278003799</v>
      </c>
      <c r="AA855" s="37">
        <f t="shared" si="295"/>
        <v>768.66079944655564</v>
      </c>
      <c r="AB855" s="37">
        <f t="shared" si="296"/>
        <v>-1158.4413841003211</v>
      </c>
      <c r="AC855" s="37">
        <f t="shared" si="297"/>
        <v>-3.3285961914257793</v>
      </c>
      <c r="AD855" s="37">
        <f t="shared" si="298"/>
        <v>13.90171764212262</v>
      </c>
      <c r="AE855" s="39">
        <f t="shared" si="299"/>
        <v>-1.0055635555202171</v>
      </c>
      <c r="AF855" s="39">
        <f t="shared" si="300"/>
        <v>5.7857990575105909</v>
      </c>
      <c r="AG855" s="39">
        <f t="shared" si="301"/>
        <v>-0.54806411395185628</v>
      </c>
      <c r="AH855" s="39">
        <f t="shared" si="302"/>
        <v>1.783671828497186</v>
      </c>
      <c r="AI855" s="39">
        <f t="shared" si="303"/>
        <v>-1.7749685219537057</v>
      </c>
      <c r="AJ855" s="39">
        <f t="shared" si="304"/>
        <v>6.3322467561148441</v>
      </c>
      <c r="AK855" s="37">
        <f t="shared" si="305"/>
        <v>298346.46477351518</v>
      </c>
      <c r="AL855" s="37">
        <f t="shared" si="306"/>
        <v>310118.48269038618</v>
      </c>
      <c r="AM855" s="37">
        <f t="shared" si="307"/>
        <v>281902.24555446196</v>
      </c>
    </row>
    <row r="856" spans="12:39">
      <c r="L856">
        <v>852</v>
      </c>
      <c r="M856" s="37">
        <f t="shared" si="292"/>
        <v>5.3532738817169525</v>
      </c>
      <c r="N856" s="37">
        <f t="shared" si="286"/>
        <v>22989.524915287373</v>
      </c>
      <c r="O856" s="37">
        <f t="shared" si="287"/>
        <v>3492.1650756454519</v>
      </c>
      <c r="R856" s="37">
        <f t="shared" si="288"/>
        <v>-17907.33255929884</v>
      </c>
      <c r="S856" s="37">
        <f t="shared" si="289"/>
        <v>7194.5155529518161</v>
      </c>
      <c r="V856" s="37">
        <f t="shared" si="290"/>
        <v>-2010.475084712627</v>
      </c>
      <c r="W856" s="37">
        <f t="shared" si="291"/>
        <v>-19007.834924354549</v>
      </c>
      <c r="Y856" s="37">
        <f t="shared" si="293"/>
        <v>71470.284943109975</v>
      </c>
      <c r="Z856" s="37">
        <f t="shared" si="294"/>
        <v>-287017.60575738287</v>
      </c>
      <c r="AA856" s="37">
        <f t="shared" si="295"/>
        <v>766.99650135084278</v>
      </c>
      <c r="AB856" s="37">
        <f t="shared" si="296"/>
        <v>-1151.4905252792598</v>
      </c>
      <c r="AC856" s="37">
        <f t="shared" si="297"/>
        <v>-3.325012666063131</v>
      </c>
      <c r="AD856" s="37">
        <f t="shared" si="298"/>
        <v>13.837493749671967</v>
      </c>
      <c r="AE856" s="39">
        <f t="shared" si="299"/>
        <v>-1.0066878184492032</v>
      </c>
      <c r="AF856" s="39">
        <f t="shared" si="300"/>
        <v>5.7603583574967416</v>
      </c>
      <c r="AG856" s="39">
        <f t="shared" si="301"/>
        <v>-0.54685132647926582</v>
      </c>
      <c r="AH856" s="39">
        <f t="shared" si="302"/>
        <v>1.7757075076035949</v>
      </c>
      <c r="AI856" s="39">
        <f t="shared" si="303"/>
        <v>-1.7714735211346617</v>
      </c>
      <c r="AJ856" s="39">
        <f t="shared" si="304"/>
        <v>6.3014278845716305</v>
      </c>
      <c r="AK856" s="37">
        <f t="shared" si="305"/>
        <v>298981.28759704367</v>
      </c>
      <c r="AL856" s="37">
        <f t="shared" si="306"/>
        <v>310783.31866015884</v>
      </c>
      <c r="AM856" s="37">
        <f t="shared" si="307"/>
        <v>282561.99730547523</v>
      </c>
    </row>
    <row r="857" spans="12:39">
      <c r="L857">
        <v>853</v>
      </c>
      <c r="M857" s="37">
        <f t="shared" si="292"/>
        <v>5.3595570670241317</v>
      </c>
      <c r="N857" s="37">
        <f t="shared" si="286"/>
        <v>23014.647708444903</v>
      </c>
      <c r="O857" s="37">
        <f t="shared" si="287"/>
        <v>3511.0278023069773</v>
      </c>
      <c r="R857" s="37">
        <f t="shared" si="288"/>
        <v>-17889.74660408857</v>
      </c>
      <c r="S857" s="37">
        <f t="shared" si="289"/>
        <v>7207.7194616148845</v>
      </c>
      <c r="V857" s="37">
        <f t="shared" si="290"/>
        <v>-1985.352291555098</v>
      </c>
      <c r="W857" s="37">
        <f t="shared" si="291"/>
        <v>-18988.972197693023</v>
      </c>
      <c r="Y857" s="37">
        <f t="shared" si="293"/>
        <v>71853.367567202135</v>
      </c>
      <c r="Z857" s="37">
        <f t="shared" si="294"/>
        <v>-287591.6213333038</v>
      </c>
      <c r="AA857" s="37">
        <f t="shared" si="295"/>
        <v>765.33399501781116</v>
      </c>
      <c r="AB857" s="37">
        <f t="shared" si="296"/>
        <v>-1144.5717784044239</v>
      </c>
      <c r="AC857" s="37">
        <f t="shared" si="297"/>
        <v>-3.3214542739285271</v>
      </c>
      <c r="AD857" s="37">
        <f t="shared" si="298"/>
        <v>13.774019620448932</v>
      </c>
      <c r="AE857" s="39">
        <f t="shared" si="299"/>
        <v>-1.0077879413458317</v>
      </c>
      <c r="AF857" s="39">
        <f t="shared" si="300"/>
        <v>5.7352066321724591</v>
      </c>
      <c r="AG857" s="39">
        <f t="shared" si="301"/>
        <v>-0.545652187571117</v>
      </c>
      <c r="AH857" s="39">
        <f t="shared" si="302"/>
        <v>1.7678341413508927</v>
      </c>
      <c r="AI857" s="39">
        <f t="shared" si="303"/>
        <v>-1.7680141450115785</v>
      </c>
      <c r="AJ857" s="39">
        <f t="shared" si="304"/>
        <v>6.2709788469255807</v>
      </c>
      <c r="AK857" s="37">
        <f t="shared" si="305"/>
        <v>299612.81132351025</v>
      </c>
      <c r="AL857" s="37">
        <f t="shared" si="306"/>
        <v>311444.72097182838</v>
      </c>
      <c r="AM857" s="37">
        <f t="shared" si="307"/>
        <v>283218.34708849422</v>
      </c>
    </row>
    <row r="858" spans="12:39">
      <c r="L858">
        <v>854</v>
      </c>
      <c r="M858" s="37">
        <f t="shared" si="292"/>
        <v>5.3658402523313109</v>
      </c>
      <c r="N858" s="37">
        <f t="shared" si="286"/>
        <v>23039.651488472806</v>
      </c>
      <c r="O858" s="37">
        <f t="shared" si="287"/>
        <v>3530.0480067606532</v>
      </c>
      <c r="R858" s="37">
        <f t="shared" si="288"/>
        <v>-17872.243958069037</v>
      </c>
      <c r="S858" s="37">
        <f t="shared" si="289"/>
        <v>7221.0336047324572</v>
      </c>
      <c r="V858" s="37">
        <f t="shared" si="290"/>
        <v>-1960.3485115271951</v>
      </c>
      <c r="W858" s="37">
        <f t="shared" si="291"/>
        <v>-18969.951993239345</v>
      </c>
      <c r="Y858" s="37">
        <f t="shared" si="293"/>
        <v>72235.619382926801</v>
      </c>
      <c r="Z858" s="37">
        <f t="shared" si="294"/>
        <v>-288162.18547005346</v>
      </c>
      <c r="AA858" s="37">
        <f t="shared" si="295"/>
        <v>763.67326788084688</v>
      </c>
      <c r="AB858" s="37">
        <f t="shared" si="296"/>
        <v>-1137.6847685941993</v>
      </c>
      <c r="AC858" s="37">
        <f t="shared" si="297"/>
        <v>-3.317921291185336</v>
      </c>
      <c r="AD858" s="37">
        <f t="shared" si="298"/>
        <v>13.711283621477666</v>
      </c>
      <c r="AE858" s="39">
        <f t="shared" si="299"/>
        <v>-1.0088646395781031</v>
      </c>
      <c r="AF858" s="39">
        <f t="shared" si="300"/>
        <v>5.7103395672305073</v>
      </c>
      <c r="AG858" s="39">
        <f t="shared" si="301"/>
        <v>-0.5444665405281327</v>
      </c>
      <c r="AH858" s="39">
        <f t="shared" si="302"/>
        <v>1.7600503441649482</v>
      </c>
      <c r="AI858" s="39">
        <f t="shared" si="303"/>
        <v>-1.7645901110791002</v>
      </c>
      <c r="AJ858" s="39">
        <f t="shared" si="304"/>
        <v>6.2408937100822088</v>
      </c>
      <c r="AK858" s="37">
        <f t="shared" si="305"/>
        <v>300241.04957391537</v>
      </c>
      <c r="AL858" s="37">
        <f t="shared" si="306"/>
        <v>312102.70477397455</v>
      </c>
      <c r="AM858" s="37">
        <f t="shared" si="307"/>
        <v>283871.30970254855</v>
      </c>
    </row>
    <row r="859" spans="12:39">
      <c r="L859">
        <v>855</v>
      </c>
      <c r="M859" s="37">
        <f t="shared" si="292"/>
        <v>5.3721234376384901</v>
      </c>
      <c r="N859" s="37">
        <f t="shared" si="286"/>
        <v>23064.535268264659</v>
      </c>
      <c r="O859" s="37">
        <f t="shared" si="287"/>
        <v>3549.2249381213751</v>
      </c>
      <c r="R859" s="37">
        <f t="shared" si="288"/>
        <v>-17854.825312214736</v>
      </c>
      <c r="S859" s="37">
        <f t="shared" si="289"/>
        <v>7234.4574566849624</v>
      </c>
      <c r="V859" s="37">
        <f t="shared" si="290"/>
        <v>-1935.4647317353401</v>
      </c>
      <c r="W859" s="37">
        <f t="shared" si="291"/>
        <v>-18950.775061878623</v>
      </c>
      <c r="Y859" s="37">
        <f t="shared" si="293"/>
        <v>72617.041276705815</v>
      </c>
      <c r="Z859" s="37">
        <f t="shared" si="294"/>
        <v>-288729.3139438979</v>
      </c>
      <c r="AA859" s="37">
        <f t="shared" si="295"/>
        <v>762.01430723525425</v>
      </c>
      <c r="AB859" s="37">
        <f t="shared" si="296"/>
        <v>-1130.8291267834604</v>
      </c>
      <c r="AC859" s="37">
        <f t="shared" si="297"/>
        <v>-3.3144139801645505</v>
      </c>
      <c r="AD859" s="37">
        <f t="shared" si="298"/>
        <v>13.649274359965338</v>
      </c>
      <c r="AE859" s="39">
        <f t="shared" si="299"/>
        <v>-1.0099186095157346</v>
      </c>
      <c r="AF859" s="39">
        <f t="shared" si="300"/>
        <v>5.6857529343533502</v>
      </c>
      <c r="AG859" s="39">
        <f t="shared" si="301"/>
        <v>-0.54329423139061794</v>
      </c>
      <c r="AH859" s="39">
        <f t="shared" si="302"/>
        <v>1.75235475864652</v>
      </c>
      <c r="AI859" s="39">
        <f t="shared" si="303"/>
        <v>-1.7612011392581981</v>
      </c>
      <c r="AJ859" s="39">
        <f t="shared" si="304"/>
        <v>6.2111666669654673</v>
      </c>
      <c r="AK859" s="37">
        <f t="shared" si="305"/>
        <v>300866.01581499196</v>
      </c>
      <c r="AL859" s="37">
        <f t="shared" si="306"/>
        <v>312757.28503784357</v>
      </c>
      <c r="AM859" s="37">
        <f t="shared" si="307"/>
        <v>284520.89977494953</v>
      </c>
    </row>
    <row r="860" spans="12:39">
      <c r="L860">
        <v>856</v>
      </c>
      <c r="M860" s="37">
        <f t="shared" si="292"/>
        <v>5.3784066229456693</v>
      </c>
      <c r="N860" s="37">
        <f t="shared" si="286"/>
        <v>23089.298065451447</v>
      </c>
      <c r="O860" s="37">
        <f t="shared" si="287"/>
        <v>3568.5578393167298</v>
      </c>
      <c r="R860" s="37">
        <f t="shared" si="288"/>
        <v>-17837.491354183985</v>
      </c>
      <c r="S860" s="37">
        <f t="shared" si="289"/>
        <v>7247.9904875217107</v>
      </c>
      <c r="V860" s="37">
        <f t="shared" si="290"/>
        <v>-1910.7019345485514</v>
      </c>
      <c r="W860" s="37">
        <f t="shared" si="291"/>
        <v>-18931.442160683269</v>
      </c>
      <c r="Y860" s="37">
        <f t="shared" si="293"/>
        <v>72997.634128575926</v>
      </c>
      <c r="Z860" s="37">
        <f t="shared" si="294"/>
        <v>-289293.02234799461</v>
      </c>
      <c r="AA860" s="37">
        <f t="shared" si="295"/>
        <v>760.35710024517198</v>
      </c>
      <c r="AB860" s="37">
        <f t="shared" si="296"/>
        <v>-1124.0044896034779</v>
      </c>
      <c r="AC860" s="37">
        <f t="shared" si="297"/>
        <v>-3.3109325899136737</v>
      </c>
      <c r="AD860" s="37">
        <f t="shared" si="298"/>
        <v>13.587980677245163</v>
      </c>
      <c r="AE860" s="39">
        <f t="shared" si="299"/>
        <v>-1.0109505291082916</v>
      </c>
      <c r="AF860" s="39">
        <f t="shared" si="300"/>
        <v>5.6614425891244302</v>
      </c>
      <c r="AG860" s="39">
        <f t="shared" si="301"/>
        <v>-0.54213510888140692</v>
      </c>
      <c r="AH860" s="39">
        <f t="shared" si="302"/>
        <v>1.7447460548699885</v>
      </c>
      <c r="AI860" s="39">
        <f t="shared" si="303"/>
        <v>-1.7578469519239748</v>
      </c>
      <c r="AJ860" s="39">
        <f t="shared" si="304"/>
        <v>6.181792033250745</v>
      </c>
      <c r="AK860" s="37">
        <f t="shared" si="305"/>
        <v>301487.72336147225</v>
      </c>
      <c r="AL860" s="37">
        <f t="shared" si="306"/>
        <v>313408.47656007914</v>
      </c>
      <c r="AM860" s="37">
        <f t="shared" si="307"/>
        <v>285167.13176390552</v>
      </c>
    </row>
    <row r="861" spans="12:39">
      <c r="L861">
        <v>857</v>
      </c>
      <c r="M861" s="37">
        <f t="shared" si="292"/>
        <v>5.3846898082528485</v>
      </c>
      <c r="N861" s="37">
        <f t="shared" si="286"/>
        <v>23113.938902440339</v>
      </c>
      <c r="O861" s="37">
        <f t="shared" si="287"/>
        <v>3588.0459471168815</v>
      </c>
      <c r="R861" s="37">
        <f t="shared" si="288"/>
        <v>-17820.242768291762</v>
      </c>
      <c r="S861" s="37">
        <f t="shared" si="289"/>
        <v>7261.6321629818167</v>
      </c>
      <c r="V861" s="37">
        <f t="shared" si="290"/>
        <v>-1886.061097559661</v>
      </c>
      <c r="W861" s="37">
        <f t="shared" si="291"/>
        <v>-18911.95405288312</v>
      </c>
      <c r="Y861" s="37">
        <f t="shared" si="293"/>
        <v>73377.398812124768</v>
      </c>
      <c r="Z861" s="37">
        <f t="shared" si="294"/>
        <v>-289853.32609521167</v>
      </c>
      <c r="AA861" s="37">
        <f t="shared" si="295"/>
        <v>758.70163395021518</v>
      </c>
      <c r="AB861" s="37">
        <f t="shared" si="296"/>
        <v>-1117.2104992648553</v>
      </c>
      <c r="AC861" s="37">
        <f t="shared" si="297"/>
        <v>-3.3074773567243785</v>
      </c>
      <c r="AD861" s="37">
        <f t="shared" si="298"/>
        <v>13.52739164290124</v>
      </c>
      <c r="AE861" s="39">
        <f t="shared" si="299"/>
        <v>-1.0119610584436025</v>
      </c>
      <c r="AF861" s="39">
        <f t="shared" si="300"/>
        <v>5.6374044689994118</v>
      </c>
      <c r="AG861" s="39">
        <f t="shared" si="301"/>
        <v>-0.54098902435028207</v>
      </c>
      <c r="AH861" s="39">
        <f t="shared" si="302"/>
        <v>1.7372229297029007</v>
      </c>
      <c r="AI861" s="39">
        <f t="shared" si="303"/>
        <v>-1.754527273930494</v>
      </c>
      <c r="AJ861" s="39">
        <f t="shared" si="304"/>
        <v>6.1527642441989281</v>
      </c>
      <c r="AK861" s="37">
        <f t="shared" si="305"/>
        <v>302106.18537831015</v>
      </c>
      <c r="AL861" s="37">
        <f t="shared" si="306"/>
        <v>314056.29396539711</v>
      </c>
      <c r="AM861" s="37">
        <f t="shared" si="307"/>
        <v>285810.0199610847</v>
      </c>
    </row>
    <row r="862" spans="12:39">
      <c r="L862">
        <v>858</v>
      </c>
      <c r="M862" s="37">
        <f t="shared" si="292"/>
        <v>5.3909729935600277</v>
      </c>
      <c r="N862" s="37">
        <f t="shared" si="286"/>
        <v>23138.45680645328</v>
      </c>
      <c r="O862" s="37">
        <f t="shared" si="287"/>
        <v>3607.6884921647024</v>
      </c>
      <c r="R862" s="37">
        <f t="shared" si="288"/>
        <v>-17803.080235482706</v>
      </c>
      <c r="S862" s="37">
        <f t="shared" si="289"/>
        <v>7275.3819445152913</v>
      </c>
      <c r="V862" s="37">
        <f t="shared" si="290"/>
        <v>-1861.5431935467213</v>
      </c>
      <c r="W862" s="37">
        <f t="shared" si="291"/>
        <v>-18892.311507835297</v>
      </c>
      <c r="Y862" s="37">
        <f t="shared" si="293"/>
        <v>73756.336194430289</v>
      </c>
      <c r="Z862" s="37">
        <f t="shared" si="294"/>
        <v>-290410.24042088876</v>
      </c>
      <c r="AA862" s="37">
        <f t="shared" si="295"/>
        <v>757.04789527185301</v>
      </c>
      <c r="AB862" s="37">
        <f t="shared" si="296"/>
        <v>-1110.4468034434046</v>
      </c>
      <c r="AC862" s="37">
        <f t="shared" si="297"/>
        <v>-3.3040485046394688</v>
      </c>
      <c r="AD862" s="37">
        <f t="shared" si="298"/>
        <v>13.467496549067757</v>
      </c>
      <c r="AE862" s="39">
        <f t="shared" si="299"/>
        <v>-1.0129508402873229</v>
      </c>
      <c r="AF862" s="39">
        <f t="shared" si="300"/>
        <v>5.6136345913359325</v>
      </c>
      <c r="AG862" s="39">
        <f t="shared" si="301"/>
        <v>-0.53985583171975482</v>
      </c>
      <c r="AH862" s="39">
        <f t="shared" si="302"/>
        <v>1.7297841061454025</v>
      </c>
      <c r="AI862" s="39">
        <f t="shared" si="303"/>
        <v>-1.7512418326323909</v>
      </c>
      <c r="AJ862" s="39">
        <f t="shared" si="304"/>
        <v>6.1240778515864216</v>
      </c>
      <c r="AK862" s="37">
        <f t="shared" si="305"/>
        <v>302721.41488285951</v>
      </c>
      <c r="AL862" s="37">
        <f t="shared" si="306"/>
        <v>314700.75170920586</v>
      </c>
      <c r="AM862" s="37">
        <f t="shared" si="307"/>
        <v>286449.57849412499</v>
      </c>
    </row>
    <row r="863" spans="12:39">
      <c r="L863">
        <v>859</v>
      </c>
      <c r="M863" s="37">
        <f t="shared" si="292"/>
        <v>5.3972561788672069</v>
      </c>
      <c r="N863" s="37">
        <f t="shared" si="286"/>
        <v>23162.850809565396</v>
      </c>
      <c r="O863" s="37">
        <f t="shared" si="287"/>
        <v>3627.4846990061478</v>
      </c>
      <c r="R863" s="37">
        <f t="shared" si="288"/>
        <v>-17786.004433304221</v>
      </c>
      <c r="S863" s="37">
        <f t="shared" si="289"/>
        <v>7289.2392893043034</v>
      </c>
      <c r="V863" s="37">
        <f t="shared" si="290"/>
        <v>-1837.1491904346021</v>
      </c>
      <c r="W863" s="37">
        <f t="shared" si="291"/>
        <v>-18872.515300993851</v>
      </c>
      <c r="Y863" s="37">
        <f t="shared" si="293"/>
        <v>74134.447136003131</v>
      </c>
      <c r="Z863" s="37">
        <f t="shared" si="294"/>
        <v>-290963.78038554179</v>
      </c>
      <c r="AA863" s="37">
        <f t="shared" si="295"/>
        <v>755.39587101953327</v>
      </c>
      <c r="AB863" s="37">
        <f t="shared" si="296"/>
        <v>-1103.7130551688708</v>
      </c>
      <c r="AC863" s="37">
        <f t="shared" si="297"/>
        <v>-3.3006462459402979</v>
      </c>
      <c r="AD863" s="37">
        <f t="shared" si="298"/>
        <v>13.408284904897442</v>
      </c>
      <c r="AE863" s="39">
        <f t="shared" si="299"/>
        <v>-1.0139205006042191</v>
      </c>
      <c r="AF863" s="39">
        <f t="shared" si="300"/>
        <v>5.5901290514792032</v>
      </c>
      <c r="AG863" s="39">
        <f t="shared" si="301"/>
        <v>-0.53873538743225746</v>
      </c>
      <c r="AH863" s="39">
        <f t="shared" si="302"/>
        <v>1.7224283326891596</v>
      </c>
      <c r="AI863" s="39">
        <f t="shared" si="303"/>
        <v>-1.7479903579038212</v>
      </c>
      <c r="AJ863" s="39">
        <f t="shared" si="304"/>
        <v>6.0957275207290786</v>
      </c>
      <c r="AK863" s="37">
        <f t="shared" si="305"/>
        <v>303333.42474700941</v>
      </c>
      <c r="AL863" s="37">
        <f t="shared" si="306"/>
        <v>315341.86408017192</v>
      </c>
      <c r="AM863" s="37">
        <f t="shared" si="307"/>
        <v>287085.82132909389</v>
      </c>
    </row>
    <row r="864" spans="12:39">
      <c r="L864">
        <v>860</v>
      </c>
      <c r="M864" s="37">
        <f t="shared" si="292"/>
        <v>5.4035393641743861</v>
      </c>
      <c r="N864" s="37">
        <f t="shared" si="286"/>
        <v>23187.119948743224</v>
      </c>
      <c r="O864" s="37">
        <f t="shared" si="287"/>
        <v>3647.4337861208678</v>
      </c>
      <c r="R864" s="37">
        <f t="shared" si="288"/>
        <v>-17769.016035879744</v>
      </c>
      <c r="S864" s="37">
        <f t="shared" si="289"/>
        <v>7303.2036502846076</v>
      </c>
      <c r="V864" s="37">
        <f t="shared" si="290"/>
        <v>-1812.8800512567759</v>
      </c>
      <c r="W864" s="37">
        <f t="shared" si="291"/>
        <v>-18852.56621387913</v>
      </c>
      <c r="Y864" s="37">
        <f t="shared" si="293"/>
        <v>74511.73249073216</v>
      </c>
      <c r="Z864" s="37">
        <f t="shared" si="294"/>
        <v>-291513.96087751311</v>
      </c>
      <c r="AA864" s="37">
        <f t="shared" si="295"/>
        <v>753.74554789656315</v>
      </c>
      <c r="AB864" s="37">
        <f t="shared" si="296"/>
        <v>-1097.0089127164222</v>
      </c>
      <c r="AC864" s="37">
        <f t="shared" si="297"/>
        <v>-3.2972707816152509</v>
      </c>
      <c r="AD864" s="37">
        <f t="shared" si="298"/>
        <v>13.349746431192973</v>
      </c>
      <c r="AE864" s="39">
        <f t="shared" si="299"/>
        <v>-1.0148706490619939</v>
      </c>
      <c r="AF864" s="39">
        <f t="shared" si="300"/>
        <v>5.5668840209023323</v>
      </c>
      <c r="AG864" s="39">
        <f t="shared" si="301"/>
        <v>-0.53762755039863996</v>
      </c>
      <c r="AH864" s="39">
        <f t="shared" si="302"/>
        <v>1.715154382694916</v>
      </c>
      <c r="AI864" s="39">
        <f t="shared" si="303"/>
        <v>-1.7447725821546174</v>
      </c>
      <c r="AJ864" s="39">
        <f t="shared" si="304"/>
        <v>6.0677080275957254</v>
      </c>
      <c r="AK864" s="37">
        <f t="shared" si="305"/>
        <v>303942.22769927856</v>
      </c>
      <c r="AL864" s="37">
        <f t="shared" si="306"/>
        <v>315979.64520273492</v>
      </c>
      <c r="AM864" s="37">
        <f t="shared" si="307"/>
        <v>287718.76227289834</v>
      </c>
    </row>
    <row r="865" spans="12:39">
      <c r="L865">
        <v>861</v>
      </c>
      <c r="M865" s="37">
        <f t="shared" si="292"/>
        <v>5.4098225494815653</v>
      </c>
      <c r="N865" s="37">
        <f t="shared" si="286"/>
        <v>23211.263265882699</v>
      </c>
      <c r="O865" s="37">
        <f t="shared" si="287"/>
        <v>3667.5349659530621</v>
      </c>
      <c r="R865" s="37">
        <f t="shared" si="288"/>
        <v>-17752.115713882111</v>
      </c>
      <c r="S865" s="37">
        <f t="shared" si="289"/>
        <v>7317.2744761671438</v>
      </c>
      <c r="V865" s="37">
        <f t="shared" si="290"/>
        <v>-1788.7367341173031</v>
      </c>
      <c r="W865" s="37">
        <f t="shared" si="291"/>
        <v>-18832.465034046938</v>
      </c>
      <c r="Y865" s="37">
        <f t="shared" si="293"/>
        <v>74888.193105832746</v>
      </c>
      <c r="Z865" s="37">
        <f t="shared" si="294"/>
        <v>-292060.79661556741</v>
      </c>
      <c r="AA865" s="37">
        <f t="shared" si="295"/>
        <v>752.09691250575554</v>
      </c>
      <c r="AB865" s="37">
        <f t="shared" si="296"/>
        <v>-1090.3340395008256</v>
      </c>
      <c r="AC865" s="37">
        <f t="shared" si="297"/>
        <v>-3.2939223018100821</v>
      </c>
      <c r="AD865" s="37">
        <f t="shared" si="298"/>
        <v>13.291871055195614</v>
      </c>
      <c r="AE865" s="39">
        <f t="shared" si="299"/>
        <v>-1.0158018795181991</v>
      </c>
      <c r="AF865" s="39">
        <f t="shared" si="300"/>
        <v>5.5438957453989541</v>
      </c>
      <c r="AG865" s="39">
        <f t="shared" si="301"/>
        <v>-0.53653218194792407</v>
      </c>
      <c r="AH865" s="39">
        <f t="shared" si="302"/>
        <v>1.7079610537880123</v>
      </c>
      <c r="AI865" s="39">
        <f t="shared" si="303"/>
        <v>-1.7415882403439591</v>
      </c>
      <c r="AJ865" s="39">
        <f t="shared" si="304"/>
        <v>6.0400142560086483</v>
      </c>
      <c r="AK865" s="37">
        <f t="shared" si="305"/>
        <v>304547.83632686757</v>
      </c>
      <c r="AL865" s="37">
        <f t="shared" si="306"/>
        <v>316614.10903957038</v>
      </c>
      <c r="AM865" s="37">
        <f t="shared" si="307"/>
        <v>288348.41497564648</v>
      </c>
    </row>
    <row r="866" spans="12:39">
      <c r="L866">
        <v>862</v>
      </c>
      <c r="M866" s="37">
        <f t="shared" si="292"/>
        <v>5.4161057347887445</v>
      </c>
      <c r="N866" s="37">
        <f t="shared" si="286"/>
        <v>23235.279807846997</v>
      </c>
      <c r="O866" s="37">
        <f t="shared" si="287"/>
        <v>3687.7874449425694</v>
      </c>
      <c r="R866" s="37">
        <f t="shared" si="288"/>
        <v>-17735.304134507103</v>
      </c>
      <c r="S866" s="37">
        <f t="shared" si="289"/>
        <v>7331.4512114597983</v>
      </c>
      <c r="V866" s="37">
        <f t="shared" si="290"/>
        <v>-1764.7201921530036</v>
      </c>
      <c r="W866" s="37">
        <f t="shared" si="291"/>
        <v>-18812.212555057431</v>
      </c>
      <c r="Y866" s="37">
        <f t="shared" si="293"/>
        <v>75263.829821797888</v>
      </c>
      <c r="Z866" s="37">
        <f t="shared" si="294"/>
        <v>-292604.30215143593</v>
      </c>
      <c r="AA866" s="37">
        <f t="shared" si="295"/>
        <v>750.44995135485055</v>
      </c>
      <c r="AB866" s="37">
        <f t="shared" si="296"/>
        <v>-1083.6881039732277</v>
      </c>
      <c r="AC866" s="37">
        <f t="shared" si="297"/>
        <v>-3.2906009862610626</v>
      </c>
      <c r="AD866" s="37">
        <f t="shared" si="298"/>
        <v>13.234648905526701</v>
      </c>
      <c r="AE866" s="39">
        <f t="shared" si="299"/>
        <v>-1.0167147704909794</v>
      </c>
      <c r="AF866" s="39">
        <f t="shared" si="300"/>
        <v>5.5211605433270758</v>
      </c>
      <c r="AG866" s="39">
        <f t="shared" si="301"/>
        <v>-0.53544914577835623</v>
      </c>
      <c r="AH866" s="39">
        <f t="shared" si="302"/>
        <v>1.7008471672715295</v>
      </c>
      <c r="AI866" s="39">
        <f t="shared" si="303"/>
        <v>-1.7384370699917266</v>
      </c>
      <c r="AJ866" s="39">
        <f t="shared" si="304"/>
        <v>6.0126411949280962</v>
      </c>
      <c r="AK866" s="37">
        <f t="shared" si="305"/>
        <v>305150.26307767292</v>
      </c>
      <c r="AL866" s="37">
        <f t="shared" si="306"/>
        <v>317245.26939400373</v>
      </c>
      <c r="AM866" s="37">
        <f t="shared" si="307"/>
        <v>288974.79293296201</v>
      </c>
    </row>
    <row r="867" spans="12:39">
      <c r="L867">
        <v>863</v>
      </c>
      <c r="M867" s="37">
        <f t="shared" si="292"/>
        <v>5.4223889200959237</v>
      </c>
      <c r="N867" s="37">
        <f t="shared" si="286"/>
        <v>23259.168626504168</v>
      </c>
      <c r="O867" s="37">
        <f t="shared" si="287"/>
        <v>3708.1904235561969</v>
      </c>
      <c r="R867" s="37">
        <f t="shared" si="288"/>
        <v>-17718.581961447082</v>
      </c>
      <c r="S867" s="37">
        <f t="shared" si="289"/>
        <v>7345.7332964893376</v>
      </c>
      <c r="V867" s="37">
        <f t="shared" si="290"/>
        <v>-1740.8313734958319</v>
      </c>
      <c r="W867" s="37">
        <f t="shared" si="291"/>
        <v>-18791.809576443804</v>
      </c>
      <c r="Y867" s="37">
        <f t="shared" si="293"/>
        <v>75638.643472352036</v>
      </c>
      <c r="Z867" s="37">
        <f t="shared" si="294"/>
        <v>-293144.49187230936</v>
      </c>
      <c r="AA867" s="37">
        <f t="shared" si="295"/>
        <v>748.80465086172001</v>
      </c>
      <c r="AB867" s="37">
        <f t="shared" si="296"/>
        <v>-1077.0707795204644</v>
      </c>
      <c r="AC867" s="37">
        <f t="shared" si="297"/>
        <v>-3.2873070047114581</v>
      </c>
      <c r="AD867" s="37">
        <f t="shared" si="298"/>
        <v>13.178070307275961</v>
      </c>
      <c r="AE867" s="39">
        <f t="shared" si="299"/>
        <v>-1.0176098856141393</v>
      </c>
      <c r="AF867" s="39">
        <f t="shared" si="300"/>
        <v>5.4986748039018769</v>
      </c>
      <c r="AG867" s="39">
        <f t="shared" si="301"/>
        <v>-0.53437830790964513</v>
      </c>
      <c r="AH867" s="39">
        <f t="shared" si="302"/>
        <v>1.6938115675562071</v>
      </c>
      <c r="AI867" s="39">
        <f t="shared" si="303"/>
        <v>-1.7353188111876736</v>
      </c>
      <c r="AJ867" s="39">
        <f t="shared" si="304"/>
        <v>5.9855839358178766</v>
      </c>
      <c r="AK867" s="37">
        <f t="shared" si="305"/>
        <v>305749.52026226075</v>
      </c>
      <c r="AL867" s="37">
        <f t="shared" si="306"/>
        <v>317873.13991237496</v>
      </c>
      <c r="AM867" s="37">
        <f t="shared" si="307"/>
        <v>289597.90948825283</v>
      </c>
    </row>
    <row r="868" spans="12:39">
      <c r="L868">
        <v>864</v>
      </c>
      <c r="M868" s="37">
        <f t="shared" si="292"/>
        <v>5.4286721054031029</v>
      </c>
      <c r="N868" s="37">
        <f t="shared" si="286"/>
        <v>23282.928778764555</v>
      </c>
      <c r="O868" s="37">
        <f t="shared" si="287"/>
        <v>3728.7430963192846</v>
      </c>
      <c r="R868" s="37">
        <f t="shared" si="288"/>
        <v>-17701.949854864812</v>
      </c>
      <c r="S868" s="37">
        <f t="shared" si="289"/>
        <v>7360.1201674234999</v>
      </c>
      <c r="V868" s="37">
        <f t="shared" si="290"/>
        <v>-1717.0712212354433</v>
      </c>
      <c r="W868" s="37">
        <f t="shared" si="291"/>
        <v>-18771.256903680714</v>
      </c>
      <c r="Y868" s="37">
        <f t="shared" si="293"/>
        <v>76012.634884407307</v>
      </c>
      <c r="Z868" s="37">
        <f t="shared" si="294"/>
        <v>-293681.38000328117</v>
      </c>
      <c r="AA868" s="37">
        <f t="shared" si="295"/>
        <v>747.16099735936427</v>
      </c>
      <c r="AB868" s="37">
        <f t="shared" si="296"/>
        <v>-1070.4817443668264</v>
      </c>
      <c r="AC868" s="37">
        <f t="shared" si="297"/>
        <v>-3.2840405173119427</v>
      </c>
      <c r="AD868" s="37">
        <f t="shared" si="298"/>
        <v>13.12212577723168</v>
      </c>
      <c r="AE868" s="39">
        <f t="shared" si="299"/>
        <v>-1.0184877740772189</v>
      </c>
      <c r="AF868" s="39">
        <f t="shared" si="300"/>
        <v>5.4764349855364358</v>
      </c>
      <c r="AG868" s="39">
        <f t="shared" si="301"/>
        <v>-0.53331953663635168</v>
      </c>
      <c r="AH868" s="39">
        <f t="shared" si="302"/>
        <v>1.6868531216066058</v>
      </c>
      <c r="AI868" s="39">
        <f t="shared" si="303"/>
        <v>-1.7322332065983721</v>
      </c>
      <c r="AJ868" s="39">
        <f t="shared" si="304"/>
        <v>5.9588376700886396</v>
      </c>
      <c r="AK868" s="37">
        <f t="shared" si="305"/>
        <v>306345.62005580362</v>
      </c>
      <c r="AL868" s="37">
        <f t="shared" si="306"/>
        <v>318497.734086357</v>
      </c>
      <c r="AM868" s="37">
        <f t="shared" si="307"/>
        <v>290217.77783493465</v>
      </c>
    </row>
    <row r="869" spans="12:39">
      <c r="L869">
        <v>865</v>
      </c>
      <c r="M869" s="37">
        <f t="shared" si="292"/>
        <v>5.434955290710282</v>
      </c>
      <c r="N869" s="37">
        <f t="shared" si="286"/>
        <v>23306.559326618033</v>
      </c>
      <c r="O869" s="37">
        <f t="shared" si="287"/>
        <v>3749.4446518475033</v>
      </c>
      <c r="R869" s="37">
        <f t="shared" si="288"/>
        <v>-17685.408471367376</v>
      </c>
      <c r="S869" s="37">
        <f t="shared" si="289"/>
        <v>7374.6112562932522</v>
      </c>
      <c r="V869" s="37">
        <f t="shared" si="290"/>
        <v>-1693.4406733819669</v>
      </c>
      <c r="W869" s="37">
        <f t="shared" si="291"/>
        <v>-18750.555348152498</v>
      </c>
      <c r="Y869" s="37">
        <f t="shared" si="293"/>
        <v>76385.804878022333</v>
      </c>
      <c r="Z869" s="37">
        <f t="shared" si="294"/>
        <v>-294214.9806097424</v>
      </c>
      <c r="AA869" s="37">
        <f t="shared" si="295"/>
        <v>745.5189771007083</v>
      </c>
      <c r="AB869" s="37">
        <f t="shared" si="296"/>
        <v>-1063.9206814782106</v>
      </c>
      <c r="AC869" s="37">
        <f t="shared" si="297"/>
        <v>-3.280801675005848</v>
      </c>
      <c r="AD869" s="37">
        <f t="shared" si="298"/>
        <v>13.066806019248617</v>
      </c>
      <c r="AE869" s="39">
        <f t="shared" si="299"/>
        <v>-1.0193489710510182</v>
      </c>
      <c r="AF869" s="39">
        <f t="shared" si="300"/>
        <v>5.4544376142282331</v>
      </c>
      <c r="AG869" s="39">
        <f t="shared" si="301"/>
        <v>-0.53227270248248548</v>
      </c>
      <c r="AH869" s="39">
        <f t="shared" si="302"/>
        <v>1.6799707184032275</v>
      </c>
      <c r="AI869" s="39">
        <f t="shared" si="303"/>
        <v>-1.7291800014723442</v>
      </c>
      <c r="AJ869" s="39">
        <f t="shared" si="304"/>
        <v>5.9323976866171559</v>
      </c>
      <c r="AK869" s="37">
        <f t="shared" si="305"/>
        <v>306938.57449997979</v>
      </c>
      <c r="AL869" s="37">
        <f t="shared" si="306"/>
        <v>319119.0652552275</v>
      </c>
      <c r="AM869" s="37">
        <f t="shared" si="307"/>
        <v>290834.41101861099</v>
      </c>
    </row>
    <row r="870" spans="12:39">
      <c r="L870">
        <v>866</v>
      </c>
      <c r="M870" s="37">
        <f t="shared" si="292"/>
        <v>5.4412384760174612</v>
      </c>
      <c r="N870" s="37">
        <f t="shared" si="286"/>
        <v>23330.059337171031</v>
      </c>
      <c r="O870" s="37">
        <f t="shared" si="287"/>
        <v>3770.2942728788876</v>
      </c>
      <c r="R870" s="37">
        <f t="shared" si="288"/>
        <v>-17668.958463980278</v>
      </c>
      <c r="S870" s="37">
        <f t="shared" si="289"/>
        <v>7389.2059910152211</v>
      </c>
      <c r="V870" s="37">
        <f t="shared" si="290"/>
        <v>-1669.940662828968</v>
      </c>
      <c r="W870" s="37">
        <f t="shared" si="291"/>
        <v>-18729.705727121112</v>
      </c>
      <c r="Y870" s="37">
        <f t="shared" si="293"/>
        <v>76758.154266363301</v>
      </c>
      <c r="Z870" s="37">
        <f t="shared" si="294"/>
        <v>-294745.3075997291</v>
      </c>
      <c r="AA870" s="37">
        <f t="shared" si="295"/>
        <v>743.87857626320533</v>
      </c>
      <c r="AB870" s="37">
        <f t="shared" si="296"/>
        <v>-1057.3872784685861</v>
      </c>
      <c r="AC870" s="37">
        <f t="shared" si="297"/>
        <v>-3.2775906198997489</v>
      </c>
      <c r="AD870" s="37">
        <f t="shared" si="298"/>
        <v>13.012101919748968</v>
      </c>
      <c r="AE870" s="39">
        <f t="shared" si="299"/>
        <v>-1.0201939980992631</v>
      </c>
      <c r="AF870" s="39">
        <f t="shared" si="300"/>
        <v>5.4326792819907936</v>
      </c>
      <c r="AG870" s="39">
        <f t="shared" si="301"/>
        <v>-0.53123767815716394</v>
      </c>
      <c r="AH870" s="39">
        <f t="shared" si="302"/>
        <v>1.6731632684197499</v>
      </c>
      <c r="AI870" s="39">
        <f t="shared" si="303"/>
        <v>-1.7261589436433218</v>
      </c>
      <c r="AJ870" s="39">
        <f t="shared" si="304"/>
        <v>5.9062593693384242</v>
      </c>
      <c r="AK870" s="37">
        <f t="shared" si="305"/>
        <v>307528.39550483652</v>
      </c>
      <c r="AL870" s="37">
        <f t="shared" si="306"/>
        <v>319737.14660809567</v>
      </c>
      <c r="AM870" s="37">
        <f t="shared" si="307"/>
        <v>291447.82193921012</v>
      </c>
    </row>
    <row r="871" spans="12:39">
      <c r="L871">
        <v>867</v>
      </c>
      <c r="M871" s="37">
        <f t="shared" si="292"/>
        <v>5.4475216613246404</v>
      </c>
      <c r="N871" s="37">
        <f t="shared" si="286"/>
        <v>23353.427882683376</v>
      </c>
      <c r="O871" s="37">
        <f t="shared" si="287"/>
        <v>3791.2911363060994</v>
      </c>
      <c r="R871" s="37">
        <f t="shared" si="288"/>
        <v>-17652.600482121637</v>
      </c>
      <c r="S871" s="37">
        <f t="shared" si="289"/>
        <v>7403.9037954142696</v>
      </c>
      <c r="V871" s="37">
        <f t="shared" si="290"/>
        <v>-1646.5721173166257</v>
      </c>
      <c r="W871" s="37">
        <f t="shared" si="291"/>
        <v>-18708.708863693901</v>
      </c>
      <c r="Y871" s="37">
        <f t="shared" si="293"/>
        <v>77129.683855667419</v>
      </c>
      <c r="Z871" s="37">
        <f t="shared" si="294"/>
        <v>-295272.37472622341</v>
      </c>
      <c r="AA871" s="37">
        <f t="shared" si="295"/>
        <v>742.23978095325549</v>
      </c>
      <c r="AB871" s="37">
        <f t="shared" si="296"/>
        <v>-1050.8812275087116</v>
      </c>
      <c r="AC871" s="37">
        <f t="shared" si="297"/>
        <v>-3.2744074856198466</v>
      </c>
      <c r="AD871" s="37">
        <f t="shared" si="298"/>
        <v>12.958004543351102</v>
      </c>
      <c r="AE871" s="39">
        <f t="shared" si="299"/>
        <v>-1.0210233635767036</v>
      </c>
      <c r="AF871" s="39">
        <f t="shared" si="300"/>
        <v>5.411156645327865</v>
      </c>
      <c r="AG871" s="39">
        <f t="shared" si="301"/>
        <v>-0.53021433851134214</v>
      </c>
      <c r="AH871" s="39">
        <f t="shared" si="302"/>
        <v>1.6664297031149735</v>
      </c>
      <c r="AI871" s="39">
        <f t="shared" si="303"/>
        <v>-1.7231697835318007</v>
      </c>
      <c r="AJ871" s="39">
        <f t="shared" si="304"/>
        <v>5.8804181949082635</v>
      </c>
      <c r="AK871" s="37">
        <f t="shared" si="305"/>
        <v>308115.09485061769</v>
      </c>
      <c r="AL871" s="37">
        <f t="shared" si="306"/>
        <v>320351.99118608527</v>
      </c>
      <c r="AM871" s="37">
        <f t="shared" si="307"/>
        <v>292058.02335308038</v>
      </c>
    </row>
    <row r="872" spans="12:39">
      <c r="L872">
        <v>868</v>
      </c>
      <c r="M872" s="37">
        <f t="shared" si="292"/>
        <v>5.4538048466318196</v>
      </c>
      <c r="N872" s="37">
        <f t="shared" si="286"/>
        <v>23376.664040604897</v>
      </c>
      <c r="O872" s="37">
        <f t="shared" si="287"/>
        <v>3812.4344132089232</v>
      </c>
      <c r="R872" s="37">
        <f t="shared" si="288"/>
        <v>-17636.335171576575</v>
      </c>
      <c r="S872" s="37">
        <f t="shared" si="289"/>
        <v>7418.7040892462464</v>
      </c>
      <c r="V872" s="37">
        <f t="shared" si="290"/>
        <v>-1623.3359593951041</v>
      </c>
      <c r="W872" s="37">
        <f t="shared" si="291"/>
        <v>-18687.565586791075</v>
      </c>
      <c r="Y872" s="37">
        <f t="shared" si="293"/>
        <v>77500.394445208338</v>
      </c>
      <c r="Z872" s="37">
        <f t="shared" si="294"/>
        <v>-295796.19558940985</v>
      </c>
      <c r="AA872" s="37">
        <f t="shared" si="295"/>
        <v>740.60257721044559</v>
      </c>
      <c r="AB872" s="37">
        <f t="shared" si="296"/>
        <v>-1044.402225237036</v>
      </c>
      <c r="AC872" s="37">
        <f t="shared" si="297"/>
        <v>-3.271252397655021</v>
      </c>
      <c r="AD872" s="37">
        <f t="shared" si="298"/>
        <v>12.904505128623429</v>
      </c>
      <c r="AE872" s="39">
        <f t="shared" si="299"/>
        <v>-1.021837563014399</v>
      </c>
      <c r="AF872" s="39">
        <f t="shared" si="300"/>
        <v>5.3898664237502025</v>
      </c>
      <c r="AG872" s="39">
        <f t="shared" si="301"/>
        <v>-0.52920256049565895</v>
      </c>
      <c r="AH872" s="39">
        <f t="shared" si="302"/>
        <v>1.6597689744392627</v>
      </c>
      <c r="AI872" s="39">
        <f t="shared" si="303"/>
        <v>-1.720212274144963</v>
      </c>
      <c r="AJ872" s="39">
        <f t="shared" si="304"/>
        <v>5.854869730433963</v>
      </c>
      <c r="AK872" s="37">
        <f t="shared" si="305"/>
        <v>308698.68418955739</v>
      </c>
      <c r="AL872" s="37">
        <f t="shared" si="306"/>
        <v>320963.61188447487</v>
      </c>
      <c r="AM872" s="37">
        <f t="shared" si="307"/>
        <v>292665.02787504537</v>
      </c>
    </row>
    <row r="873" spans="12:39">
      <c r="L873">
        <v>869</v>
      </c>
      <c r="M873" s="37">
        <f t="shared" si="292"/>
        <v>5.4600880319389988</v>
      </c>
      <c r="N873" s="37">
        <f t="shared" si="286"/>
        <v>23399.766893611868</v>
      </c>
      <c r="O873" s="37">
        <f t="shared" si="287"/>
        <v>3833.7232688869899</v>
      </c>
      <c r="R873" s="37">
        <f t="shared" si="288"/>
        <v>-17620.163174471691</v>
      </c>
      <c r="S873" s="37">
        <f t="shared" si="289"/>
        <v>7433.6062882208935</v>
      </c>
      <c r="V873" s="37">
        <f t="shared" si="290"/>
        <v>-1600.2331063881311</v>
      </c>
      <c r="W873" s="37">
        <f t="shared" si="291"/>
        <v>-18666.276731113008</v>
      </c>
      <c r="Y873" s="37">
        <f t="shared" si="293"/>
        <v>77870.286827263844</v>
      </c>
      <c r="Z873" s="37">
        <f t="shared" si="294"/>
        <v>-296316.78363888728</v>
      </c>
      <c r="AA873" s="37">
        <f t="shared" si="295"/>
        <v>738.96695101161811</v>
      </c>
      <c r="AB873" s="37">
        <f t="shared" si="296"/>
        <v>-1037.9499726727242</v>
      </c>
      <c r="AC873" s="37">
        <f t="shared" si="297"/>
        <v>-3.2681254736867738</v>
      </c>
      <c r="AD873" s="37">
        <f t="shared" si="298"/>
        <v>12.851595083957701</v>
      </c>
      <c r="AE873" s="39">
        <f t="shared" si="299"/>
        <v>-1.0226370794924284</v>
      </c>
      <c r="AF873" s="39">
        <f t="shared" si="300"/>
        <v>5.3688053983323334</v>
      </c>
      <c r="AG873" s="39">
        <f t="shared" si="301"/>
        <v>-0.52820222311921972</v>
      </c>
      <c r="AH873" s="39">
        <f t="shared" si="302"/>
        <v>1.6531800543545279</v>
      </c>
      <c r="AI873" s="39">
        <f t="shared" si="303"/>
        <v>-1.7172861710751259</v>
      </c>
      <c r="AJ873" s="39">
        <f t="shared" si="304"/>
        <v>5.8296096312708405</v>
      </c>
      <c r="AK873" s="37">
        <f t="shared" si="305"/>
        <v>309279.17504763918</v>
      </c>
      <c r="AL873" s="37">
        <f t="shared" si="306"/>
        <v>321572.02145479596</v>
      </c>
      <c r="AM873" s="37">
        <f t="shared" si="307"/>
        <v>293268.84798041795</v>
      </c>
    </row>
    <row r="874" spans="12:39">
      <c r="L874">
        <v>870</v>
      </c>
      <c r="M874" s="37">
        <f t="shared" si="292"/>
        <v>5.466371217246178</v>
      </c>
      <c r="N874" s="37">
        <f t="shared" si="286"/>
        <v>23422.735529643218</v>
      </c>
      <c r="O874" s="37">
        <f t="shared" si="287"/>
        <v>3855.1568628927298</v>
      </c>
      <c r="R874" s="37">
        <f t="shared" si="288"/>
        <v>-17604.085129249746</v>
      </c>
      <c r="S874" s="37">
        <f t="shared" si="289"/>
        <v>7448.6098040249108</v>
      </c>
      <c r="V874" s="37">
        <f t="shared" si="290"/>
        <v>-1577.2644703567835</v>
      </c>
      <c r="W874" s="37">
        <f t="shared" si="291"/>
        <v>-18644.843137107269</v>
      </c>
      <c r="Y874" s="37">
        <f t="shared" si="293"/>
        <v>78239.36178708545</v>
      </c>
      <c r="Z874" s="37">
        <f t="shared" si="294"/>
        <v>-296834.15217583813</v>
      </c>
      <c r="AA874" s="37">
        <f t="shared" si="295"/>
        <v>737.33288827477475</v>
      </c>
      <c r="AB874" s="37">
        <f t="shared" si="296"/>
        <v>-1031.5241751307453</v>
      </c>
      <c r="AC874" s="37">
        <f t="shared" si="297"/>
        <v>-3.2650268239067577</v>
      </c>
      <c r="AD874" s="37">
        <f t="shared" si="298"/>
        <v>12.799265983558737</v>
      </c>
      <c r="AE874" s="39">
        <f t="shared" si="299"/>
        <v>-1.0234223840006025</v>
      </c>
      <c r="AF874" s="39">
        <f t="shared" si="300"/>
        <v>5.3479704103087382</v>
      </c>
      <c r="AG874" s="39">
        <f t="shared" si="301"/>
        <v>-0.527213207409436</v>
      </c>
      <c r="AH874" s="39">
        <f t="shared" si="302"/>
        <v>1.6466619343677831</v>
      </c>
      <c r="AI874" s="39">
        <f t="shared" si="303"/>
        <v>-1.7143912324967194</v>
      </c>
      <c r="AJ874" s="39">
        <f t="shared" si="304"/>
        <v>5.8046336388822155</v>
      </c>
      <c r="AK874" s="37">
        <f t="shared" si="305"/>
        <v>309856.57882632286</v>
      </c>
      <c r="AL874" s="37">
        <f t="shared" si="306"/>
        <v>322177.2325068909</v>
      </c>
      <c r="AM874" s="37">
        <f t="shared" si="307"/>
        <v>293869.49600697716</v>
      </c>
    </row>
    <row r="875" spans="12:39">
      <c r="L875">
        <v>871</v>
      </c>
      <c r="M875" s="37">
        <f t="shared" si="292"/>
        <v>5.4726544025533572</v>
      </c>
      <c r="N875" s="37">
        <f t="shared" si="286"/>
        <v>23445.569041936516</v>
      </c>
      <c r="O875" s="37">
        <f t="shared" si="287"/>
        <v>3876.7343490645512</v>
      </c>
      <c r="R875" s="37">
        <f t="shared" si="288"/>
        <v>-17588.101670644439</v>
      </c>
      <c r="S875" s="37">
        <f t="shared" si="289"/>
        <v>7463.7140443451863</v>
      </c>
      <c r="V875" s="37">
        <f t="shared" si="290"/>
        <v>-1554.4309580634845</v>
      </c>
      <c r="W875" s="37">
        <f t="shared" si="291"/>
        <v>-18623.265650935449</v>
      </c>
      <c r="Y875" s="37">
        <f t="shared" si="293"/>
        <v>78607.620102869856</v>
      </c>
      <c r="Z875" s="37">
        <f t="shared" si="294"/>
        <v>-297348.31435515557</v>
      </c>
      <c r="AA875" s="37">
        <f t="shared" si="295"/>
        <v>735.70037486282138</v>
      </c>
      <c r="AB875" s="37">
        <f t="shared" si="296"/>
        <v>-1025.124542138966</v>
      </c>
      <c r="AC875" s="37">
        <f t="shared" si="297"/>
        <v>-3.2619565513224016</v>
      </c>
      <c r="AD875" s="37">
        <f t="shared" si="298"/>
        <v>12.747509563546753</v>
      </c>
      <c r="AE875" s="39">
        <f t="shared" si="299"/>
        <v>-1.0241939357875922</v>
      </c>
      <c r="AF875" s="39">
        <f t="shared" si="300"/>
        <v>5.3273583597080956</v>
      </c>
      <c r="AG875" s="39">
        <f t="shared" si="301"/>
        <v>-0.52623539637277783</v>
      </c>
      <c r="AH875" s="39">
        <f t="shared" si="302"/>
        <v>1.6402136250774726</v>
      </c>
      <c r="AI875" s="39">
        <f t="shared" si="303"/>
        <v>-1.7115272191620314</v>
      </c>
      <c r="AJ875" s="39">
        <f t="shared" si="304"/>
        <v>5.7799375787611851</v>
      </c>
      <c r="AK875" s="37">
        <f t="shared" si="305"/>
        <v>310430.90680423891</v>
      </c>
      <c r="AL875" s="37">
        <f t="shared" si="306"/>
        <v>322779.25751093024</v>
      </c>
      <c r="AM875" s="37">
        <f t="shared" si="307"/>
        <v>294466.98415690608</v>
      </c>
    </row>
    <row r="876" spans="12:39">
      <c r="L876">
        <v>872</v>
      </c>
      <c r="M876" s="37">
        <f t="shared" si="292"/>
        <v>5.4789375878605364</v>
      </c>
      <c r="N876" s="37">
        <f t="shared" si="286"/>
        <v>23468.2665290638</v>
      </c>
      <c r="O876" s="37">
        <f t="shared" si="287"/>
        <v>3898.4548755602473</v>
      </c>
      <c r="R876" s="37">
        <f t="shared" si="288"/>
        <v>-17572.213429655341</v>
      </c>
      <c r="S876" s="37">
        <f t="shared" si="289"/>
        <v>7478.9184128921734</v>
      </c>
      <c r="V876" s="37">
        <f t="shared" si="290"/>
        <v>-1531.7334709362017</v>
      </c>
      <c r="W876" s="37">
        <f t="shared" si="291"/>
        <v>-18601.545124439752</v>
      </c>
      <c r="Y876" s="37">
        <f t="shared" si="293"/>
        <v>78975.062545732348</v>
      </c>
      <c r="Z876" s="37">
        <f t="shared" si="294"/>
        <v>-297859.28318752965</v>
      </c>
      <c r="AA876" s="37">
        <f t="shared" si="295"/>
        <v>734.06939658716021</v>
      </c>
      <c r="AB876" s="37">
        <f t="shared" si="296"/>
        <v>-1018.7507873571926</v>
      </c>
      <c r="AC876" s="37">
        <f t="shared" si="297"/>
        <v>-3.2589147520510933</v>
      </c>
      <c r="AD876" s="37">
        <f t="shared" si="298"/>
        <v>12.696317718168583</v>
      </c>
      <c r="AE876" s="39">
        <f t="shared" si="299"/>
        <v>-1.0249521826988754</v>
      </c>
      <c r="AF876" s="39">
        <f t="shared" si="300"/>
        <v>5.3069662040243291</v>
      </c>
      <c r="AG876" s="39">
        <f t="shared" si="301"/>
        <v>-0.52526867495652763</v>
      </c>
      <c r="AH876" s="39">
        <f t="shared" si="302"/>
        <v>1.6338341557325216</v>
      </c>
      <c r="AI876" s="39">
        <f t="shared" si="303"/>
        <v>-1.7086938943956902</v>
      </c>
      <c r="AJ876" s="39">
        <f t="shared" si="304"/>
        <v>5.7555173584117316</v>
      </c>
      <c r="AK876" s="37">
        <f t="shared" si="305"/>
        <v>311002.17013885122</v>
      </c>
      <c r="AL876" s="37">
        <f t="shared" si="306"/>
        <v>323378.10879939166</v>
      </c>
      <c r="AM876" s="37">
        <f t="shared" si="307"/>
        <v>295061.32449869259</v>
      </c>
    </row>
    <row r="877" spans="12:39">
      <c r="L877">
        <v>873</v>
      </c>
      <c r="M877" s="37">
        <f t="shared" si="292"/>
        <v>5.4852207731677156</v>
      </c>
      <c r="N877" s="37">
        <f t="shared" si="286"/>
        <v>23490.827094967135</v>
      </c>
      <c r="O877" s="37">
        <f t="shared" si="287"/>
        <v>3920.317584890623</v>
      </c>
      <c r="R877" s="37">
        <f t="shared" si="288"/>
        <v>-17556.421033523005</v>
      </c>
      <c r="S877" s="37">
        <f t="shared" si="289"/>
        <v>7494.2223094234359</v>
      </c>
      <c r="V877" s="37">
        <f t="shared" si="290"/>
        <v>-1509.1729050328636</v>
      </c>
      <c r="W877" s="37">
        <f t="shared" si="291"/>
        <v>-18579.682415109375</v>
      </c>
      <c r="Y877" s="37">
        <f t="shared" si="293"/>
        <v>79341.689879681915</v>
      </c>
      <c r="Z877" s="37">
        <f t="shared" si="294"/>
        <v>-298367.07154149347</v>
      </c>
      <c r="AA877" s="37">
        <f t="shared" si="295"/>
        <v>732.43993921113463</v>
      </c>
      <c r="AB877" s="37">
        <f t="shared" si="296"/>
        <v>-1012.4026284981084</v>
      </c>
      <c r="AC877" s="37">
        <f t="shared" si="297"/>
        <v>-3.2559015156032358</v>
      </c>
      <c r="AD877" s="37">
        <f t="shared" si="298"/>
        <v>12.645682496113876</v>
      </c>
      <c r="AE877" s="39">
        <f t="shared" si="299"/>
        <v>-1.025697561503927</v>
      </c>
      <c r="AF877" s="39">
        <f t="shared" si="300"/>
        <v>5.286790956923431</v>
      </c>
      <c r="AG877" s="39">
        <f t="shared" si="301"/>
        <v>-0.5243129300113738</v>
      </c>
      <c r="AH877" s="39">
        <f t="shared" si="302"/>
        <v>1.6275225738032821</v>
      </c>
      <c r="AI877" s="39">
        <f t="shared" si="303"/>
        <v>-1.705891024087935</v>
      </c>
      <c r="AJ877" s="39">
        <f t="shared" si="304"/>
        <v>5.7313689653871629</v>
      </c>
      <c r="AK877" s="37">
        <f t="shared" si="305"/>
        <v>311570.37986808922</v>
      </c>
      <c r="AL877" s="37">
        <f t="shared" si="306"/>
        <v>323973.79856900073</v>
      </c>
      <c r="AM877" s="37">
        <f t="shared" si="307"/>
        <v>295652.5289689948</v>
      </c>
    </row>
    <row r="878" spans="12:39">
      <c r="L878">
        <v>874</v>
      </c>
      <c r="M878" s="37">
        <f t="shared" si="292"/>
        <v>5.4915039584748948</v>
      </c>
      <c r="N878" s="37">
        <f t="shared" si="286"/>
        <v>23513.249848994019</v>
      </c>
      <c r="O878" s="37">
        <f t="shared" si="287"/>
        <v>3942.3216139533488</v>
      </c>
      <c r="R878" s="37">
        <f t="shared" si="288"/>
        <v>-17540.725105704187</v>
      </c>
      <c r="S878" s="37">
        <f t="shared" si="289"/>
        <v>7509.6251297673443</v>
      </c>
      <c r="V878" s="37">
        <f t="shared" si="290"/>
        <v>-1486.750151005981</v>
      </c>
      <c r="W878" s="37">
        <f t="shared" si="291"/>
        <v>-18557.678386046653</v>
      </c>
      <c r="Y878" s="37">
        <f t="shared" si="293"/>
        <v>79707.502861598026</v>
      </c>
      <c r="Z878" s="37">
        <f t="shared" si="294"/>
        <v>-298871.69214543054</v>
      </c>
      <c r="AA878" s="37">
        <f t="shared" si="295"/>
        <v>730.81198845333302</v>
      </c>
      <c r="AB878" s="37">
        <f t="shared" si="296"/>
        <v>-1006.0797872500514</v>
      </c>
      <c r="AC878" s="37">
        <f t="shared" si="297"/>
        <v>-3.2529169251548451</v>
      </c>
      <c r="AD878" s="37">
        <f t="shared" si="298"/>
        <v>12.595596096933541</v>
      </c>
      <c r="AE878" s="39">
        <f t="shared" si="299"/>
        <v>-1.0264304982129586</v>
      </c>
      <c r="AF878" s="39">
        <f t="shared" si="300"/>
        <v>5.2668296869845825</v>
      </c>
      <c r="AG878" s="39">
        <f t="shared" si="301"/>
        <v>-0.52336805025493449</v>
      </c>
      <c r="AH878" s="39">
        <f t="shared" si="302"/>
        <v>1.6212779445643564</v>
      </c>
      <c r="AI878" s="39">
        <f t="shared" si="303"/>
        <v>-1.703118376686952</v>
      </c>
      <c r="AJ878" s="39">
        <f t="shared" si="304"/>
        <v>5.7074884653846008</v>
      </c>
      <c r="AK878" s="37">
        <f t="shared" si="305"/>
        <v>312135.54691195011</v>
      </c>
      <c r="AL878" s="37">
        <f t="shared" si="306"/>
        <v>324566.33888263459</v>
      </c>
      <c r="AM878" s="37">
        <f t="shared" si="307"/>
        <v>296240.60937447066</v>
      </c>
    </row>
    <row r="879" spans="12:39">
      <c r="L879">
        <v>875</v>
      </c>
      <c r="M879" s="37">
        <f t="shared" si="292"/>
        <v>5.497787143782074</v>
      </c>
      <c r="N879" s="37">
        <f t="shared" si="286"/>
        <v>23535.533905932512</v>
      </c>
      <c r="O879" s="37">
        <f t="shared" si="287"/>
        <v>3964.4660940670356</v>
      </c>
      <c r="R879" s="37">
        <f t="shared" si="288"/>
        <v>-17525.126265847241</v>
      </c>
      <c r="S879" s="37">
        <f t="shared" si="289"/>
        <v>7525.126265846925</v>
      </c>
      <c r="V879" s="37">
        <f t="shared" si="290"/>
        <v>-1464.4660940674894</v>
      </c>
      <c r="W879" s="37">
        <f t="shared" si="291"/>
        <v>-18535.533905932964</v>
      </c>
      <c r="Y879" s="37">
        <f t="shared" si="293"/>
        <v>80072.502241209047</v>
      </c>
      <c r="Z879" s="37">
        <f t="shared" si="294"/>
        <v>-299373.15758954344</v>
      </c>
      <c r="AA879" s="37">
        <f t="shared" si="295"/>
        <v>729.18552999075564</v>
      </c>
      <c r="AB879" s="37">
        <f t="shared" si="296"/>
        <v>-999.78198920158457</v>
      </c>
      <c r="AC879" s="37">
        <f t="shared" si="297"/>
        <v>-3.2499610578099261</v>
      </c>
      <c r="AD879" s="37">
        <f t="shared" si="298"/>
        <v>12.546050867556795</v>
      </c>
      <c r="AE879" s="39">
        <f t="shared" si="299"/>
        <v>-1.027151408383727</v>
      </c>
      <c r="AF879" s="39">
        <f t="shared" si="300"/>
        <v>5.2470795164752397</v>
      </c>
      <c r="AG879" s="39">
        <f t="shared" si="301"/>
        <v>-0.52243392623613616</v>
      </c>
      <c r="AH879" s="39">
        <f t="shared" si="302"/>
        <v>1.6150993506887583</v>
      </c>
      <c r="AI879" s="39">
        <f t="shared" si="303"/>
        <v>-1.7003757231900629</v>
      </c>
      <c r="AJ879" s="39">
        <f t="shared" si="304"/>
        <v>5.6838720003927978</v>
      </c>
      <c r="AK879" s="37">
        <f t="shared" si="305"/>
        <v>312697.68207407108</v>
      </c>
      <c r="AL879" s="37">
        <f t="shared" si="306"/>
        <v>325155.74167118943</v>
      </c>
      <c r="AM879" s="37">
        <f t="shared" si="307"/>
        <v>296825.57739357272</v>
      </c>
    </row>
    <row r="880" spans="12:39">
      <c r="L880">
        <v>876</v>
      </c>
      <c r="M880" s="37">
        <f t="shared" si="292"/>
        <v>5.5040703290892532</v>
      </c>
      <c r="N880" s="37">
        <f t="shared" si="286"/>
        <v>23557.678386046198</v>
      </c>
      <c r="O880" s="37">
        <f t="shared" si="287"/>
        <v>3986.750151005524</v>
      </c>
      <c r="R880" s="37">
        <f t="shared" si="288"/>
        <v>-17509.625129767661</v>
      </c>
      <c r="S880" s="37">
        <f t="shared" si="289"/>
        <v>7540.7251057038666</v>
      </c>
      <c r="V880" s="37">
        <f t="shared" si="290"/>
        <v>-1442.3216139538004</v>
      </c>
      <c r="W880" s="37">
        <f t="shared" si="291"/>
        <v>-18513.249848994477</v>
      </c>
      <c r="Y880" s="37">
        <f t="shared" si="293"/>
        <v>80436.688761072204</v>
      </c>
      <c r="Z880" s="37">
        <f t="shared" si="294"/>
        <v>-299871.48032778577</v>
      </c>
      <c r="AA880" s="37">
        <f t="shared" si="295"/>
        <v>727.56054946185066</v>
      </c>
      <c r="AB880" s="37">
        <f t="shared" si="296"/>
        <v>-993.50896376780622</v>
      </c>
      <c r="AC880" s="37">
        <f t="shared" si="297"/>
        <v>-3.2470339848531165</v>
      </c>
      <c r="AD880" s="37">
        <f t="shared" si="298"/>
        <v>12.497039298903719</v>
      </c>
      <c r="AE880" s="39">
        <f t="shared" si="299"/>
        <v>-1.0278606974185833</v>
      </c>
      <c r="AF880" s="39">
        <f t="shared" si="300"/>
        <v>5.2275376201582509</v>
      </c>
      <c r="AG880" s="39">
        <f t="shared" si="301"/>
        <v>-0.52151045030043863</v>
      </c>
      <c r="AH880" s="39">
        <f t="shared" si="302"/>
        <v>1.6089858918531108</v>
      </c>
      <c r="AI880" s="39">
        <f t="shared" si="303"/>
        <v>-1.6976628371340943</v>
      </c>
      <c r="AJ880" s="39">
        <f t="shared" si="304"/>
        <v>5.6605157868923577</v>
      </c>
      <c r="AK880" s="37">
        <f t="shared" si="305"/>
        <v>313256.79604327359</v>
      </c>
      <c r="AL880" s="37">
        <f t="shared" si="306"/>
        <v>325742.01873541245</v>
      </c>
      <c r="AM880" s="37">
        <f t="shared" si="307"/>
        <v>297407.44457830972</v>
      </c>
    </row>
    <row r="881" spans="12:39">
      <c r="L881">
        <v>877</v>
      </c>
      <c r="M881" s="37">
        <f t="shared" si="292"/>
        <v>5.5103535143964324</v>
      </c>
      <c r="N881" s="37">
        <f t="shared" si="286"/>
        <v>23579.682415108928</v>
      </c>
      <c r="O881" s="37">
        <f t="shared" si="287"/>
        <v>4009.1729050324043</v>
      </c>
      <c r="R881" s="37">
        <f t="shared" si="288"/>
        <v>-17494.222309423749</v>
      </c>
      <c r="S881" s="37">
        <f t="shared" si="289"/>
        <v>7556.4210335226835</v>
      </c>
      <c r="V881" s="37">
        <f t="shared" si="290"/>
        <v>-1420.317584891071</v>
      </c>
      <c r="W881" s="37">
        <f t="shared" si="291"/>
        <v>-18490.827094967597</v>
      </c>
      <c r="Y881" s="37">
        <f t="shared" si="293"/>
        <v>80800.063156555028</v>
      </c>
      <c r="Z881" s="37">
        <f t="shared" si="294"/>
        <v>-300366.67267975729</v>
      </c>
      <c r="AA881" s="37">
        <f t="shared" si="295"/>
        <v>725.93703246942414</v>
      </c>
      <c r="AB881" s="37">
        <f t="shared" si="296"/>
        <v>-987.26044411835437</v>
      </c>
      <c r="AC881" s="37">
        <f t="shared" si="297"/>
        <v>-3.2441357719929145</v>
      </c>
      <c r="AD881" s="37">
        <f t="shared" si="298"/>
        <v>12.448554022590287</v>
      </c>
      <c r="AE881" s="39">
        <f t="shared" si="299"/>
        <v>-1.0285587608522544</v>
      </c>
      <c r="AF881" s="39">
        <f t="shared" si="300"/>
        <v>5.2082012241307662</v>
      </c>
      <c r="AG881" s="39">
        <f t="shared" si="301"/>
        <v>-0.52059751655583753</v>
      </c>
      <c r="AH881" s="39">
        <f t="shared" si="302"/>
        <v>1.6029366843533854</v>
      </c>
      <c r="AI881" s="39">
        <f t="shared" si="303"/>
        <v>-1.6949794945848224</v>
      </c>
      <c r="AJ881" s="39">
        <f t="shared" si="304"/>
        <v>5.6374161141061361</v>
      </c>
      <c r="AK881" s="37">
        <f t="shared" si="305"/>
        <v>313812.89939507889</v>
      </c>
      <c r="AL881" s="37">
        <f t="shared" si="306"/>
        <v>326325.18174769945</v>
      </c>
      <c r="AM881" s="37">
        <f t="shared" si="307"/>
        <v>297986.22235597501</v>
      </c>
    </row>
    <row r="882" spans="12:39">
      <c r="L882">
        <v>878</v>
      </c>
      <c r="M882" s="37">
        <f t="shared" si="292"/>
        <v>5.5166366997036116</v>
      </c>
      <c r="N882" s="37">
        <f t="shared" si="286"/>
        <v>23601.545124439308</v>
      </c>
      <c r="O882" s="37">
        <f t="shared" si="287"/>
        <v>4031.7334709357401</v>
      </c>
      <c r="R882" s="37">
        <f t="shared" si="288"/>
        <v>-17478.918412892486</v>
      </c>
      <c r="S882" s="37">
        <f t="shared" si="289"/>
        <v>7572.2134296550175</v>
      </c>
      <c r="V882" s="37">
        <f t="shared" si="290"/>
        <v>-1398.4548755606925</v>
      </c>
      <c r="W882" s="37">
        <f t="shared" si="291"/>
        <v>-18468.266529064262</v>
      </c>
      <c r="Y882" s="37">
        <f t="shared" si="293"/>
        <v>81162.626155818245</v>
      </c>
      <c r="Z882" s="37">
        <f t="shared" si="294"/>
        <v>-300858.74683256366</v>
      </c>
      <c r="AA882" s="37">
        <f t="shared" si="295"/>
        <v>724.3149645834277</v>
      </c>
      <c r="AB882" s="37">
        <f t="shared" si="296"/>
        <v>-981.03616710705921</v>
      </c>
      <c r="AC882" s="37">
        <f t="shared" si="297"/>
        <v>-3.2412664795959873</v>
      </c>
      <c r="AD882" s="37">
        <f t="shared" si="298"/>
        <v>12.400587807723305</v>
      </c>
      <c r="AE882" s="39">
        <f t="shared" si="299"/>
        <v>-1.0292459846306257</v>
      </c>
      <c r="AF882" s="39">
        <f t="shared" si="300"/>
        <v>5.1890676046936957</v>
      </c>
      <c r="AG882" s="39">
        <f t="shared" si="301"/>
        <v>-0.51969502083973007</v>
      </c>
      <c r="AH882" s="39">
        <f t="shared" si="302"/>
        <v>1.59695086073119</v>
      </c>
      <c r="AI882" s="39">
        <f t="shared" si="303"/>
        <v>-1.6923254741256315</v>
      </c>
      <c r="AJ882" s="39">
        <f t="shared" si="304"/>
        <v>5.6145693422984202</v>
      </c>
      <c r="AK882" s="37">
        <f t="shared" si="305"/>
        <v>314366.00259319623</v>
      </c>
      <c r="AL882" s="37">
        <f t="shared" si="306"/>
        <v>326905.24225385825</v>
      </c>
      <c r="AM882" s="37">
        <f t="shared" si="307"/>
        <v>298561.92203084275</v>
      </c>
    </row>
    <row r="883" spans="12:39">
      <c r="L883">
        <v>879</v>
      </c>
      <c r="M883" s="37">
        <f t="shared" si="292"/>
        <v>5.5229198850107908</v>
      </c>
      <c r="N883" s="37">
        <f t="shared" si="286"/>
        <v>23623.265650935005</v>
      </c>
      <c r="O883" s="37">
        <f t="shared" si="287"/>
        <v>4054.4309580630193</v>
      </c>
      <c r="R883" s="37">
        <f t="shared" si="288"/>
        <v>-17463.714044345495</v>
      </c>
      <c r="S883" s="37">
        <f t="shared" si="289"/>
        <v>7588.1016706441133</v>
      </c>
      <c r="V883" s="37">
        <f t="shared" si="290"/>
        <v>-1376.7343490649932</v>
      </c>
      <c r="W883" s="37">
        <f t="shared" si="291"/>
        <v>-18445.569041936982</v>
      </c>
      <c r="Y883" s="37">
        <f t="shared" si="293"/>
        <v>81524.378479800012</v>
      </c>
      <c r="Z883" s="37">
        <f t="shared" si="294"/>
        <v>-301347.7148426412</v>
      </c>
      <c r="AA883" s="37">
        <f t="shared" si="295"/>
        <v>722.69433134362976</v>
      </c>
      <c r="AB883" s="37">
        <f t="shared" si="296"/>
        <v>-974.83587320319759</v>
      </c>
      <c r="AC883" s="37">
        <f t="shared" si="297"/>
        <v>-3.2384261629127664</v>
      </c>
      <c r="AD883" s="37">
        <f t="shared" si="298"/>
        <v>12.353133557781913</v>
      </c>
      <c r="AE883" s="39">
        <f t="shared" si="299"/>
        <v>-1.0299227453808015</v>
      </c>
      <c r="AF883" s="39">
        <f t="shared" si="300"/>
        <v>5.1701340872505783</v>
      </c>
      <c r="AG883" s="39">
        <f t="shared" si="301"/>
        <v>-0.51880286068647963</v>
      </c>
      <c r="AH883" s="39">
        <f t="shared" si="302"/>
        <v>1.5910275694098368</v>
      </c>
      <c r="AI883" s="39">
        <f t="shared" si="303"/>
        <v>-1.6897005568454855</v>
      </c>
      <c r="AJ883" s="39">
        <f t="shared" si="304"/>
        <v>5.5919719011214966</v>
      </c>
      <c r="AK883" s="37">
        <f t="shared" si="305"/>
        <v>314916.11599098431</v>
      </c>
      <c r="AL883" s="37">
        <f t="shared" si="306"/>
        <v>327482.21167483937</v>
      </c>
      <c r="AM883" s="37">
        <f t="shared" si="307"/>
        <v>299134.55478583253</v>
      </c>
    </row>
    <row r="884" spans="12:39">
      <c r="L884">
        <v>880</v>
      </c>
      <c r="M884" s="37">
        <f t="shared" si="292"/>
        <v>5.52920307031797</v>
      </c>
      <c r="N884" s="37">
        <f t="shared" si="286"/>
        <v>23644.843137106833</v>
      </c>
      <c r="O884" s="37">
        <f t="shared" si="287"/>
        <v>4077.2644703563155</v>
      </c>
      <c r="R884" s="37">
        <f t="shared" si="288"/>
        <v>-17448.609804025218</v>
      </c>
      <c r="S884" s="37">
        <f t="shared" si="289"/>
        <v>7604.0851292494208</v>
      </c>
      <c r="V884" s="37">
        <f t="shared" si="290"/>
        <v>-1355.1568628931686</v>
      </c>
      <c r="W884" s="37">
        <f t="shared" si="291"/>
        <v>-18422.735529643684</v>
      </c>
      <c r="Y884" s="37">
        <f t="shared" si="293"/>
        <v>81885.320842201472</v>
      </c>
      <c r="Z884" s="37">
        <f t="shared" si="294"/>
        <v>-301833.58863754809</v>
      </c>
      <c r="AA884" s="37">
        <f t="shared" si="295"/>
        <v>721.07511826217342</v>
      </c>
      <c r="AB884" s="37">
        <f t="shared" si="296"/>
        <v>-968.65930642430669</v>
      </c>
      <c r="AC884" s="37">
        <f t="shared" si="297"/>
        <v>-3.2356148722946663</v>
      </c>
      <c r="AD884" s="37">
        <f t="shared" si="298"/>
        <v>12.306184307582988</v>
      </c>
      <c r="AE884" s="39">
        <f t="shared" si="299"/>
        <v>-1.0305894106728131</v>
      </c>
      <c r="AF884" s="39">
        <f t="shared" si="300"/>
        <v>5.1513980452353163</v>
      </c>
      <c r="AG884" s="39">
        <f t="shared" si="301"/>
        <v>-0.51792093529577743</v>
      </c>
      <c r="AH884" s="39">
        <f t="shared" si="302"/>
        <v>1.5851659743402535</v>
      </c>
      <c r="AI884" s="39">
        <f t="shared" si="303"/>
        <v>-1.6871045263260758</v>
      </c>
      <c r="AJ884" s="39">
        <f t="shared" si="304"/>
        <v>5.5696202880074175</v>
      </c>
      <c r="AK884" s="37">
        <f t="shared" si="305"/>
        <v>315463.24983288627</v>
      </c>
      <c r="AL884" s="37">
        <f t="shared" si="306"/>
        <v>328056.10130843456</v>
      </c>
      <c r="AM884" s="37">
        <f t="shared" si="307"/>
        <v>299704.13168414356</v>
      </c>
    </row>
    <row r="885" spans="12:39">
      <c r="L885">
        <v>881</v>
      </c>
      <c r="M885" s="37">
        <f t="shared" si="292"/>
        <v>5.5354862556251492</v>
      </c>
      <c r="N885" s="37">
        <f t="shared" si="286"/>
        <v>23666.276731112575</v>
      </c>
      <c r="O885" s="37">
        <f t="shared" si="287"/>
        <v>4100.23310638766</v>
      </c>
      <c r="R885" s="37">
        <f t="shared" si="288"/>
        <v>-17433.606288221199</v>
      </c>
      <c r="S885" s="37">
        <f t="shared" si="289"/>
        <v>7620.1631744713623</v>
      </c>
      <c r="V885" s="37">
        <f t="shared" si="290"/>
        <v>-1333.723268887426</v>
      </c>
      <c r="W885" s="37">
        <f t="shared" si="291"/>
        <v>-18399.766893612341</v>
      </c>
      <c r="Y885" s="37">
        <f t="shared" si="293"/>
        <v>82245.453949473522</v>
      </c>
      <c r="Z885" s="37">
        <f t="shared" si="294"/>
        <v>-302316.38001772179</v>
      </c>
      <c r="AA885" s="37">
        <f t="shared" si="295"/>
        <v>719.45731082602606</v>
      </c>
      <c r="AB885" s="37">
        <f t="shared" si="296"/>
        <v>-962.50621427051522</v>
      </c>
      <c r="AC885" s="37">
        <f t="shared" si="297"/>
        <v>-3.2328326534034622</v>
      </c>
      <c r="AD885" s="37">
        <f t="shared" si="298"/>
        <v>12.259733220328595</v>
      </c>
      <c r="AE885" s="39">
        <f t="shared" si="299"/>
        <v>-1.0312463392732276</v>
      </c>
      <c r="AF885" s="39">
        <f t="shared" si="300"/>
        <v>5.1328568990677441</v>
      </c>
      <c r="AG885" s="39">
        <f t="shared" si="301"/>
        <v>-0.51704914550173486</v>
      </c>
      <c r="AH885" s="39">
        <f t="shared" si="302"/>
        <v>1.5793652546562893</v>
      </c>
      <c r="AI885" s="39">
        <f t="shared" si="303"/>
        <v>-1.6845371686284996</v>
      </c>
      <c r="AJ885" s="39">
        <f t="shared" si="304"/>
        <v>5.5475110666045619</v>
      </c>
      <c r="AK885" s="37">
        <f t="shared" si="305"/>
        <v>316007.41425583896</v>
      </c>
      <c r="AL885" s="37">
        <f t="shared" si="306"/>
        <v>328626.9223309434</v>
      </c>
      <c r="AM885" s="37">
        <f t="shared" si="307"/>
        <v>300270.66367085814</v>
      </c>
    </row>
    <row r="886" spans="12:39">
      <c r="L886">
        <v>882</v>
      </c>
      <c r="M886" s="37">
        <f t="shared" si="292"/>
        <v>5.5417694409323284</v>
      </c>
      <c r="N886" s="37">
        <f t="shared" si="286"/>
        <v>23687.565586790643</v>
      </c>
      <c r="O886" s="37">
        <f t="shared" si="287"/>
        <v>4123.3359593946316</v>
      </c>
      <c r="R886" s="37">
        <f t="shared" si="288"/>
        <v>-17418.704089246548</v>
      </c>
      <c r="S886" s="37">
        <f t="shared" si="289"/>
        <v>7636.3351715762419</v>
      </c>
      <c r="V886" s="37">
        <f t="shared" si="290"/>
        <v>-1312.4344132093561</v>
      </c>
      <c r="W886" s="37">
        <f t="shared" si="291"/>
        <v>-18376.66404060537</v>
      </c>
      <c r="Y886" s="37">
        <f t="shared" si="293"/>
        <v>82604.778500804852</v>
      </c>
      <c r="Z886" s="37">
        <f t="shared" si="294"/>
        <v>-302796.10065820452</v>
      </c>
      <c r="AA886" s="37">
        <f t="shared" si="295"/>
        <v>717.84089449932435</v>
      </c>
      <c r="AB886" s="37">
        <f t="shared" si="296"/>
        <v>-956.37634766035092</v>
      </c>
      <c r="AC886" s="37">
        <f t="shared" si="297"/>
        <v>-3.2300795474128625</v>
      </c>
      <c r="AD886" s="37">
        <f t="shared" si="298"/>
        <v>12.213773584731953</v>
      </c>
      <c r="AE886" s="39">
        <f t="shared" si="299"/>
        <v>-1.0318938813909637</v>
      </c>
      <c r="AF886" s="39">
        <f t="shared" si="300"/>
        <v>5.1145081151362817</v>
      </c>
      <c r="AG886" s="39">
        <f t="shared" si="301"/>
        <v>-0.51618739374266476</v>
      </c>
      <c r="AH886" s="39">
        <f t="shared" si="302"/>
        <v>1.5736246043390685</v>
      </c>
      <c r="AI886" s="39">
        <f t="shared" si="303"/>
        <v>-1.6819982722792337</v>
      </c>
      <c r="AJ886" s="39">
        <f t="shared" si="304"/>
        <v>5.5256408652566034</v>
      </c>
      <c r="AK886" s="37">
        <f t="shared" si="305"/>
        <v>316548.61929065723</v>
      </c>
      <c r="AL886" s="37">
        <f t="shared" si="306"/>
        <v>329194.6857988094</v>
      </c>
      <c r="AM886" s="37">
        <f t="shared" si="307"/>
        <v>300834.16157451679</v>
      </c>
    </row>
    <row r="887" spans="12:39">
      <c r="L887">
        <v>883</v>
      </c>
      <c r="M887" s="37">
        <f t="shared" si="292"/>
        <v>5.5480526262395076</v>
      </c>
      <c r="N887" s="37">
        <f t="shared" si="286"/>
        <v>23708.708863693471</v>
      </c>
      <c r="O887" s="37">
        <f t="shared" si="287"/>
        <v>4146.5721173161501</v>
      </c>
      <c r="R887" s="37">
        <f t="shared" si="288"/>
        <v>-17403.903795414572</v>
      </c>
      <c r="S887" s="37">
        <f t="shared" si="289"/>
        <v>7652.6004821213046</v>
      </c>
      <c r="V887" s="37">
        <f t="shared" si="290"/>
        <v>-1291.2911363065296</v>
      </c>
      <c r="W887" s="37">
        <f t="shared" si="291"/>
        <v>-18353.427882683849</v>
      </c>
      <c r="Y887" s="37">
        <f t="shared" si="293"/>
        <v>82963.295188111093</v>
      </c>
      <c r="Z887" s="37">
        <f t="shared" si="294"/>
        <v>-303272.76211033657</v>
      </c>
      <c r="AA887" s="37">
        <f t="shared" si="295"/>
        <v>716.22585472561786</v>
      </c>
      <c r="AB887" s="37">
        <f t="shared" si="296"/>
        <v>-950.26946086798489</v>
      </c>
      <c r="AC887" s="37">
        <f t="shared" si="297"/>
        <v>-3.2273555912027305</v>
      </c>
      <c r="AD887" s="37">
        <f t="shared" si="298"/>
        <v>12.168298812220023</v>
      </c>
      <c r="AE887" s="39">
        <f t="shared" si="299"/>
        <v>-1.0325323789155343</v>
      </c>
      <c r="AF887" s="39">
        <f t="shared" si="300"/>
        <v>5.0963492048066641</v>
      </c>
      <c r="AG887" s="39">
        <f t="shared" si="301"/>
        <v>-0.51533558403156809</v>
      </c>
      <c r="AH887" s="39">
        <f t="shared" si="302"/>
        <v>1.567943231890212</v>
      </c>
      <c r="AI887" s="39">
        <f t="shared" si="303"/>
        <v>-1.6794876282556281</v>
      </c>
      <c r="AJ887" s="39">
        <f t="shared" si="304"/>
        <v>5.5040063755231481</v>
      </c>
      <c r="AK887" s="37">
        <f t="shared" si="305"/>
        <v>317086.87486339302</v>
      </c>
      <c r="AL887" s="37">
        <f t="shared" si="306"/>
        <v>329759.40265022562</v>
      </c>
      <c r="AM887" s="37">
        <f t="shared" si="307"/>
        <v>301394.63610866317</v>
      </c>
    </row>
    <row r="888" spans="12:39">
      <c r="L888">
        <v>884</v>
      </c>
      <c r="M888" s="37">
        <f t="shared" si="292"/>
        <v>5.5543358115466868</v>
      </c>
      <c r="N888" s="37">
        <f t="shared" si="286"/>
        <v>23729.705727120687</v>
      </c>
      <c r="O888" s="37">
        <f t="shared" si="287"/>
        <v>4169.9406628284896</v>
      </c>
      <c r="R888" s="37">
        <f t="shared" si="288"/>
        <v>-17389.205991015522</v>
      </c>
      <c r="S888" s="37">
        <f t="shared" si="289"/>
        <v>7668.9584639799432</v>
      </c>
      <c r="V888" s="37">
        <f t="shared" si="290"/>
        <v>-1270.294272879315</v>
      </c>
      <c r="W888" s="37">
        <f t="shared" si="291"/>
        <v>-18330.059337171511</v>
      </c>
      <c r="Y888" s="37">
        <f t="shared" si="293"/>
        <v>83321.004696024989</v>
      </c>
      <c r="Z888" s="37">
        <f t="shared" si="294"/>
        <v>-303746.37580341904</v>
      </c>
      <c r="AA888" s="37">
        <f t="shared" si="295"/>
        <v>714.61217693001652</v>
      </c>
      <c r="AB888" s="37">
        <f t="shared" si="296"/>
        <v>-944.1853114618749</v>
      </c>
      <c r="AC888" s="37">
        <f t="shared" si="297"/>
        <v>-3.2246608175461811</v>
      </c>
      <c r="AD888" s="37">
        <f t="shared" si="298"/>
        <v>12.123302434210236</v>
      </c>
      <c r="AE888" s="39">
        <f t="shared" si="299"/>
        <v>-1.0331621656480252</v>
      </c>
      <c r="AF888" s="39">
        <f t="shared" si="300"/>
        <v>5.078377723456212</v>
      </c>
      <c r="AG888" s="39">
        <f t="shared" si="301"/>
        <v>-0.51449362192731185</v>
      </c>
      <c r="AH888" s="39">
        <f t="shared" si="302"/>
        <v>1.562320360013677</v>
      </c>
      <c r="AI888" s="39">
        <f t="shared" si="303"/>
        <v>-1.6770050299708437</v>
      </c>
      <c r="AJ888" s="39">
        <f t="shared" si="304"/>
        <v>5.4826043507403472</v>
      </c>
      <c r="AK888" s="37">
        <f t="shared" si="305"/>
        <v>317622.19079667149</v>
      </c>
      <c r="AL888" s="37">
        <f t="shared" si="306"/>
        <v>330321.08370671142</v>
      </c>
      <c r="AM888" s="37">
        <f t="shared" si="307"/>
        <v>301952.09787336231</v>
      </c>
    </row>
    <row r="889" spans="12:39">
      <c r="L889">
        <v>885</v>
      </c>
      <c r="M889" s="37">
        <f t="shared" si="292"/>
        <v>5.560618996853866</v>
      </c>
      <c r="N889" s="37">
        <f t="shared" si="286"/>
        <v>23750.555348152073</v>
      </c>
      <c r="O889" s="37">
        <f t="shared" si="287"/>
        <v>4193.4406733814849</v>
      </c>
      <c r="R889" s="37">
        <f t="shared" si="288"/>
        <v>-17374.611256293549</v>
      </c>
      <c r="S889" s="37">
        <f t="shared" si="289"/>
        <v>7685.40847136704</v>
      </c>
      <c r="V889" s="37">
        <f t="shared" si="290"/>
        <v>-1249.4446518479276</v>
      </c>
      <c r="W889" s="37">
        <f t="shared" si="291"/>
        <v>-18306.559326618513</v>
      </c>
      <c r="Y889" s="37">
        <f t="shared" si="293"/>
        <v>83677.907701887802</v>
      </c>
      <c r="Z889" s="37">
        <f t="shared" si="294"/>
        <v>-304216.95304634573</v>
      </c>
      <c r="AA889" s="37">
        <f t="shared" si="295"/>
        <v>712.9998465212434</v>
      </c>
      <c r="AB889" s="37">
        <f t="shared" si="296"/>
        <v>-938.12366024476978</v>
      </c>
      <c r="AC889" s="37">
        <f t="shared" si="297"/>
        <v>-3.2219952552898965</v>
      </c>
      <c r="AD889" s="37">
        <f t="shared" si="298"/>
        <v>12.078778099459264</v>
      </c>
      <c r="AE889" s="39">
        <f t="shared" si="299"/>
        <v>-1.0337835675250371</v>
      </c>
      <c r="AF889" s="39">
        <f t="shared" si="300"/>
        <v>5.0605912695327522</v>
      </c>
      <c r="AG889" s="39">
        <f t="shared" si="301"/>
        <v>-0.51366141450644454</v>
      </c>
      <c r="AH889" s="39">
        <f t="shared" si="302"/>
        <v>1.5567552253058456</v>
      </c>
      <c r="AI889" s="39">
        <f t="shared" si="303"/>
        <v>-1.674550273258415</v>
      </c>
      <c r="AJ889" s="39">
        <f t="shared" si="304"/>
        <v>5.4614316046206666</v>
      </c>
      <c r="AK889" s="37">
        <f t="shared" si="305"/>
        <v>318154.57681100216</v>
      </c>
      <c r="AL889" s="37">
        <f t="shared" si="306"/>
        <v>330879.73967465974</v>
      </c>
      <c r="AM889" s="37">
        <f t="shared" si="307"/>
        <v>302506.55735669052</v>
      </c>
    </row>
    <row r="890" spans="12:39">
      <c r="L890">
        <v>886</v>
      </c>
      <c r="M890" s="37">
        <f t="shared" si="292"/>
        <v>5.5669021821610452</v>
      </c>
      <c r="N890" s="37">
        <f t="shared" si="286"/>
        <v>23771.256903680296</v>
      </c>
      <c r="O890" s="37">
        <f t="shared" si="287"/>
        <v>4217.0712212349599</v>
      </c>
      <c r="R890" s="37">
        <f t="shared" si="288"/>
        <v>-17360.120167423793</v>
      </c>
      <c r="S890" s="37">
        <f t="shared" si="289"/>
        <v>7701.9498548644715</v>
      </c>
      <c r="V890" s="37">
        <f t="shared" si="290"/>
        <v>-1228.7430963197053</v>
      </c>
      <c r="W890" s="37">
        <f t="shared" si="291"/>
        <v>-18282.928778765039</v>
      </c>
      <c r="Y890" s="37">
        <f t="shared" si="293"/>
        <v>84034.004875741506</v>
      </c>
      <c r="Z890" s="37">
        <f t="shared" si="294"/>
        <v>-304684.5050292057</v>
      </c>
      <c r="AA890" s="37">
        <f t="shared" si="295"/>
        <v>711.38884889359849</v>
      </c>
      <c r="AB890" s="37">
        <f t="shared" si="296"/>
        <v>-932.08427119504017</v>
      </c>
      <c r="AC890" s="37">
        <f t="shared" si="297"/>
        <v>-3.2193589295278802</v>
      </c>
      <c r="AD890" s="37">
        <f t="shared" si="298"/>
        <v>12.034719571481579</v>
      </c>
      <c r="AE890" s="39">
        <f t="shared" si="299"/>
        <v>-1.0343969028358655</v>
      </c>
      <c r="AF890" s="39">
        <f t="shared" si="300"/>
        <v>5.0429874836376714</v>
      </c>
      <c r="AG890" s="39">
        <f t="shared" si="301"/>
        <v>-0.51283887033564568</v>
      </c>
      <c r="AH890" s="39">
        <f t="shared" si="302"/>
        <v>1.5512470779536487</v>
      </c>
      <c r="AI890" s="39">
        <f t="shared" si="303"/>
        <v>-1.6721231563563692</v>
      </c>
      <c r="AJ890" s="39">
        <f t="shared" si="304"/>
        <v>5.4404850098902591</v>
      </c>
      <c r="AK890" s="37">
        <f t="shared" si="305"/>
        <v>318684.04252606787</v>
      </c>
      <c r="AL890" s="37">
        <f t="shared" si="306"/>
        <v>331435.38114685641</v>
      </c>
      <c r="AM890" s="37">
        <f t="shared" si="307"/>
        <v>303058.02493619843</v>
      </c>
    </row>
    <row r="891" spans="12:39">
      <c r="L891">
        <v>887</v>
      </c>
      <c r="M891" s="37">
        <f t="shared" si="292"/>
        <v>5.5731853674682243</v>
      </c>
      <c r="N891" s="37">
        <f t="shared" si="286"/>
        <v>23791.809576443386</v>
      </c>
      <c r="O891" s="37">
        <f t="shared" si="287"/>
        <v>4240.8313734953445</v>
      </c>
      <c r="R891" s="37">
        <f t="shared" si="288"/>
        <v>-17345.73329648963</v>
      </c>
      <c r="S891" s="37">
        <f t="shared" si="289"/>
        <v>7718.5819614467418</v>
      </c>
      <c r="V891" s="37">
        <f t="shared" si="290"/>
        <v>-1208.1904235566153</v>
      </c>
      <c r="W891" s="37">
        <f t="shared" si="291"/>
        <v>-18259.168626504656</v>
      </c>
      <c r="Y891" s="37">
        <f t="shared" si="293"/>
        <v>84389.296880322116</v>
      </c>
      <c r="Z891" s="37">
        <f t="shared" si="294"/>
        <v>-305149.04282485676</v>
      </c>
      <c r="AA891" s="37">
        <f t="shared" si="295"/>
        <v>709.77916942883451</v>
      </c>
      <c r="AB891" s="37">
        <f t="shared" si="296"/>
        <v>-926.06691140929934</v>
      </c>
      <c r="AC891" s="37">
        <f t="shared" si="297"/>
        <v>-3.2167518617687865</v>
      </c>
      <c r="AD891" s="37">
        <f t="shared" si="298"/>
        <v>11.991120726035145</v>
      </c>
      <c r="AE891" s="39">
        <f t="shared" si="299"/>
        <v>-1.0350024824330322</v>
      </c>
      <c r="AF891" s="39">
        <f t="shared" si="300"/>
        <v>5.0255640476318142</v>
      </c>
      <c r="AG891" s="39">
        <f t="shared" si="301"/>
        <v>-0.51202589944483656</v>
      </c>
      <c r="AH891" s="39">
        <f t="shared" si="302"/>
        <v>1.545795181440623</v>
      </c>
      <c r="AI891" s="39">
        <f t="shared" si="303"/>
        <v>-1.6697234798909175</v>
      </c>
      <c r="AJ891" s="39">
        <f t="shared" si="304"/>
        <v>5.4197614969627095</v>
      </c>
      <c r="AK891" s="37">
        <f t="shared" si="305"/>
        <v>319210.59746199119</v>
      </c>
      <c r="AL891" s="37">
        <f t="shared" si="306"/>
        <v>331988.01860397228</v>
      </c>
      <c r="AM891" s="37">
        <f t="shared" si="307"/>
        <v>303606.5108803481</v>
      </c>
    </row>
    <row r="892" spans="12:39">
      <c r="L892">
        <v>888</v>
      </c>
      <c r="M892" s="37">
        <f t="shared" si="292"/>
        <v>5.5794685527754035</v>
      </c>
      <c r="N892" s="37">
        <f t="shared" si="286"/>
        <v>23812.212555057016</v>
      </c>
      <c r="O892" s="37">
        <f t="shared" si="287"/>
        <v>4264.7201921525148</v>
      </c>
      <c r="R892" s="37">
        <f t="shared" si="288"/>
        <v>-17331.451211460088</v>
      </c>
      <c r="S892" s="37">
        <f t="shared" si="289"/>
        <v>7735.3041345067604</v>
      </c>
      <c r="V892" s="37">
        <f t="shared" si="290"/>
        <v>-1187.7874449429846</v>
      </c>
      <c r="W892" s="37">
        <f t="shared" si="291"/>
        <v>-18235.279807847484</v>
      </c>
      <c r="Y892" s="37">
        <f t="shared" si="293"/>
        <v>84743.784371053815</v>
      </c>
      <c r="Z892" s="37">
        <f t="shared" si="294"/>
        <v>-305610.57739047066</v>
      </c>
      <c r="AA892" s="37">
        <f t="shared" si="295"/>
        <v>708.17079349795006</v>
      </c>
      <c r="AB892" s="37">
        <f t="shared" si="296"/>
        <v>-920.07135104628173</v>
      </c>
      <c r="AC892" s="37">
        <f t="shared" si="297"/>
        <v>-3.2141740700973109</v>
      </c>
      <c r="AD892" s="37">
        <f t="shared" si="298"/>
        <v>11.947975548673277</v>
      </c>
      <c r="AE892" s="39">
        <f t="shared" si="299"/>
        <v>-1.0356006099365775</v>
      </c>
      <c r="AF892" s="39">
        <f t="shared" si="300"/>
        <v>5.008318683764446</v>
      </c>
      <c r="AG892" s="39">
        <f t="shared" si="301"/>
        <v>-0.51122241330085016</v>
      </c>
      <c r="AH892" s="39">
        <f t="shared" si="302"/>
        <v>1.540398812260404</v>
      </c>
      <c r="AI892" s="39">
        <f t="shared" si="303"/>
        <v>-1.6673510468598833</v>
      </c>
      <c r="AJ892" s="39">
        <f t="shared" si="304"/>
        <v>5.3992580526484275</v>
      </c>
      <c r="AK892" s="37">
        <f t="shared" si="305"/>
        <v>319734.25104057812</v>
      </c>
      <c r="AL892" s="37">
        <f t="shared" si="306"/>
        <v>332537.6624160278</v>
      </c>
      <c r="AM892" s="37">
        <f t="shared" si="307"/>
        <v>304152.02534992422</v>
      </c>
    </row>
    <row r="893" spans="12:39">
      <c r="L893">
        <v>889</v>
      </c>
      <c r="M893" s="37">
        <f t="shared" si="292"/>
        <v>5.5857517380825827</v>
      </c>
      <c r="N893" s="37">
        <f t="shared" si="286"/>
        <v>23832.465034046527</v>
      </c>
      <c r="O893" s="37">
        <f t="shared" si="287"/>
        <v>4288.7367341168119</v>
      </c>
      <c r="R893" s="37">
        <f t="shared" si="288"/>
        <v>-17317.274476167433</v>
      </c>
      <c r="S893" s="37">
        <f t="shared" si="289"/>
        <v>7752.115713881768</v>
      </c>
      <c r="V893" s="37">
        <f t="shared" si="290"/>
        <v>-1167.5349659534745</v>
      </c>
      <c r="W893" s="37">
        <f t="shared" si="291"/>
        <v>-18211.26326588319</v>
      </c>
      <c r="Y893" s="37">
        <f t="shared" si="293"/>
        <v>85097.467996044041</v>
      </c>
      <c r="Z893" s="37">
        <f t="shared" si="294"/>
        <v>-306069.11956905026</v>
      </c>
      <c r="AA893" s="37">
        <f t="shared" si="295"/>
        <v>706.56370646290145</v>
      </c>
      <c r="AB893" s="37">
        <f t="shared" si="296"/>
        <v>-914.09736327194514</v>
      </c>
      <c r="AC893" s="37">
        <f t="shared" si="297"/>
        <v>-3.2116255693296449</v>
      </c>
      <c r="AD893" s="37">
        <f t="shared" si="298"/>
        <v>11.905278132359644</v>
      </c>
      <c r="AE893" s="39">
        <f t="shared" si="299"/>
        <v>-1.036191581932151</v>
      </c>
      <c r="AF893" s="39">
        <f t="shared" si="300"/>
        <v>4.99124915382379</v>
      </c>
      <c r="AG893" s="39">
        <f t="shared" si="301"/>
        <v>-0.51042832478172406</v>
      </c>
      <c r="AH893" s="39">
        <f t="shared" si="302"/>
        <v>1.535057259637667</v>
      </c>
      <c r="AI893" s="39">
        <f t="shared" si="303"/>
        <v>-1.6650056626157699</v>
      </c>
      <c r="AJ893" s="39">
        <f t="shared" si="304"/>
        <v>5.3789717188981863</v>
      </c>
      <c r="AK893" s="37">
        <f t="shared" si="305"/>
        <v>320255.01258654066</v>
      </c>
      <c r="AL893" s="37">
        <f t="shared" si="306"/>
        <v>333084.32284383196</v>
      </c>
      <c r="AM893" s="37">
        <f t="shared" si="307"/>
        <v>304694.57839941996</v>
      </c>
    </row>
    <row r="894" spans="12:39">
      <c r="L894">
        <v>890</v>
      </c>
      <c r="M894" s="37">
        <f t="shared" si="292"/>
        <v>5.5920349233897619</v>
      </c>
      <c r="N894" s="37">
        <f t="shared" si="286"/>
        <v>23852.566213878723</v>
      </c>
      <c r="O894" s="37">
        <f t="shared" si="287"/>
        <v>4312.8800512562811</v>
      </c>
      <c r="R894" s="37">
        <f t="shared" si="288"/>
        <v>-17303.203650284893</v>
      </c>
      <c r="S894" s="37">
        <f t="shared" si="289"/>
        <v>7769.0160358793964</v>
      </c>
      <c r="V894" s="37">
        <f t="shared" si="290"/>
        <v>-1147.4337861212771</v>
      </c>
      <c r="W894" s="37">
        <f t="shared" si="291"/>
        <v>-18187.119948743719</v>
      </c>
      <c r="Y894" s="37">
        <f t="shared" si="293"/>
        <v>85450.348396079324</v>
      </c>
      <c r="Z894" s="37">
        <f t="shared" si="294"/>
        <v>-306524.68009091972</v>
      </c>
      <c r="AA894" s="37">
        <f t="shared" si="295"/>
        <v>704.95789367823659</v>
      </c>
      <c r="AB894" s="37">
        <f t="shared" si="296"/>
        <v>-908.14472420576533</v>
      </c>
      <c r="AC894" s="37">
        <f t="shared" si="297"/>
        <v>-3.2091063711633856</v>
      </c>
      <c r="AD894" s="37">
        <f t="shared" si="298"/>
        <v>11.863022675145324</v>
      </c>
      <c r="AE894" s="39">
        <f t="shared" si="299"/>
        <v>-1.0367756881632264</v>
      </c>
      <c r="AF894" s="39">
        <f t="shared" si="300"/>
        <v>4.9743532583090593</v>
      </c>
      <c r="AG894" s="39">
        <f t="shared" si="301"/>
        <v>-0.5096435481515641</v>
      </c>
      <c r="AH894" s="39">
        <f t="shared" si="302"/>
        <v>1.5297698252561944</v>
      </c>
      <c r="AI894" s="39">
        <f t="shared" si="303"/>
        <v>-1.662687134848595</v>
      </c>
      <c r="AJ894" s="39">
        <f t="shared" si="304"/>
        <v>5.3588995915800703</v>
      </c>
      <c r="AK894" s="37">
        <f t="shared" si="305"/>
        <v>320772.89132869791</v>
      </c>
      <c r="AL894" s="37">
        <f t="shared" si="306"/>
        <v>333628.0100403945</v>
      </c>
      <c r="AM894" s="37">
        <f t="shared" si="307"/>
        <v>305234.17997839826</v>
      </c>
    </row>
    <row r="895" spans="12:39">
      <c r="L895">
        <v>891</v>
      </c>
      <c r="M895" s="37">
        <f t="shared" si="292"/>
        <v>5.5983181086969411</v>
      </c>
      <c r="N895" s="37">
        <f t="shared" si="286"/>
        <v>23872.515300993447</v>
      </c>
      <c r="O895" s="37">
        <f t="shared" si="287"/>
        <v>4337.1491904341046</v>
      </c>
      <c r="R895" s="37">
        <f t="shared" si="288"/>
        <v>-17289.239289304587</v>
      </c>
      <c r="S895" s="37">
        <f t="shared" si="289"/>
        <v>7786.0044333038732</v>
      </c>
      <c r="V895" s="37">
        <f t="shared" si="290"/>
        <v>-1127.4846990065535</v>
      </c>
      <c r="W895" s="37">
        <f t="shared" si="291"/>
        <v>-18162.850809565894</v>
      </c>
      <c r="Y895" s="37">
        <f t="shared" si="293"/>
        <v>85802.426204622054</v>
      </c>
      <c r="Z895" s="37">
        <f t="shared" si="294"/>
        <v>-306977.26957518817</v>
      </c>
      <c r="AA895" s="37">
        <f t="shared" si="295"/>
        <v>703.35334049265487</v>
      </c>
      <c r="AB895" s="37">
        <f t="shared" si="296"/>
        <v>-902.21321286819261</v>
      </c>
      <c r="AC895" s="37">
        <f t="shared" si="297"/>
        <v>-3.20661648432195</v>
      </c>
      <c r="AD895" s="37">
        <f t="shared" si="298"/>
        <v>11.821203477905387</v>
      </c>
      <c r="AE895" s="39">
        <f t="shared" si="299"/>
        <v>-1.0373532117175721</v>
      </c>
      <c r="AF895" s="39">
        <f t="shared" si="300"/>
        <v>4.9576288356230815</v>
      </c>
      <c r="AG895" s="39">
        <f t="shared" si="301"/>
        <v>-0.50886799903598368</v>
      </c>
      <c r="AH895" s="39">
        <f t="shared" si="302"/>
        <v>1.524535822993907</v>
      </c>
      <c r="AI895" s="39">
        <f t="shared" si="303"/>
        <v>-1.660395273568394</v>
      </c>
      <c r="AJ895" s="39">
        <f t="shared" si="304"/>
        <v>5.3390388192883984</v>
      </c>
      <c r="AK895" s="37">
        <f t="shared" si="305"/>
        <v>321287.89640115655</v>
      </c>
      <c r="AL895" s="37">
        <f t="shared" si="306"/>
        <v>334168.73405231378</v>
      </c>
      <c r="AM895" s="37">
        <f t="shared" si="307"/>
        <v>305770.83993282932</v>
      </c>
    </row>
    <row r="896" spans="12:39">
      <c r="L896">
        <v>892</v>
      </c>
      <c r="M896" s="37">
        <f t="shared" si="292"/>
        <v>5.6046012940041203</v>
      </c>
      <c r="N896" s="37">
        <f t="shared" si="286"/>
        <v>23892.311507834893</v>
      </c>
      <c r="O896" s="37">
        <f t="shared" si="287"/>
        <v>4361.543193546222</v>
      </c>
      <c r="R896" s="37">
        <f t="shared" si="288"/>
        <v>-17275.381944515575</v>
      </c>
      <c r="S896" s="37">
        <f t="shared" si="289"/>
        <v>7803.0802354823554</v>
      </c>
      <c r="V896" s="37">
        <f t="shared" si="290"/>
        <v>-1107.6884921651053</v>
      </c>
      <c r="W896" s="37">
        <f t="shared" si="291"/>
        <v>-18138.456806453778</v>
      </c>
      <c r="Y896" s="37">
        <f t="shared" si="293"/>
        <v>86153.702047807834</v>
      </c>
      <c r="Z896" s="37">
        <f t="shared" si="294"/>
        <v>-307426.89853118756</v>
      </c>
      <c r="AA896" s="37">
        <f t="shared" si="295"/>
        <v>701.75003225049386</v>
      </c>
      <c r="AB896" s="37">
        <f t="shared" si="296"/>
        <v>-896.30261112923995</v>
      </c>
      <c r="AC896" s="37">
        <f t="shared" si="297"/>
        <v>-3.2041559146937866</v>
      </c>
      <c r="AD896" s="37">
        <f t="shared" si="298"/>
        <v>11.779814942133511</v>
      </c>
      <c r="AE896" s="39">
        <f t="shared" si="299"/>
        <v>-1.0379244292081564</v>
      </c>
      <c r="AF896" s="39">
        <f t="shared" si="300"/>
        <v>4.9410737612848301</v>
      </c>
      <c r="AG896" s="39">
        <f t="shared" si="301"/>
        <v>-0.50810159439802682</v>
      </c>
      <c r="AH896" s="39">
        <f t="shared" si="302"/>
        <v>1.5193545786644351</v>
      </c>
      <c r="AI896" s="39">
        <f t="shared" si="303"/>
        <v>-1.6581298910876032</v>
      </c>
      <c r="AJ896" s="39">
        <f t="shared" si="304"/>
        <v>5.3193866021842453</v>
      </c>
      <c r="AK896" s="37">
        <f t="shared" si="305"/>
        <v>321800.03684447124</v>
      </c>
      <c r="AL896" s="37">
        <f t="shared" si="306"/>
        <v>334706.50482113968</v>
      </c>
      <c r="AM896" s="37">
        <f t="shared" si="307"/>
        <v>306304.56800640433</v>
      </c>
    </row>
    <row r="897" spans="12:39">
      <c r="L897">
        <v>893</v>
      </c>
      <c r="M897" s="37">
        <f t="shared" si="292"/>
        <v>5.6108844793112995</v>
      </c>
      <c r="N897" s="37">
        <f t="shared" si="286"/>
        <v>23911.95405288272</v>
      </c>
      <c r="O897" s="37">
        <f t="shared" si="287"/>
        <v>4386.061097559159</v>
      </c>
      <c r="R897" s="37">
        <f t="shared" si="288"/>
        <v>-17261.632162982096</v>
      </c>
      <c r="S897" s="37">
        <f t="shared" si="289"/>
        <v>7820.2427682914113</v>
      </c>
      <c r="V897" s="37">
        <f t="shared" si="290"/>
        <v>-1088.0459471172808</v>
      </c>
      <c r="W897" s="37">
        <f t="shared" si="291"/>
        <v>-18113.938902440841</v>
      </c>
      <c r="Y897" s="37">
        <f t="shared" si="293"/>
        <v>86504.176544443748</v>
      </c>
      <c r="Z897" s="37">
        <f t="shared" si="294"/>
        <v>-307873.5773598844</v>
      </c>
      <c r="AA897" s="37">
        <f t="shared" si="295"/>
        <v>700.147954293147</v>
      </c>
      <c r="AB897" s="37">
        <f t="shared" si="296"/>
        <v>-890.4127036581732</v>
      </c>
      <c r="AC897" s="37">
        <f t="shared" si="297"/>
        <v>-3.2017246654667488</v>
      </c>
      <c r="AD897" s="37">
        <f t="shared" si="298"/>
        <v>11.738851567793649</v>
      </c>
      <c r="AE897" s="39">
        <f t="shared" si="299"/>
        <v>-1.0384896109488209</v>
      </c>
      <c r="AF897" s="39">
        <f t="shared" si="300"/>
        <v>4.924685947162021</v>
      </c>
      <c r="AG897" s="39">
        <f t="shared" si="301"/>
        <v>-0.5073442525147337</v>
      </c>
      <c r="AH897" s="39">
        <f t="shared" si="302"/>
        <v>1.5142254297655366</v>
      </c>
      <c r="AI897" s="39">
        <f t="shared" si="303"/>
        <v>-1.6558908020031946</v>
      </c>
      <c r="AJ897" s="39">
        <f t="shared" si="304"/>
        <v>5.2999401908660904</v>
      </c>
      <c r="AK897" s="37">
        <f t="shared" si="305"/>
        <v>322309.3216067843</v>
      </c>
      <c r="AL897" s="37">
        <f t="shared" si="306"/>
        <v>335241.33218471205</v>
      </c>
      <c r="AM897" s="37">
        <f t="shared" si="307"/>
        <v>306835.3738418257</v>
      </c>
    </row>
    <row r="898" spans="12:39">
      <c r="L898">
        <v>894</v>
      </c>
      <c r="M898" s="37">
        <f t="shared" si="292"/>
        <v>5.6171676646184787</v>
      </c>
      <c r="N898" s="37">
        <f t="shared" si="286"/>
        <v>23931.442160682873</v>
      </c>
      <c r="O898" s="37">
        <f t="shared" si="287"/>
        <v>4410.7019345480476</v>
      </c>
      <c r="R898" s="37">
        <f t="shared" si="288"/>
        <v>-17247.990487521987</v>
      </c>
      <c r="S898" s="37">
        <f t="shared" si="289"/>
        <v>7837.4913541836322</v>
      </c>
      <c r="V898" s="37">
        <f t="shared" si="290"/>
        <v>-1068.5578393171268</v>
      </c>
      <c r="W898" s="37">
        <f t="shared" si="291"/>
        <v>-18089.298065451952</v>
      </c>
      <c r="Y898" s="37">
        <f t="shared" si="293"/>
        <v>86853.850306007138</v>
      </c>
      <c r="Z898" s="37">
        <f t="shared" si="294"/>
        <v>-308317.31635526754</v>
      </c>
      <c r="AA898" s="37">
        <f t="shared" si="295"/>
        <v>698.54709196041358</v>
      </c>
      <c r="AB898" s="37">
        <f t="shared" si="296"/>
        <v>-884.54327787427633</v>
      </c>
      <c r="AC898" s="37">
        <f t="shared" si="297"/>
        <v>-3.1993227372574209</v>
      </c>
      <c r="AD898" s="37">
        <f t="shared" si="298"/>
        <v>11.698307951225452</v>
      </c>
      <c r="AE898" s="39">
        <f t="shared" si="299"/>
        <v>-1.0390490211246139</v>
      </c>
      <c r="AF898" s="39">
        <f t="shared" si="300"/>
        <v>4.9084633407218652</v>
      </c>
      <c r="AG898" s="39">
        <f t="shared" si="301"/>
        <v>-0.50659589295412155</v>
      </c>
      <c r="AH898" s="39">
        <f t="shared" si="302"/>
        <v>1.5091477252335443</v>
      </c>
      <c r="AI898" s="39">
        <f t="shared" si="303"/>
        <v>-1.6536778231786851</v>
      </c>
      <c r="AJ898" s="39">
        <f t="shared" si="304"/>
        <v>5.280696885270042</v>
      </c>
      <c r="AK898" s="37">
        <f t="shared" si="305"/>
        <v>322815.75954494718</v>
      </c>
      <c r="AL898" s="37">
        <f t="shared" si="306"/>
        <v>335773.22587847599</v>
      </c>
      <c r="AM898" s="37">
        <f t="shared" si="307"/>
        <v>307363.26698207523</v>
      </c>
    </row>
    <row r="899" spans="12:39">
      <c r="L899">
        <v>895</v>
      </c>
      <c r="M899" s="37">
        <f t="shared" si="292"/>
        <v>5.6234508499256579</v>
      </c>
      <c r="N899" s="37">
        <f t="shared" si="286"/>
        <v>23950.77506187823</v>
      </c>
      <c r="O899" s="37">
        <f t="shared" si="287"/>
        <v>4435.4647317348335</v>
      </c>
      <c r="R899" s="37">
        <f t="shared" si="288"/>
        <v>-17234.457456685239</v>
      </c>
      <c r="S899" s="37">
        <f t="shared" si="289"/>
        <v>7854.8253122143833</v>
      </c>
      <c r="V899" s="37">
        <f t="shared" si="290"/>
        <v>-1049.2249381217689</v>
      </c>
      <c r="W899" s="37">
        <f t="shared" si="291"/>
        <v>-18064.535268265165</v>
      </c>
      <c r="Y899" s="37">
        <f t="shared" si="293"/>
        <v>87202.723936645183</v>
      </c>
      <c r="Z899" s="37">
        <f t="shared" si="294"/>
        <v>-308758.12570571073</v>
      </c>
      <c r="AA899" s="37">
        <f t="shared" si="295"/>
        <v>696.94743059178484</v>
      </c>
      <c r="AB899" s="37">
        <f t="shared" si="296"/>
        <v>-878.69412389866363</v>
      </c>
      <c r="AC899" s="37">
        <f t="shared" si="297"/>
        <v>-3.1969501282358843</v>
      </c>
      <c r="AD899" s="37">
        <f t="shared" si="298"/>
        <v>11.658178783103226</v>
      </c>
      <c r="AE899" s="39">
        <f t="shared" si="299"/>
        <v>-1.039602917957259</v>
      </c>
      <c r="AF899" s="39">
        <f t="shared" si="300"/>
        <v>4.8924039243008641</v>
      </c>
      <c r="AG899" s="39">
        <f t="shared" si="301"/>
        <v>-0.5058564365527376</v>
      </c>
      <c r="AH899" s="39">
        <f t="shared" si="302"/>
        <v>1.5041208252041591</v>
      </c>
      <c r="AI899" s="39">
        <f t="shared" si="303"/>
        <v>-1.6514907737258875</v>
      </c>
      <c r="AJ899" s="39">
        <f t="shared" si="304"/>
        <v>5.2616540335982034</v>
      </c>
      <c r="AK899" s="37">
        <f t="shared" si="305"/>
        <v>323319.35942562128</v>
      </c>
      <c r="AL899" s="37">
        <f t="shared" si="306"/>
        <v>336302.19553677348</v>
      </c>
      <c r="AM899" s="37">
        <f t="shared" si="307"/>
        <v>307888.25687166007</v>
      </c>
    </row>
    <row r="900" spans="12:39">
      <c r="L900">
        <v>896</v>
      </c>
      <c r="M900" s="37">
        <f t="shared" si="292"/>
        <v>5.6297340352328371</v>
      </c>
      <c r="N900" s="37">
        <f t="shared" si="286"/>
        <v>23969.951993238956</v>
      </c>
      <c r="O900" s="37">
        <f t="shared" si="287"/>
        <v>4460.3485115266849</v>
      </c>
      <c r="R900" s="37">
        <f t="shared" si="288"/>
        <v>-17221.033604732729</v>
      </c>
      <c r="S900" s="37">
        <f t="shared" si="289"/>
        <v>7872.2439580686805</v>
      </c>
      <c r="V900" s="37">
        <f t="shared" si="290"/>
        <v>-1030.0480067610433</v>
      </c>
      <c r="W900" s="37">
        <f t="shared" si="291"/>
        <v>-18039.651488473315</v>
      </c>
      <c r="Y900" s="37">
        <f t="shared" si="293"/>
        <v>87550.798033175059</v>
      </c>
      <c r="Z900" s="37">
        <f t="shared" si="294"/>
        <v>-309196.01549531217</v>
      </c>
      <c r="AA900" s="37">
        <f t="shared" si="295"/>
        <v>695.34895552766693</v>
      </c>
      <c r="AB900" s="37">
        <f t="shared" si="296"/>
        <v>-872.865034507112</v>
      </c>
      <c r="AC900" s="37">
        <f t="shared" si="297"/>
        <v>-3.1946068342460805</v>
      </c>
      <c r="AD900" s="37">
        <f t="shared" si="298"/>
        <v>11.618458846446515</v>
      </c>
      <c r="AE900" s="39">
        <f t="shared" si="299"/>
        <v>-1.0401515538657105</v>
      </c>
      <c r="AF900" s="39">
        <f t="shared" si="300"/>
        <v>4.876505714392148</v>
      </c>
      <c r="AG900" s="39">
        <f t="shared" si="301"/>
        <v>-0.50512580539367147</v>
      </c>
      <c r="AH900" s="39">
        <f t="shared" si="302"/>
        <v>1.4991441007791149</v>
      </c>
      <c r="AI900" s="39">
        <f t="shared" si="303"/>
        <v>-1.6493294749866987</v>
      </c>
      <c r="AJ900" s="39">
        <f t="shared" si="304"/>
        <v>5.2428090312752511</v>
      </c>
      <c r="AK900" s="37">
        <f t="shared" si="305"/>
        <v>323820.12992636178</v>
      </c>
      <c r="AL900" s="37">
        <f t="shared" si="306"/>
        <v>336828.2506941132</v>
      </c>
      <c r="AM900" s="37">
        <f t="shared" si="307"/>
        <v>308410.35285783699</v>
      </c>
    </row>
    <row r="901" spans="12:39">
      <c r="L901">
        <v>897</v>
      </c>
      <c r="M901" s="37">
        <f t="shared" si="292"/>
        <v>5.6360172205400163</v>
      </c>
      <c r="N901" s="37">
        <f t="shared" ref="N901:N964" si="308">COS(M901)*$D$37+$D$36</f>
        <v>23988.972197692638</v>
      </c>
      <c r="O901" s="37">
        <f t="shared" ref="O901:O964" si="309">SIN(M901)*$D$37+$E$36</f>
        <v>4485.3522915545864</v>
      </c>
      <c r="R901" s="37">
        <f t="shared" ref="R901:R964" si="310">COS(M901)*$D$48+$D$47</f>
        <v>-17207.719461615154</v>
      </c>
      <c r="S901" s="37">
        <f t="shared" ref="S901:S964" si="311">SIN(M901)*$D$48+$E$47</f>
        <v>7889.74660408821</v>
      </c>
      <c r="V901" s="37">
        <f t="shared" ref="V901:V964" si="312">COS(M901)*$D$57+$D$56</f>
        <v>-1011.0278023073643</v>
      </c>
      <c r="W901" s="37">
        <f t="shared" ref="W901:W964" si="313">SIN(M901)*$D$57+$E$56</f>
        <v>-18014.647708445413</v>
      </c>
      <c r="Y901" s="37">
        <f t="shared" si="293"/>
        <v>87898.07318508462</v>
      </c>
      <c r="Z901" s="37">
        <f t="shared" si="294"/>
        <v>-309630.99570520991</v>
      </c>
      <c r="AA901" s="37">
        <f t="shared" si="295"/>
        <v>693.75165211054389</v>
      </c>
      <c r="AB901" s="37">
        <f t="shared" si="296"/>
        <v>-867.0558050838888</v>
      </c>
      <c r="AC901" s="37">
        <f t="shared" si="297"/>
        <v>-3.1922928489218361</v>
      </c>
      <c r="AD901" s="37">
        <f t="shared" si="298"/>
        <v>11.579143014680687</v>
      </c>
      <c r="AE901" s="39">
        <f t="shared" si="299"/>
        <v>-1.0406951756220983</v>
      </c>
      <c r="AF901" s="39">
        <f t="shared" si="300"/>
        <v>4.8607667609505096</v>
      </c>
      <c r="AG901" s="39">
        <f t="shared" si="301"/>
        <v>-0.50440392278506885</v>
      </c>
      <c r="AH901" s="39">
        <f t="shared" si="302"/>
        <v>1.4942169337987043</v>
      </c>
      <c r="AI901" s="39">
        <f t="shared" si="303"/>
        <v>-1.6471937505146685</v>
      </c>
      <c r="AJ901" s="39">
        <f t="shared" si="304"/>
        <v>5.2241593199314735</v>
      </c>
      <c r="AK901" s="37">
        <f t="shared" si="305"/>
        <v>324318.07963668159</v>
      </c>
      <c r="AL901" s="37">
        <f t="shared" si="306"/>
        <v>337351.40078641707</v>
      </c>
      <c r="AM901" s="37">
        <f t="shared" si="307"/>
        <v>308929.56419181504</v>
      </c>
    </row>
    <row r="902" spans="12:39">
      <c r="L902">
        <v>898</v>
      </c>
      <c r="M902" s="37">
        <f t="shared" ref="M902:M965" si="314">M901+$J$3</f>
        <v>5.6423004058471955</v>
      </c>
      <c r="N902" s="37">
        <f t="shared" si="308"/>
        <v>24007.834924354163</v>
      </c>
      <c r="O902" s="37">
        <f t="shared" si="309"/>
        <v>4510.4750847121122</v>
      </c>
      <c r="R902" s="37">
        <f t="shared" si="310"/>
        <v>-17194.515552952085</v>
      </c>
      <c r="S902" s="37">
        <f t="shared" si="311"/>
        <v>7907.3325592984784</v>
      </c>
      <c r="V902" s="37">
        <f t="shared" si="312"/>
        <v>-992.16507564583617</v>
      </c>
      <c r="W902" s="37">
        <f t="shared" si="313"/>
        <v>-17989.52491528789</v>
      </c>
      <c r="Y902" s="37">
        <f t="shared" ref="Y902:Y965" si="315">Y901+(AA901*$D$14)+((1/2)*AC901)*$D$14^2</f>
        <v>88244.549974533773</v>
      </c>
      <c r="Z902" s="37">
        <f t="shared" ref="Z902:Z965" si="316">Z901+(AB901*$D$14)+((1/2)*AD901)*$D$14^2</f>
        <v>-310063.07621487504</v>
      </c>
      <c r="AA902" s="37">
        <f t="shared" ref="AA902:AA965" si="317">AA901+(AC901*$D$14)</f>
        <v>692.15550568608296</v>
      </c>
      <c r="AB902" s="37">
        <f t="shared" ref="AB902:AB965" si="318">AB901+(AD901*$D$14)</f>
        <v>-861.26623357654842</v>
      </c>
      <c r="AC902" s="37">
        <f t="shared" ref="AC902:AC965" si="319">AE902+AG902+AI902</f>
        <v>-3.1900081637986997</v>
      </c>
      <c r="AD902" s="37">
        <f t="shared" ref="AD902:AD965" si="320">AF902+AH902+AJ902</f>
        <v>11.540226249745864</v>
      </c>
      <c r="AE902" s="39">
        <f t="shared" ref="AE902:AE965" si="321">$D$40*($D$36-Y902)/(AK902^2+$D$41^2)^(3/2)</f>
        <v>-1.0412340245030602</v>
      </c>
      <c r="AF902" s="39">
        <f t="shared" ref="AF902:AF965" si="322">$D$40*($E$36-Z902)/(AK902^2+$D$41^2)^(3/2)</f>
        <v>4.8451851467139129</v>
      </c>
      <c r="AG902" s="39">
        <f t="shared" ref="AG902:AG965" si="323">$D$51*($D$47-Y902)/(AL902^2+$D$52^2)^(3/2)</f>
        <v>-0.50369071323912229</v>
      </c>
      <c r="AH902" s="39">
        <f t="shared" ref="AH902:AH965" si="324">$D$51*($E$47-Z902)/(AL902^2+$D$52^2)^(3/2)</f>
        <v>1.4893387166199665</v>
      </c>
      <c r="AI902" s="39">
        <f t="shared" ref="AI902:AI965" si="325">$D$60*($D$56-Y902)/(AM902^2+$D$61^2)^(3/2)</f>
        <v>-1.6450834260565175</v>
      </c>
      <c r="AJ902" s="39">
        <f t="shared" ref="AJ902:AJ965" si="326">$D$60*($E$56-Z902)/(AM902^2+$D$61^2)^(3/2)</f>
        <v>5.2057023864119838</v>
      </c>
      <c r="AK902" s="37">
        <f t="shared" ref="AK902:AK965" si="327">SQRT(($D$36-Y902)^2+($E$36-Z902)^2)</f>
        <v>324813.21705909871</v>
      </c>
      <c r="AL902" s="37">
        <f t="shared" ref="AL902:AL965" si="328">SQRT(($D$47-Y902)^2+($E$47-Z902)^2)</f>
        <v>337871.65515224601</v>
      </c>
      <c r="AM902" s="37">
        <f t="shared" ref="AM902:AM965" si="329">SQRT(($D$56-Y902)^2+($E$56-Z902)^2)</f>
        <v>309445.90002993814</v>
      </c>
    </row>
    <row r="903" spans="12:39">
      <c r="L903">
        <v>899</v>
      </c>
      <c r="M903" s="37">
        <f t="shared" si="314"/>
        <v>5.6485835911543747</v>
      </c>
      <c r="N903" s="37">
        <f t="shared" si="308"/>
        <v>24026.539428555392</v>
      </c>
      <c r="O903" s="37">
        <f t="shared" si="309"/>
        <v>4535.715899194407</v>
      </c>
      <c r="R903" s="37">
        <f t="shared" si="310"/>
        <v>-17181.422400011226</v>
      </c>
      <c r="S903" s="37">
        <f t="shared" si="311"/>
        <v>7925.0011294360847</v>
      </c>
      <c r="V903" s="37">
        <f t="shared" si="312"/>
        <v>-973.46057144460838</v>
      </c>
      <c r="W903" s="37">
        <f t="shared" si="313"/>
        <v>-17964.284100805591</v>
      </c>
      <c r="Y903" s="37">
        <f t="shared" si="315"/>
        <v>88590.228976356346</v>
      </c>
      <c r="Z903" s="37">
        <f t="shared" si="316"/>
        <v>-310492.26680338208</v>
      </c>
      <c r="AA903" s="37">
        <f t="shared" si="317"/>
        <v>690.56050160418363</v>
      </c>
      <c r="AB903" s="37">
        <f t="shared" si="318"/>
        <v>-855.49612045167544</v>
      </c>
      <c r="AC903" s="37">
        <f t="shared" si="319"/>
        <v>-3.1877527684218974</v>
      </c>
      <c r="AD903" s="37">
        <f t="shared" si="320"/>
        <v>11.501703600253432</v>
      </c>
      <c r="AE903" s="39">
        <f t="shared" si="321"/>
        <v>-1.0417683364367825</v>
      </c>
      <c r="AF903" s="39">
        <f t="shared" si="322"/>
        <v>4.8297589865418589</v>
      </c>
      <c r="AG903" s="39">
        <f t="shared" si="323"/>
        <v>-0.50298610245148168</v>
      </c>
      <c r="AH903" s="39">
        <f t="shared" si="324"/>
        <v>1.484508851900227</v>
      </c>
      <c r="AI903" s="39">
        <f t="shared" si="325"/>
        <v>-1.642998329533633</v>
      </c>
      <c r="AJ903" s="39">
        <f t="shared" si="326"/>
        <v>5.1874357618113454</v>
      </c>
      <c r="AK903" s="37">
        <f t="shared" si="327"/>
        <v>325305.55061016453</v>
      </c>
      <c r="AL903" s="37">
        <f t="shared" si="328"/>
        <v>338389.02303400409</v>
      </c>
      <c r="AM903" s="37">
        <f t="shared" si="329"/>
        <v>309959.36943484697</v>
      </c>
    </row>
    <row r="904" spans="12:39">
      <c r="L904">
        <v>900</v>
      </c>
      <c r="M904" s="37">
        <f t="shared" si="314"/>
        <v>5.6548667764615539</v>
      </c>
      <c r="N904" s="37">
        <f t="shared" si="308"/>
        <v>24045.084971874519</v>
      </c>
      <c r="O904" s="37">
        <f t="shared" si="309"/>
        <v>4561.073738537335</v>
      </c>
      <c r="R904" s="37">
        <f t="shared" si="310"/>
        <v>-17168.440519687836</v>
      </c>
      <c r="S904" s="37">
        <f t="shared" si="311"/>
        <v>7942.7516169761348</v>
      </c>
      <c r="V904" s="37">
        <f t="shared" si="312"/>
        <v>-954.91502812548015</v>
      </c>
      <c r="W904" s="37">
        <f t="shared" si="313"/>
        <v>-17938.926261462664</v>
      </c>
      <c r="Y904" s="37">
        <f t="shared" si="315"/>
        <v>88935.110758062394</v>
      </c>
      <c r="Z904" s="37">
        <f t="shared" si="316"/>
        <v>-310918.57715065789</v>
      </c>
      <c r="AA904" s="37">
        <f t="shared" si="317"/>
        <v>688.96662521997268</v>
      </c>
      <c r="AB904" s="37">
        <f t="shared" si="318"/>
        <v>-849.74526865154871</v>
      </c>
      <c r="AC904" s="37">
        <f t="shared" si="319"/>
        <v>-3.1855266504503255</v>
      </c>
      <c r="AD904" s="37">
        <f t="shared" si="320"/>
        <v>11.46357019968795</v>
      </c>
      <c r="AE904" s="39">
        <f t="shared" si="321"/>
        <v>-1.0422983421457275</v>
      </c>
      <c r="AF904" s="39">
        <f t="shared" si="322"/>
        <v>4.814486426769335</v>
      </c>
      <c r="AG904" s="39">
        <f t="shared" si="323"/>
        <v>-0.50229001728115708</v>
      </c>
      <c r="AH904" s="39">
        <f t="shared" si="324"/>
        <v>1.4797267523861046</v>
      </c>
      <c r="AI904" s="39">
        <f t="shared" si="325"/>
        <v>-1.6409382910234409</v>
      </c>
      <c r="AJ904" s="39">
        <f t="shared" si="326"/>
        <v>5.1693570205325114</v>
      </c>
      <c r="AK904" s="37">
        <f t="shared" si="327"/>
        <v>325795.08862147661</v>
      </c>
      <c r="AL904" s="37">
        <f t="shared" si="328"/>
        <v>338903.51357912191</v>
      </c>
      <c r="AM904" s="37">
        <f t="shared" si="329"/>
        <v>310469.98137662088</v>
      </c>
    </row>
    <row r="905" spans="12:39">
      <c r="L905">
        <v>901</v>
      </c>
      <c r="M905" s="37">
        <f t="shared" si="314"/>
        <v>5.6611499617687331</v>
      </c>
      <c r="N905" s="37">
        <f t="shared" si="308"/>
        <v>24063.470822165255</v>
      </c>
      <c r="O905" s="37">
        <f t="shared" si="309"/>
        <v>4586.5476016568173</v>
      </c>
      <c r="R905" s="37">
        <f t="shared" si="310"/>
        <v>-17155.570424484322</v>
      </c>
      <c r="S905" s="37">
        <f t="shared" si="311"/>
        <v>7960.5833211597719</v>
      </c>
      <c r="V905" s="37">
        <f t="shared" si="312"/>
        <v>-936.52917783474686</v>
      </c>
      <c r="W905" s="37">
        <f t="shared" si="313"/>
        <v>-17913.452398343183</v>
      </c>
      <c r="Y905" s="37">
        <f t="shared" si="315"/>
        <v>89279.195879841078</v>
      </c>
      <c r="Z905" s="37">
        <f t="shared" si="316"/>
        <v>-311342.01683870866</v>
      </c>
      <c r="AA905" s="37">
        <f t="shared" si="317"/>
        <v>687.37386189474751</v>
      </c>
      <c r="AB905" s="37">
        <f t="shared" si="318"/>
        <v>-844.01348355170478</v>
      </c>
      <c r="AC905" s="37">
        <f t="shared" si="319"/>
        <v>-3.1833297957569391</v>
      </c>
      <c r="AD905" s="37">
        <f t="shared" si="320"/>
        <v>11.425821264653901</v>
      </c>
      <c r="AE905" s="39">
        <f t="shared" si="321"/>
        <v>-1.0428242672853334</v>
      </c>
      <c r="AF905" s="39">
        <f t="shared" si="322"/>
        <v>4.7993656445766328</v>
      </c>
      <c r="AG905" s="39">
        <f t="shared" si="323"/>
        <v>-0.50160238573081917</v>
      </c>
      <c r="AH905" s="39">
        <f t="shared" si="324"/>
        <v>1.4749918407075648</v>
      </c>
      <c r="AI905" s="39">
        <f t="shared" si="325"/>
        <v>-1.6389031427407865</v>
      </c>
      <c r="AJ905" s="39">
        <f t="shared" si="326"/>
        <v>5.1514637793697036</v>
      </c>
      <c r="AK905" s="37">
        <f t="shared" si="327"/>
        <v>326281.839340673</v>
      </c>
      <c r="AL905" s="37">
        <f t="shared" si="328"/>
        <v>339415.13584121963</v>
      </c>
      <c r="AM905" s="37">
        <f t="shared" si="329"/>
        <v>310977.74473390041</v>
      </c>
    </row>
    <row r="906" spans="12:39">
      <c r="L906">
        <v>902</v>
      </c>
      <c r="M906" s="37">
        <f t="shared" si="314"/>
        <v>5.6674331470759123</v>
      </c>
      <c r="N906" s="37">
        <f t="shared" si="308"/>
        <v>24081.696253585702</v>
      </c>
      <c r="O906" s="37">
        <f t="shared" si="309"/>
        <v>4612.136482888357</v>
      </c>
      <c r="R906" s="37">
        <f t="shared" si="310"/>
        <v>-17142.812622490008</v>
      </c>
      <c r="S906" s="37">
        <f t="shared" si="311"/>
        <v>7978.4955380218498</v>
      </c>
      <c r="V906" s="37">
        <f t="shared" si="312"/>
        <v>-918.30374641429626</v>
      </c>
      <c r="W906" s="37">
        <f t="shared" si="313"/>
        <v>-17887.863517111644</v>
      </c>
      <c r="Y906" s="37">
        <f t="shared" si="315"/>
        <v>89622.484894563982</v>
      </c>
      <c r="Z906" s="37">
        <f t="shared" si="316"/>
        <v>-311762.59535282641</v>
      </c>
      <c r="AA906" s="37">
        <f t="shared" si="317"/>
        <v>685.78219699686906</v>
      </c>
      <c r="AB906" s="37">
        <f t="shared" si="318"/>
        <v>-838.30057291937783</v>
      </c>
      <c r="AC906" s="37">
        <f t="shared" si="319"/>
        <v>-3.1811621885255961</v>
      </c>
      <c r="AD906" s="37">
        <f t="shared" si="320"/>
        <v>11.388452093165704</v>
      </c>
      <c r="AE906" s="39">
        <f t="shared" si="321"/>
        <v>-1.0433463325786994</v>
      </c>
      <c r="AF906" s="39">
        <f t="shared" si="322"/>
        <v>4.7843948473740383</v>
      </c>
      <c r="AG906" s="39">
        <f t="shared" si="323"/>
        <v>-0.50092313692755697</v>
      </c>
      <c r="AH906" s="39">
        <f t="shared" si="324"/>
        <v>1.4703035491770955</v>
      </c>
      <c r="AI906" s="39">
        <f t="shared" si="325"/>
        <v>-1.6368927190193396</v>
      </c>
      <c r="AJ906" s="39">
        <f t="shared" si="326"/>
        <v>5.1337536966145692</v>
      </c>
      <c r="AK906" s="37">
        <f t="shared" si="327"/>
        <v>326765.81093241129</v>
      </c>
      <c r="AL906" s="37">
        <f t="shared" si="328"/>
        <v>339923.89878125017</v>
      </c>
      <c r="AM906" s="37">
        <f t="shared" si="329"/>
        <v>311482.66829499096</v>
      </c>
    </row>
    <row r="907" spans="12:39">
      <c r="L907">
        <v>903</v>
      </c>
      <c r="M907" s="37">
        <f t="shared" si="314"/>
        <v>5.6737163323830915</v>
      </c>
      <c r="N907" s="37">
        <f t="shared" si="308"/>
        <v>24099.760546627047</v>
      </c>
      <c r="O907" s="37">
        <f t="shared" si="309"/>
        <v>4637.8393720267377</v>
      </c>
      <c r="R907" s="37">
        <f t="shared" si="310"/>
        <v>-17130.167617361069</v>
      </c>
      <c r="S907" s="37">
        <f t="shared" si="311"/>
        <v>7996.4875604187164</v>
      </c>
      <c r="V907" s="37">
        <f t="shared" si="312"/>
        <v>-900.2394533729539</v>
      </c>
      <c r="W907" s="37">
        <f t="shared" si="313"/>
        <v>-17862.160627973262</v>
      </c>
      <c r="Y907" s="37">
        <f t="shared" si="315"/>
        <v>89964.978347788856</v>
      </c>
      <c r="Z907" s="37">
        <f t="shared" si="316"/>
        <v>-312180.32208277448</v>
      </c>
      <c r="AA907" s="37">
        <f t="shared" si="317"/>
        <v>684.19161590260626</v>
      </c>
      <c r="AB907" s="37">
        <f t="shared" si="318"/>
        <v>-832.60634687279503</v>
      </c>
      <c r="AC907" s="37">
        <f t="shared" si="319"/>
        <v>-3.1790238113443885</v>
      </c>
      <c r="AD907" s="37">
        <f t="shared" si="320"/>
        <v>11.351458062979454</v>
      </c>
      <c r="AE907" s="39">
        <f t="shared" si="321"/>
        <v>-1.0438647539474324</v>
      </c>
      <c r="AF907" s="39">
        <f t="shared" si="322"/>
        <v>4.7695722722012039</v>
      </c>
      <c r="AG907" s="39">
        <f t="shared" si="323"/>
        <v>-0.50025220110403901</v>
      </c>
      <c r="AH907" s="39">
        <f t="shared" si="324"/>
        <v>1.46566131959373</v>
      </c>
      <c r="AI907" s="39">
        <f t="shared" si="325"/>
        <v>-1.634906856292917</v>
      </c>
      <c r="AJ907" s="39">
        <f t="shared" si="326"/>
        <v>5.1162244711845188</v>
      </c>
      <c r="AK907" s="37">
        <f t="shared" si="327"/>
        <v>327247.01147933037</v>
      </c>
      <c r="AL907" s="37">
        <f t="shared" si="328"/>
        <v>340429.81126862258</v>
      </c>
      <c r="AM907" s="37">
        <f t="shared" si="329"/>
        <v>311984.76075894729</v>
      </c>
    </row>
    <row r="908" spans="12:39">
      <c r="L908">
        <v>904</v>
      </c>
      <c r="M908" s="37">
        <f t="shared" si="314"/>
        <v>5.6799995176902707</v>
      </c>
      <c r="N908" s="37">
        <f t="shared" si="308"/>
        <v>24117.662988141921</v>
      </c>
      <c r="O908" s="37">
        <f t="shared" si="309"/>
        <v>4663.6552543659063</v>
      </c>
      <c r="R908" s="37">
        <f t="shared" si="310"/>
        <v>-17117.635908300654</v>
      </c>
      <c r="S908" s="37">
        <f t="shared" si="311"/>
        <v>8014.5586780561343</v>
      </c>
      <c r="V908" s="37">
        <f t="shared" si="312"/>
        <v>-882.33701185807695</v>
      </c>
      <c r="W908" s="37">
        <f t="shared" si="313"/>
        <v>-17836.344745634095</v>
      </c>
      <c r="Y908" s="37">
        <f t="shared" si="315"/>
        <v>90306.676777763743</v>
      </c>
      <c r="Z908" s="37">
        <f t="shared" si="316"/>
        <v>-312595.206323953</v>
      </c>
      <c r="AA908" s="37">
        <f t="shared" si="317"/>
        <v>682.60210399693403</v>
      </c>
      <c r="AB908" s="37">
        <f t="shared" si="318"/>
        <v>-826.93061784130532</v>
      </c>
      <c r="AC908" s="37">
        <f t="shared" si="319"/>
        <v>-3.1769146452957129</v>
      </c>
      <c r="AD908" s="37">
        <f t="shared" si="320"/>
        <v>11.314834629965677</v>
      </c>
      <c r="AE908" s="39">
        <f t="shared" si="321"/>
        <v>-1.0443797426388017</v>
      </c>
      <c r="AF908" s="39">
        <f t="shared" si="322"/>
        <v>4.7548961851409146</v>
      </c>
      <c r="AG908" s="39">
        <f t="shared" si="323"/>
        <v>-0.49958950958004911</v>
      </c>
      <c r="AH908" s="39">
        <f t="shared" si="324"/>
        <v>1.461064603051726</v>
      </c>
      <c r="AI908" s="39">
        <f t="shared" si="325"/>
        <v>-1.6329453930768623</v>
      </c>
      <c r="AJ908" s="39">
        <f t="shared" si="326"/>
        <v>5.0988738417730373</v>
      </c>
      <c r="AK908" s="37">
        <f t="shared" si="327"/>
        <v>327725.44898299704</v>
      </c>
      <c r="AL908" s="37">
        <f t="shared" si="328"/>
        <v>340932.88208230643</v>
      </c>
      <c r="AM908" s="37">
        <f t="shared" si="329"/>
        <v>312484.03073663986</v>
      </c>
    </row>
    <row r="909" spans="12:39">
      <c r="L909">
        <v>905</v>
      </c>
      <c r="M909" s="37">
        <f t="shared" si="314"/>
        <v>5.6862827029974499</v>
      </c>
      <c r="N909" s="37">
        <f t="shared" si="308"/>
        <v>24135.402871372597</v>
      </c>
      <c r="O909" s="37">
        <f t="shared" si="309"/>
        <v>4689.5831107390331</v>
      </c>
      <c r="R909" s="37">
        <f t="shared" si="310"/>
        <v>-17105.217990039182</v>
      </c>
      <c r="S909" s="37">
        <f t="shared" si="311"/>
        <v>8032.7081775173228</v>
      </c>
      <c r="V909" s="37">
        <f t="shared" si="312"/>
        <v>-864.59712862740435</v>
      </c>
      <c r="W909" s="37">
        <f t="shared" si="313"/>
        <v>-17810.416889260967</v>
      </c>
      <c r="Y909" s="37">
        <f t="shared" si="315"/>
        <v>90647.580715431555</v>
      </c>
      <c r="Z909" s="37">
        <f t="shared" si="316"/>
        <v>-313007.25727854489</v>
      </c>
      <c r="AA909" s="37">
        <f t="shared" si="317"/>
        <v>681.01364667428618</v>
      </c>
      <c r="AB909" s="37">
        <f t="shared" si="318"/>
        <v>-821.27320052632251</v>
      </c>
      <c r="AC909" s="37">
        <f t="shared" si="319"/>
        <v>-3.1748346700432419</v>
      </c>
      <c r="AD909" s="37">
        <f t="shared" si="320"/>
        <v>11.278577326521996</v>
      </c>
      <c r="AE909" s="39">
        <f t="shared" si="321"/>
        <v>-1.0448915053492898</v>
      </c>
      <c r="AF909" s="39">
        <f t="shared" si="322"/>
        <v>4.7403648807467178</v>
      </c>
      <c r="AG909" s="39">
        <f t="shared" si="323"/>
        <v>-0.4989349947444775</v>
      </c>
      <c r="AH909" s="39">
        <f t="shared" si="324"/>
        <v>1.4565128597540373</v>
      </c>
      <c r="AI909" s="39">
        <f t="shared" si="325"/>
        <v>-1.6310081699494747</v>
      </c>
      <c r="AJ909" s="39">
        <f t="shared" si="326"/>
        <v>5.0816995860212408</v>
      </c>
      <c r="AK909" s="37">
        <f t="shared" si="327"/>
        <v>328201.13136483671</v>
      </c>
      <c r="AL909" s="37">
        <f t="shared" si="328"/>
        <v>341433.11991191778</v>
      </c>
      <c r="AM909" s="37">
        <f t="shared" si="329"/>
        <v>312980.48675180349</v>
      </c>
    </row>
    <row r="910" spans="12:39">
      <c r="L910">
        <v>906</v>
      </c>
      <c r="M910" s="37">
        <f t="shared" si="314"/>
        <v>5.6925658883046291</v>
      </c>
      <c r="N910" s="37">
        <f t="shared" si="308"/>
        <v>24152.979495978849</v>
      </c>
      <c r="O910" s="37">
        <f t="shared" si="309"/>
        <v>4715.621917558743</v>
      </c>
      <c r="R910" s="37">
        <f t="shared" si="310"/>
        <v>-17092.914352814805</v>
      </c>
      <c r="S910" s="37">
        <f t="shared" si="311"/>
        <v>8050.9353422911208</v>
      </c>
      <c r="V910" s="37">
        <f t="shared" si="312"/>
        <v>-847.02050402114946</v>
      </c>
      <c r="W910" s="37">
        <f t="shared" si="313"/>
        <v>-17784.378082441257</v>
      </c>
      <c r="Y910" s="37">
        <f t="shared" si="315"/>
        <v>90987.690684434943</v>
      </c>
      <c r="Z910" s="37">
        <f t="shared" si="316"/>
        <v>-313416.48405664228</v>
      </c>
      <c r="AA910" s="37">
        <f t="shared" si="317"/>
        <v>679.42622933926452</v>
      </c>
      <c r="AB910" s="37">
        <f t="shared" si="318"/>
        <v>-815.63391186306148</v>
      </c>
      <c r="AC910" s="37">
        <f t="shared" si="319"/>
        <v>-3.1727838639156891</v>
      </c>
      <c r="AD910" s="37">
        <f t="shared" si="320"/>
        <v>11.242681760023874</v>
      </c>
      <c r="AE910" s="39">
        <f t="shared" si="321"/>
        <v>-1.0454002443446304</v>
      </c>
      <c r="AF910" s="39">
        <f t="shared" si="322"/>
        <v>4.7259766814839308</v>
      </c>
      <c r="AG910" s="39">
        <f t="shared" si="323"/>
        <v>-0.49828859003763781</v>
      </c>
      <c r="AH910" s="39">
        <f t="shared" si="324"/>
        <v>1.4520055588300929</v>
      </c>
      <c r="AI910" s="39">
        <f t="shared" si="325"/>
        <v>-1.6290950295334208</v>
      </c>
      <c r="AJ910" s="39">
        <f t="shared" si="326"/>
        <v>5.0646995197098503</v>
      </c>
      <c r="AK910" s="37">
        <f t="shared" si="327"/>
        <v>328674.06646704901</v>
      </c>
      <c r="AL910" s="37">
        <f t="shared" si="328"/>
        <v>341930.53335878643</v>
      </c>
      <c r="AM910" s="37">
        <f t="shared" si="329"/>
        <v>313474.13724206819</v>
      </c>
    </row>
    <row r="911" spans="12:39">
      <c r="L911">
        <v>907</v>
      </c>
      <c r="M911" s="37">
        <f t="shared" si="314"/>
        <v>5.6988490736118083</v>
      </c>
      <c r="N911" s="37">
        <f t="shared" si="308"/>
        <v>24170.392168065642</v>
      </c>
      <c r="O911" s="37">
        <f t="shared" si="309"/>
        <v>4741.7706468575288</v>
      </c>
      <c r="R911" s="37">
        <f t="shared" si="310"/>
        <v>-17080.72548235405</v>
      </c>
      <c r="S911" s="37">
        <f t="shared" si="311"/>
        <v>8069.2394528002696</v>
      </c>
      <c r="V911" s="37">
        <f t="shared" si="312"/>
        <v>-829.607831934356</v>
      </c>
      <c r="W911" s="37">
        <f t="shared" si="313"/>
        <v>-17758.229353142473</v>
      </c>
      <c r="Y911" s="37">
        <f t="shared" si="315"/>
        <v>91327.007201121582</v>
      </c>
      <c r="Z911" s="37">
        <f t="shared" si="316"/>
        <v>-313822.89567735384</v>
      </c>
      <c r="AA911" s="37">
        <f t="shared" si="317"/>
        <v>677.83983740730673</v>
      </c>
      <c r="AB911" s="37">
        <f t="shared" si="318"/>
        <v>-810.0125709830495</v>
      </c>
      <c r="AC911" s="37">
        <f t="shared" si="319"/>
        <v>-3.1707622039877368</v>
      </c>
      <c r="AD911" s="37">
        <f t="shared" si="320"/>
        <v>11.207143611313231</v>
      </c>
      <c r="AE911" s="39">
        <f t="shared" si="321"/>
        <v>-1.0459061575765112</v>
      </c>
      <c r="AF911" s="39">
        <f t="shared" si="322"/>
        <v>4.7117299371839438</v>
      </c>
      <c r="AG911" s="39">
        <f t="shared" si="323"/>
        <v>-0.49765022993399222</v>
      </c>
      <c r="AH911" s="39">
        <f t="shared" si="324"/>
        <v>1.4475421781580307</v>
      </c>
      <c r="AI911" s="39">
        <f t="shared" si="325"/>
        <v>-1.6272058164772332</v>
      </c>
      <c r="AJ911" s="39">
        <f t="shared" si="326"/>
        <v>5.0478714959712567</v>
      </c>
      <c r="AK911" s="37">
        <f t="shared" si="327"/>
        <v>329144.2620535082</v>
      </c>
      <c r="AL911" s="37">
        <f t="shared" si="328"/>
        <v>342425.13093700493</v>
      </c>
      <c r="AM911" s="37">
        <f t="shared" si="329"/>
        <v>313964.99055997247</v>
      </c>
    </row>
    <row r="912" spans="12:39">
      <c r="L912">
        <v>908</v>
      </c>
      <c r="M912" s="37">
        <f t="shared" si="314"/>
        <v>5.7051322589189875</v>
      </c>
      <c r="N912" s="37">
        <f t="shared" si="308"/>
        <v>24187.640200210499</v>
      </c>
      <c r="O912" s="37">
        <f t="shared" si="309"/>
        <v>4768.0282663283324</v>
      </c>
      <c r="R912" s="37">
        <f t="shared" si="310"/>
        <v>-17068.651859852653</v>
      </c>
      <c r="S912" s="37">
        <f t="shared" si="311"/>
        <v>8087.6197864298319</v>
      </c>
      <c r="V912" s="37">
        <f t="shared" si="312"/>
        <v>-812.35979978950218</v>
      </c>
      <c r="W912" s="37">
        <f t="shared" si="313"/>
        <v>-17731.971733671668</v>
      </c>
      <c r="Y912" s="37">
        <f t="shared" si="315"/>
        <v>91665.530774549741</v>
      </c>
      <c r="Z912" s="37">
        <f t="shared" si="316"/>
        <v>-314226.50106989394</v>
      </c>
      <c r="AA912" s="37">
        <f t="shared" si="317"/>
        <v>676.25445630531283</v>
      </c>
      <c r="AB912" s="37">
        <f t="shared" si="318"/>
        <v>-804.40899917739284</v>
      </c>
      <c r="AC912" s="37">
        <f t="shared" si="319"/>
        <v>-3.1687696661580604</v>
      </c>
      <c r="AD912" s="37">
        <f t="shared" si="320"/>
        <v>11.171958633223323</v>
      </c>
      <c r="AE912" s="39">
        <f t="shared" si="321"/>
        <v>-1.0464094387959815</v>
      </c>
      <c r="AF912" s="39">
        <f t="shared" si="322"/>
        <v>4.6976230245112225</v>
      </c>
      <c r="AG912" s="39">
        <f t="shared" si="323"/>
        <v>-0.49701984992525017</v>
      </c>
      <c r="AH912" s="39">
        <f t="shared" si="324"/>
        <v>1.4431222041911924</v>
      </c>
      <c r="AI912" s="39">
        <f t="shared" si="325"/>
        <v>-1.6253403774368287</v>
      </c>
      <c r="AJ912" s="39">
        <f t="shared" si="326"/>
        <v>5.0312134045209076</v>
      </c>
      <c r="AK912" s="37">
        <f t="shared" si="327"/>
        <v>329611.72581064893</v>
      </c>
      <c r="AL912" s="37">
        <f t="shared" si="328"/>
        <v>342916.92107446061</v>
      </c>
      <c r="AM912" s="37">
        <f t="shared" si="329"/>
        <v>314453.05497396056</v>
      </c>
    </row>
    <row r="913" spans="12:39">
      <c r="L913">
        <v>909</v>
      </c>
      <c r="M913" s="37">
        <f t="shared" si="314"/>
        <v>5.7114154442261666</v>
      </c>
      <c r="N913" s="37">
        <f t="shared" si="308"/>
        <v>24204.722911490637</v>
      </c>
      <c r="O913" s="37">
        <f t="shared" si="309"/>
        <v>4794.393739365295</v>
      </c>
      <c r="R913" s="37">
        <f t="shared" si="310"/>
        <v>-17056.693961956553</v>
      </c>
      <c r="S913" s="37">
        <f t="shared" si="311"/>
        <v>8106.0756175557071</v>
      </c>
      <c r="V913" s="37">
        <f t="shared" si="312"/>
        <v>-795.27708850936415</v>
      </c>
      <c r="W913" s="37">
        <f t="shared" si="313"/>
        <v>-17705.606260634704</v>
      </c>
      <c r="Y913" s="37">
        <f t="shared" si="315"/>
        <v>92003.261906494139</v>
      </c>
      <c r="Z913" s="37">
        <f t="shared" si="316"/>
        <v>-314627.30907465349</v>
      </c>
      <c r="AA913" s="37">
        <f t="shared" si="317"/>
        <v>674.67007147223376</v>
      </c>
      <c r="AB913" s="37">
        <f t="shared" si="318"/>
        <v>-798.82301986078119</v>
      </c>
      <c r="AC913" s="37">
        <f t="shared" si="319"/>
        <v>-3.1668062252246525</v>
      </c>
      <c r="AD913" s="37">
        <f t="shared" si="320"/>
        <v>11.13712264913914</v>
      </c>
      <c r="AE913" s="39">
        <f t="shared" si="321"/>
        <v>-1.0469102776637094</v>
      </c>
      <c r="AF913" s="39">
        <f t="shared" si="322"/>
        <v>4.6836543464427791</v>
      </c>
      <c r="AG913" s="39">
        <f t="shared" si="323"/>
        <v>-0.49639738650378767</v>
      </c>
      <c r="AH913" s="39">
        <f t="shared" si="324"/>
        <v>1.4387451317886295</v>
      </c>
      <c r="AI913" s="39">
        <f t="shared" si="325"/>
        <v>-1.6234985610571555</v>
      </c>
      <c r="AJ913" s="39">
        <f t="shared" si="326"/>
        <v>5.0147231709077325</v>
      </c>
      <c r="AK913" s="37">
        <f t="shared" si="327"/>
        <v>330076.46534833789</v>
      </c>
      <c r="AL913" s="37">
        <f t="shared" si="328"/>
        <v>343405.91211385006</v>
      </c>
      <c r="AM913" s="37">
        <f t="shared" si="329"/>
        <v>314938.33866936213</v>
      </c>
    </row>
    <row r="914" spans="12:39">
      <c r="L914">
        <v>910</v>
      </c>
      <c r="M914" s="37">
        <f t="shared" si="314"/>
        <v>5.7176986295333458</v>
      </c>
      <c r="N914" s="37">
        <f t="shared" si="308"/>
        <v>24221.639627509867</v>
      </c>
      <c r="O914" s="37">
        <f t="shared" si="309"/>
        <v>4820.8660251046877</v>
      </c>
      <c r="R914" s="37">
        <f t="shared" si="310"/>
        <v>-17044.852260743093</v>
      </c>
      <c r="S914" s="37">
        <f t="shared" si="311"/>
        <v>8124.6062175732814</v>
      </c>
      <c r="V914" s="37">
        <f t="shared" si="312"/>
        <v>-778.36037249013316</v>
      </c>
      <c r="W914" s="37">
        <f t="shared" si="313"/>
        <v>-17679.133974895311</v>
      </c>
      <c r="Y914" s="37">
        <f t="shared" si="315"/>
        <v>92340.201091452109</v>
      </c>
      <c r="Z914" s="37">
        <f t="shared" si="316"/>
        <v>-315025.32844425272</v>
      </c>
      <c r="AA914" s="37">
        <f t="shared" si="317"/>
        <v>673.0866683596214</v>
      </c>
      <c r="AB914" s="37">
        <f t="shared" si="318"/>
        <v>-793.25445853621159</v>
      </c>
      <c r="AC914" s="37">
        <f t="shared" si="319"/>
        <v>-3.1648718549574988</v>
      </c>
      <c r="AD914" s="37">
        <f t="shared" si="320"/>
        <v>11.102631551592243</v>
      </c>
      <c r="AE914" s="39">
        <f t="shared" si="321"/>
        <v>-1.0474088598571656</v>
      </c>
      <c r="AF914" s="39">
        <f t="shared" si="322"/>
        <v>4.6698223317597298</v>
      </c>
      <c r="AG914" s="39">
        <f t="shared" si="323"/>
        <v>-0.49578277714645302</v>
      </c>
      <c r="AH914" s="39">
        <f t="shared" si="324"/>
        <v>1.4344104640497286</v>
      </c>
      <c r="AI914" s="39">
        <f t="shared" si="325"/>
        <v>-1.6216802179538803</v>
      </c>
      <c r="AJ914" s="39">
        <f t="shared" si="326"/>
        <v>4.9983987557827847</v>
      </c>
      <c r="AK914" s="37">
        <f t="shared" si="327"/>
        <v>330538.48820073105</v>
      </c>
      <c r="AL914" s="37">
        <f t="shared" si="328"/>
        <v>343892.11231367645</v>
      </c>
      <c r="AM914" s="37">
        <f t="shared" si="329"/>
        <v>315420.84974935639</v>
      </c>
    </row>
    <row r="915" spans="12:39">
      <c r="L915">
        <v>911</v>
      </c>
      <c r="M915" s="37">
        <f t="shared" si="314"/>
        <v>5.723981814840525</v>
      </c>
      <c r="N915" s="37">
        <f t="shared" si="308"/>
        <v>24238.389680425207</v>
      </c>
      <c r="O915" s="37">
        <f t="shared" si="309"/>
        <v>4847.4440784659982</v>
      </c>
      <c r="R915" s="37">
        <f t="shared" si="310"/>
        <v>-17033.127223702355</v>
      </c>
      <c r="S915" s="37">
        <f t="shared" si="311"/>
        <v>8143.2108549261993</v>
      </c>
      <c r="V915" s="37">
        <f t="shared" si="312"/>
        <v>-761.61031957479099</v>
      </c>
      <c r="W915" s="37">
        <f t="shared" si="313"/>
        <v>-17652.555921534004</v>
      </c>
      <c r="Y915" s="37">
        <f t="shared" si="315"/>
        <v>92676.348816650047</v>
      </c>
      <c r="Z915" s="37">
        <f t="shared" si="316"/>
        <v>-315420.56784457684</v>
      </c>
      <c r="AA915" s="37">
        <f t="shared" si="317"/>
        <v>671.50423243214266</v>
      </c>
      <c r="AB915" s="37">
        <f t="shared" si="318"/>
        <v>-787.70314276041552</v>
      </c>
      <c r="AC915" s="37">
        <f t="shared" si="319"/>
        <v>-3.1629665281686674</v>
      </c>
      <c r="AD915" s="37">
        <f t="shared" si="320"/>
        <v>11.068481300888962</v>
      </c>
      <c r="AE915" s="39">
        <f t="shared" si="321"/>
        <v>-1.0479053671748479</v>
      </c>
      <c r="AF915" s="39">
        <f t="shared" si="322"/>
        <v>4.656125434550682</v>
      </c>
      <c r="AG915" s="39">
        <f t="shared" si="323"/>
        <v>-0.49517596029870714</v>
      </c>
      <c r="AH915" s="39">
        <f t="shared" si="324"/>
        <v>1.4301177121527155</v>
      </c>
      <c r="AI915" s="39">
        <f t="shared" si="325"/>
        <v>-1.6198852006951123</v>
      </c>
      <c r="AJ915" s="39">
        <f t="shared" si="326"/>
        <v>4.9822381541855654</v>
      </c>
      <c r="AK915" s="37">
        <f t="shared" si="327"/>
        <v>330997.80182711687</v>
      </c>
      <c r="AL915" s="37">
        <f t="shared" si="328"/>
        <v>344375.52984923049</v>
      </c>
      <c r="AM915" s="37">
        <f t="shared" si="329"/>
        <v>315900.59623592021</v>
      </c>
    </row>
    <row r="916" spans="12:39">
      <c r="L916">
        <v>912</v>
      </c>
      <c r="M916" s="37">
        <f t="shared" si="314"/>
        <v>5.7302650001477042</v>
      </c>
      <c r="N916" s="37">
        <f t="shared" si="308"/>
        <v>24254.972408973252</v>
      </c>
      <c r="O916" s="37">
        <f t="shared" si="309"/>
        <v>4874.1268501931863</v>
      </c>
      <c r="R916" s="37">
        <f t="shared" si="310"/>
        <v>-17021.519313718723</v>
      </c>
      <c r="S916" s="37">
        <f t="shared" si="311"/>
        <v>8161.8887951352308</v>
      </c>
      <c r="V916" s="37">
        <f t="shared" si="312"/>
        <v>-745.02759102674736</v>
      </c>
      <c r="W916" s="37">
        <f t="shared" si="313"/>
        <v>-17625.873149806812</v>
      </c>
      <c r="Y916" s="37">
        <f t="shared" si="315"/>
        <v>93011.705562050091</v>
      </c>
      <c r="Z916" s="37">
        <f t="shared" si="316"/>
        <v>-315813.03585579444</v>
      </c>
      <c r="AA916" s="37">
        <f t="shared" si="317"/>
        <v>669.92274916805832</v>
      </c>
      <c r="AB916" s="37">
        <f t="shared" si="318"/>
        <v>-782.16890210997099</v>
      </c>
      <c r="AC916" s="37">
        <f t="shared" si="319"/>
        <v>-3.1610902167800532</v>
      </c>
      <c r="AD916" s="37">
        <f t="shared" si="320"/>
        <v>11.03466792377151</v>
      </c>
      <c r="AE916" s="39">
        <f t="shared" si="321"/>
        <v>-1.0483999776376114</v>
      </c>
      <c r="AF916" s="39">
        <f t="shared" si="322"/>
        <v>4.6425621337265124</v>
      </c>
      <c r="AG916" s="39">
        <f t="shared" si="323"/>
        <v>-0.49457687535907879</v>
      </c>
      <c r="AH916" s="39">
        <f t="shared" si="324"/>
        <v>1.4258663951969044</v>
      </c>
      <c r="AI916" s="39">
        <f t="shared" si="325"/>
        <v>-1.6181133637833633</v>
      </c>
      <c r="AJ916" s="39">
        <f t="shared" si="326"/>
        <v>4.9662393948480927</v>
      </c>
      <c r="AK916" s="37">
        <f t="shared" si="327"/>
        <v>331454.41361274663</v>
      </c>
      <c r="AL916" s="37">
        <f t="shared" si="328"/>
        <v>344856.17281355528</v>
      </c>
      <c r="AM916" s="37">
        <f t="shared" si="329"/>
        <v>316377.5860707605</v>
      </c>
    </row>
    <row r="917" spans="12:39">
      <c r="L917">
        <v>913</v>
      </c>
      <c r="M917" s="37">
        <f t="shared" si="314"/>
        <v>5.7365481854548834</v>
      </c>
      <c r="N917" s="37">
        <f t="shared" si="308"/>
        <v>24271.387158496269</v>
      </c>
      <c r="O917" s="37">
        <f t="shared" si="309"/>
        <v>4900.9132868961151</v>
      </c>
      <c r="R917" s="37">
        <f t="shared" si="310"/>
        <v>-17010.028989052611</v>
      </c>
      <c r="S917" s="37">
        <f t="shared" si="311"/>
        <v>8180.6393008272807</v>
      </c>
      <c r="V917" s="37">
        <f t="shared" si="312"/>
        <v>-728.61284150372921</v>
      </c>
      <c r="W917" s="37">
        <f t="shared" si="313"/>
        <v>-17599.086713103883</v>
      </c>
      <c r="Y917" s="37">
        <f t="shared" si="315"/>
        <v>93346.271800357019</v>
      </c>
      <c r="Z917" s="37">
        <f t="shared" si="316"/>
        <v>-316202.74097335897</v>
      </c>
      <c r="AA917" s="37">
        <f t="shared" si="317"/>
        <v>668.34220405966835</v>
      </c>
      <c r="AB917" s="37">
        <f t="shared" si="318"/>
        <v>-776.65156814808518</v>
      </c>
      <c r="AC917" s="37">
        <f t="shared" si="319"/>
        <v>-3.1592428918886402</v>
      </c>
      <c r="AD917" s="37">
        <f t="shared" si="320"/>
        <v>11.001187512110427</v>
      </c>
      <c r="AE917" s="39">
        <f t="shared" si="321"/>
        <v>-1.0488928655872654</v>
      </c>
      <c r="AF917" s="39">
        <f t="shared" si="322"/>
        <v>4.6291309325465413</v>
      </c>
      <c r="AG917" s="39">
        <f t="shared" si="323"/>
        <v>-0.49398546266395765</v>
      </c>
      <c r="AH917" s="39">
        <f t="shared" si="324"/>
        <v>1.4216560400486706</v>
      </c>
      <c r="AI917" s="39">
        <f t="shared" si="325"/>
        <v>-1.6163645636374173</v>
      </c>
      <c r="AJ917" s="39">
        <f t="shared" si="326"/>
        <v>4.9504005395152149</v>
      </c>
      <c r="AK917" s="37">
        <f t="shared" si="327"/>
        <v>331908.33086965047</v>
      </c>
      <c r="AL917" s="37">
        <f t="shared" si="328"/>
        <v>345334.04921839485</v>
      </c>
      <c r="AM917" s="37">
        <f t="shared" si="329"/>
        <v>316851.8271162312</v>
      </c>
    </row>
    <row r="918" spans="12:39">
      <c r="L918">
        <v>914</v>
      </c>
      <c r="M918" s="37">
        <f t="shared" si="314"/>
        <v>5.7428313707620626</v>
      </c>
      <c r="N918" s="37">
        <f t="shared" si="308"/>
        <v>24287.633280968057</v>
      </c>
      <c r="O918" s="37">
        <f t="shared" si="309"/>
        <v>4927.8023310921271</v>
      </c>
      <c r="R918" s="37">
        <f t="shared" si="310"/>
        <v>-16998.656703322362</v>
      </c>
      <c r="S918" s="37">
        <f t="shared" si="311"/>
        <v>8199.4616317644886</v>
      </c>
      <c r="V918" s="37">
        <f t="shared" si="312"/>
        <v>-712.36671903194292</v>
      </c>
      <c r="W918" s="37">
        <f t="shared" si="313"/>
        <v>-17572.197668907873</v>
      </c>
      <c r="Y918" s="37">
        <f t="shared" si="315"/>
        <v>93680.047997025365</v>
      </c>
      <c r="Z918" s="37">
        <f t="shared" si="316"/>
        <v>-316589.69160899398</v>
      </c>
      <c r="AA918" s="37">
        <f t="shared" si="317"/>
        <v>666.76258261372402</v>
      </c>
      <c r="AB918" s="37">
        <f t="shared" si="318"/>
        <v>-771.15097439202998</v>
      </c>
      <c r="AC918" s="37">
        <f t="shared" si="319"/>
        <v>-3.1574245238295529</v>
      </c>
      <c r="AD918" s="37">
        <f t="shared" si="320"/>
        <v>10.968036221627987</v>
      </c>
      <c r="AE918" s="39">
        <f t="shared" si="321"/>
        <v>-1.0493842017823576</v>
      </c>
      <c r="AF918" s="39">
        <f t="shared" si="322"/>
        <v>4.615830358155101</v>
      </c>
      <c r="AG918" s="39">
        <f t="shared" si="323"/>
        <v>-0.49340166347271208</v>
      </c>
      <c r="AH918" s="39">
        <f t="shared" si="324"/>
        <v>1.4174861811910406</v>
      </c>
      <c r="AI918" s="39">
        <f t="shared" si="325"/>
        <v>-1.6146386585744834</v>
      </c>
      <c r="AJ918" s="39">
        <f t="shared" si="326"/>
        <v>4.9347196822818447</v>
      </c>
      <c r="AK918" s="37">
        <f t="shared" si="327"/>
        <v>332359.56083744118</v>
      </c>
      <c r="AL918" s="37">
        <f t="shared" si="328"/>
        <v>345809.16699512722</v>
      </c>
      <c r="AM918" s="37">
        <f t="shared" si="329"/>
        <v>317323.32715623558</v>
      </c>
    </row>
    <row r="919" spans="12:39">
      <c r="L919">
        <v>915</v>
      </c>
      <c r="M919" s="37">
        <f t="shared" si="314"/>
        <v>5.7491145560692418</v>
      </c>
      <c r="N919" s="37">
        <f t="shared" si="308"/>
        <v>24303.710135019515</v>
      </c>
      <c r="O919" s="37">
        <f t="shared" si="309"/>
        <v>4954.7929212477993</v>
      </c>
      <c r="R919" s="37">
        <f t="shared" si="310"/>
        <v>-16987.402905486339</v>
      </c>
      <c r="S919" s="37">
        <f t="shared" si="311"/>
        <v>8218.3550448734604</v>
      </c>
      <c r="V919" s="37">
        <f t="shared" si="312"/>
        <v>-696.28986498048471</v>
      </c>
      <c r="W919" s="37">
        <f t="shared" si="313"/>
        <v>-17545.207078752199</v>
      </c>
      <c r="Y919" s="37">
        <f t="shared" si="315"/>
        <v>94013.034610266754</v>
      </c>
      <c r="Z919" s="37">
        <f t="shared" si="316"/>
        <v>-316973.89609166229</v>
      </c>
      <c r="AA919" s="37">
        <f t="shared" si="317"/>
        <v>665.18387035180922</v>
      </c>
      <c r="AB919" s="37">
        <f t="shared" si="318"/>
        <v>-765.66695628121602</v>
      </c>
      <c r="AC919" s="37">
        <f t="shared" si="319"/>
        <v>-3.1556350822369206</v>
      </c>
      <c r="AD919" s="37">
        <f t="shared" si="320"/>
        <v>10.935210270651698</v>
      </c>
      <c r="AE919" s="39">
        <f t="shared" si="321"/>
        <v>-1.0498741534914651</v>
      </c>
      <c r="AF919" s="39">
        <f t="shared" si="322"/>
        <v>4.6026589611292223</v>
      </c>
      <c r="AG919" s="39">
        <f t="shared" si="323"/>
        <v>-0.4928254199531093</v>
      </c>
      <c r="AH919" s="39">
        <f t="shared" si="324"/>
        <v>1.4133563605767512</v>
      </c>
      <c r="AI919" s="39">
        <f t="shared" si="325"/>
        <v>-1.6129355087923465</v>
      </c>
      <c r="AJ919" s="39">
        <f t="shared" si="326"/>
        <v>4.9191949489457256</v>
      </c>
      <c r="AK919" s="37">
        <f t="shared" si="327"/>
        <v>332808.1106841049</v>
      </c>
      <c r="AL919" s="37">
        <f t="shared" si="328"/>
        <v>346281.53399568255</v>
      </c>
      <c r="AM919" s="37">
        <f t="shared" si="329"/>
        <v>317792.09389711369</v>
      </c>
    </row>
    <row r="920" spans="12:39">
      <c r="L920">
        <v>916</v>
      </c>
      <c r="M920" s="37">
        <f t="shared" si="314"/>
        <v>5.755397741376421</v>
      </c>
      <c r="N920" s="37">
        <f t="shared" si="308"/>
        <v>24319.617085963975</v>
      </c>
      <c r="O920" s="37">
        <f t="shared" si="309"/>
        <v>4981.8839918208496</v>
      </c>
      <c r="R920" s="37">
        <f t="shared" si="310"/>
        <v>-16976.26803982522</v>
      </c>
      <c r="S920" s="37">
        <f t="shared" si="311"/>
        <v>8237.3187942745953</v>
      </c>
      <c r="V920" s="37">
        <f t="shared" si="312"/>
        <v>-680.38291403602489</v>
      </c>
      <c r="W920" s="37">
        <f t="shared" si="313"/>
        <v>-17518.11600817915</v>
      </c>
      <c r="Y920" s="37">
        <f t="shared" si="315"/>
        <v>94345.232091057376</v>
      </c>
      <c r="Z920" s="37">
        <f t="shared" si="316"/>
        <v>-317355.36266851902</v>
      </c>
      <c r="AA920" s="37">
        <f t="shared" si="317"/>
        <v>663.60605281069081</v>
      </c>
      <c r="AB920" s="37">
        <f t="shared" si="318"/>
        <v>-760.1993511458902</v>
      </c>
      <c r="AC920" s="37">
        <f t="shared" si="319"/>
        <v>-3.1538745361026583</v>
      </c>
      <c r="AD920" s="37">
        <f t="shared" si="320"/>
        <v>10.902705938897055</v>
      </c>
      <c r="AE920" s="39">
        <f t="shared" si="321"/>
        <v>-1.0503628845838779</v>
      </c>
      <c r="AF920" s="39">
        <f t="shared" si="322"/>
        <v>4.5896153150363315</v>
      </c>
      <c r="AG920" s="39">
        <f t="shared" si="323"/>
        <v>-0.49225667516702476</v>
      </c>
      <c r="AH920" s="39">
        <f t="shared" si="324"/>
        <v>1.4092661274846745</v>
      </c>
      <c r="AI920" s="39">
        <f t="shared" si="325"/>
        <v>-1.6112549763517556</v>
      </c>
      <c r="AJ920" s="39">
        <f t="shared" si="326"/>
        <v>4.9038244963760498</v>
      </c>
      <c r="AK920" s="37">
        <f t="shared" si="327"/>
        <v>333253.98750677868</v>
      </c>
      <c r="AL920" s="37">
        <f t="shared" si="328"/>
        <v>346751.15799344546</v>
      </c>
      <c r="AM920" s="37">
        <f t="shared" si="329"/>
        <v>318258.13496851531</v>
      </c>
    </row>
    <row r="921" spans="12:39">
      <c r="L921">
        <v>917</v>
      </c>
      <c r="M921" s="37">
        <f t="shared" si="314"/>
        <v>5.7616809266836002</v>
      </c>
      <c r="N921" s="37">
        <f t="shared" si="308"/>
        <v>24335.353505822248</v>
      </c>
      <c r="O921" s="37">
        <f t="shared" si="309"/>
        <v>5009.0744733021966</v>
      </c>
      <c r="R921" s="37">
        <f t="shared" si="310"/>
        <v>-16965.252545924424</v>
      </c>
      <c r="S921" s="37">
        <f t="shared" si="311"/>
        <v>8256.352131311538</v>
      </c>
      <c r="V921" s="37">
        <f t="shared" si="312"/>
        <v>-664.64649417775036</v>
      </c>
      <c r="W921" s="37">
        <f t="shared" si="313"/>
        <v>-17490.925526697803</v>
      </c>
      <c r="Y921" s="37">
        <f t="shared" si="315"/>
        <v>94676.640883145723</v>
      </c>
      <c r="Z921" s="37">
        <f t="shared" si="316"/>
        <v>-317734.09950584959</v>
      </c>
      <c r="AA921" s="37">
        <f t="shared" si="317"/>
        <v>662.02911554263949</v>
      </c>
      <c r="AB921" s="37">
        <f t="shared" si="318"/>
        <v>-754.74799817644168</v>
      </c>
      <c r="AC921" s="37">
        <f t="shared" si="319"/>
        <v>-3.1521428538330429</v>
      </c>
      <c r="AD921" s="37">
        <f t="shared" si="320"/>
        <v>10.870519566278112</v>
      </c>
      <c r="AE921" s="39">
        <f t="shared" si="321"/>
        <v>-1.0508505556178227</v>
      </c>
      <c r="AF921" s="39">
        <f t="shared" si="322"/>
        <v>4.5766980160019646</v>
      </c>
      <c r="AG921" s="39">
        <f t="shared" si="323"/>
        <v>-0.49169537305648464</v>
      </c>
      <c r="AH921" s="39">
        <f t="shared" si="324"/>
        <v>1.4052150383796569</v>
      </c>
      <c r="AI921" s="39">
        <f t="shared" si="325"/>
        <v>-1.6095969251587359</v>
      </c>
      <c r="AJ921" s="39">
        <f t="shared" si="326"/>
        <v>4.8886065118964916</v>
      </c>
      <c r="AK921" s="37">
        <f t="shared" si="327"/>
        <v>333697.198332517</v>
      </c>
      <c r="AL921" s="37">
        <f t="shared" si="328"/>
        <v>347218.04668414354</v>
      </c>
      <c r="AM921" s="37">
        <f t="shared" si="329"/>
        <v>318721.45792425907</v>
      </c>
    </row>
    <row r="922" spans="12:39">
      <c r="L922">
        <v>918</v>
      </c>
      <c r="M922" s="37">
        <f t="shared" si="314"/>
        <v>5.7679641119907794</v>
      </c>
      <c r="N922" s="37">
        <f t="shared" si="308"/>
        <v>24350.918773347428</v>
      </c>
      <c r="O922" s="37">
        <f t="shared" si="309"/>
        <v>5036.3632922581901</v>
      </c>
      <c r="R922" s="37">
        <f t="shared" si="310"/>
        <v>-16954.3568586568</v>
      </c>
      <c r="S922" s="37">
        <f t="shared" si="311"/>
        <v>8275.4543045807332</v>
      </c>
      <c r="V922" s="37">
        <f t="shared" si="312"/>
        <v>-649.08122665257179</v>
      </c>
      <c r="W922" s="37">
        <f t="shared" si="313"/>
        <v>-17463.636707741811</v>
      </c>
      <c r="Y922" s="37">
        <f t="shared" si="315"/>
        <v>95007.261423060321</v>
      </c>
      <c r="Z922" s="37">
        <f t="shared" si="316"/>
        <v>-318110.11468999204</v>
      </c>
      <c r="AA922" s="37">
        <f t="shared" si="317"/>
        <v>660.45304411572295</v>
      </c>
      <c r="AB922" s="37">
        <f t="shared" si="318"/>
        <v>-749.31273839330265</v>
      </c>
      <c r="AC922" s="37">
        <f t="shared" si="319"/>
        <v>-3.150440003303602</v>
      </c>
      <c r="AD922" s="37">
        <f t="shared" si="320"/>
        <v>10.838647551746675</v>
      </c>
      <c r="AE922" s="39">
        <f t="shared" si="321"/>
        <v>-1.0513373239263646</v>
      </c>
      <c r="AF922" s="39">
        <f t="shared" si="322"/>
        <v>4.5639056822875519</v>
      </c>
      <c r="AG922" s="39">
        <f t="shared" si="323"/>
        <v>-0.49114145842996237</v>
      </c>
      <c r="AH922" s="39">
        <f t="shared" si="324"/>
        <v>1.4012026567754854</v>
      </c>
      <c r="AI922" s="39">
        <f t="shared" si="325"/>
        <v>-1.6079612209472751</v>
      </c>
      <c r="AJ922" s="39">
        <f t="shared" si="326"/>
        <v>4.8735392126836388</v>
      </c>
      <c r="AK922" s="37">
        <f t="shared" si="327"/>
        <v>334137.75011904462</v>
      </c>
      <c r="AL922" s="37">
        <f t="shared" si="328"/>
        <v>347682.20768672053</v>
      </c>
      <c r="AM922" s="37">
        <f t="shared" si="329"/>
        <v>319182.07024317712</v>
      </c>
    </row>
    <row r="923" spans="12:39">
      <c r="L923">
        <v>919</v>
      </c>
      <c r="M923" s="37">
        <f t="shared" si="314"/>
        <v>5.7742472972979586</v>
      </c>
      <c r="N923" s="37">
        <f t="shared" si="308"/>
        <v>24366.312274049404</v>
      </c>
      <c r="O923" s="37">
        <f t="shared" si="309"/>
        <v>5063.7493713729837</v>
      </c>
      <c r="R923" s="37">
        <f t="shared" si="310"/>
        <v>-16943.581408165417</v>
      </c>
      <c r="S923" s="37">
        <f t="shared" si="311"/>
        <v>8294.6245599610884</v>
      </c>
      <c r="V923" s="37">
        <f t="shared" si="312"/>
        <v>-633.68772595059727</v>
      </c>
      <c r="W923" s="37">
        <f t="shared" si="313"/>
        <v>-17436.250628627018</v>
      </c>
      <c r="Y923" s="37">
        <f t="shared" si="315"/>
        <v>95337.09414011777</v>
      </c>
      <c r="Z923" s="37">
        <f t="shared" si="316"/>
        <v>-318483.41622824472</v>
      </c>
      <c r="AA923" s="37">
        <f t="shared" si="317"/>
        <v>658.87782411407113</v>
      </c>
      <c r="AB923" s="37">
        <f t="shared" si="318"/>
        <v>-743.89341461742936</v>
      </c>
      <c r="AC923" s="37">
        <f t="shared" si="319"/>
        <v>-3.1487659519118583</v>
      </c>
      <c r="AD923" s="37">
        <f t="shared" si="320"/>
        <v>10.807086352157413</v>
      </c>
      <c r="AE923" s="39">
        <f t="shared" si="321"/>
        <v>-1.0518233437008833</v>
      </c>
      <c r="AF923" s="39">
        <f t="shared" si="322"/>
        <v>4.5512369538771953</v>
      </c>
      <c r="AG923" s="39">
        <f t="shared" si="323"/>
        <v>-0.49059487694896581</v>
      </c>
      <c r="AH923" s="39">
        <f t="shared" si="324"/>
        <v>1.3972285531010091</v>
      </c>
      <c r="AI923" s="39">
        <f t="shared" si="325"/>
        <v>-1.6063477312620091</v>
      </c>
      <c r="AJ923" s="39">
        <f t="shared" si="326"/>
        <v>4.8586208451792086</v>
      </c>
      <c r="AK923" s="37">
        <f t="shared" si="327"/>
        <v>334575.64975549851</v>
      </c>
      <c r="AL923" s="37">
        <f t="shared" si="328"/>
        <v>348143.64854419598</v>
      </c>
      <c r="AM923" s="37">
        <f t="shared" si="329"/>
        <v>319639.97932994692</v>
      </c>
    </row>
    <row r="924" spans="12:39">
      <c r="L924">
        <v>920</v>
      </c>
      <c r="M924" s="37">
        <f t="shared" si="314"/>
        <v>5.7805304826051378</v>
      </c>
      <c r="N924" s="37">
        <f t="shared" si="308"/>
        <v>24381.533400219123</v>
      </c>
      <c r="O924" s="37">
        <f t="shared" si="309"/>
        <v>5091.2316294910652</v>
      </c>
      <c r="R924" s="37">
        <f t="shared" si="310"/>
        <v>-16932.926619846614</v>
      </c>
      <c r="S924" s="37">
        <f t="shared" si="311"/>
        <v>8313.8621406437451</v>
      </c>
      <c r="V924" s="37">
        <f t="shared" si="312"/>
        <v>-618.46659978087882</v>
      </c>
      <c r="W924" s="37">
        <f t="shared" si="313"/>
        <v>-17408.768370508937</v>
      </c>
      <c r="Y924" s="37">
        <f t="shared" si="315"/>
        <v>95666.139456430828</v>
      </c>
      <c r="Z924" s="37">
        <f t="shared" si="316"/>
        <v>-318854.01204975939</v>
      </c>
      <c r="AA924" s="37">
        <f t="shared" si="317"/>
        <v>657.3034411381152</v>
      </c>
      <c r="AB924" s="37">
        <f t="shared" si="318"/>
        <v>-738.4898714413506</v>
      </c>
      <c r="AC924" s="37">
        <f t="shared" si="319"/>
        <v>-3.1471206666283358</v>
      </c>
      <c r="AD924" s="37">
        <f t="shared" si="320"/>
        <v>10.775832481159629</v>
      </c>
      <c r="AE924" s="39">
        <f t="shared" si="321"/>
        <v>-1.0523087660724302</v>
      </c>
      <c r="AF924" s="39">
        <f t="shared" si="322"/>
        <v>4.5386904920742817</v>
      </c>
      <c r="AG924" s="39">
        <f t="shared" si="323"/>
        <v>-0.49005557511490966</v>
      </c>
      <c r="AH924" s="39">
        <f t="shared" si="324"/>
        <v>1.3932923045693495</v>
      </c>
      <c r="AI924" s="39">
        <f t="shared" si="325"/>
        <v>-1.604756325440996</v>
      </c>
      <c r="AJ924" s="39">
        <f t="shared" si="326"/>
        <v>4.8438496845159991</v>
      </c>
      <c r="AK924" s="37">
        <f t="shared" si="327"/>
        <v>335010.90406315814</v>
      </c>
      <c r="AL924" s="37">
        <f t="shared" si="328"/>
        <v>348602.37672451086</v>
      </c>
      <c r="AM924" s="37">
        <f t="shared" si="329"/>
        <v>320095.19251590909</v>
      </c>
    </row>
    <row r="925" spans="12:39">
      <c r="L925">
        <v>921</v>
      </c>
      <c r="M925" s="37">
        <f t="shared" si="314"/>
        <v>5.786813667912317</v>
      </c>
      <c r="N925" s="37">
        <f t="shared" si="308"/>
        <v>24396.581550952586</v>
      </c>
      <c r="O925" s="37">
        <f t="shared" si="309"/>
        <v>5118.8089816599431</v>
      </c>
      <c r="R925" s="37">
        <f t="shared" si="310"/>
        <v>-16922.392914333192</v>
      </c>
      <c r="S925" s="37">
        <f t="shared" si="311"/>
        <v>8333.166287161961</v>
      </c>
      <c r="V925" s="37">
        <f t="shared" si="312"/>
        <v>-603.41844904741447</v>
      </c>
      <c r="W925" s="37">
        <f t="shared" si="313"/>
        <v>-17381.191018340058</v>
      </c>
      <c r="Y925" s="37">
        <f t="shared" si="315"/>
        <v>95994.397786916568</v>
      </c>
      <c r="Z925" s="37">
        <f t="shared" si="316"/>
        <v>-319221.91000641993</v>
      </c>
      <c r="AA925" s="37">
        <f t="shared" si="317"/>
        <v>655.72988080480104</v>
      </c>
      <c r="AB925" s="37">
        <f t="shared" si="318"/>
        <v>-733.10195520077082</v>
      </c>
      <c r="AC925" s="37">
        <f t="shared" si="319"/>
        <v>-3.1455041140459605</v>
      </c>
      <c r="AD925" s="37">
        <f t="shared" si="320"/>
        <v>10.744882508114882</v>
      </c>
      <c r="AE925" s="39">
        <f t="shared" si="321"/>
        <v>-1.0527937391908646</v>
      </c>
      <c r="AF925" s="39">
        <f t="shared" si="322"/>
        <v>4.5262649791069078</v>
      </c>
      <c r="AG925" s="39">
        <f t="shared" si="323"/>
        <v>-0.48952350025626312</v>
      </c>
      <c r="AH925" s="39">
        <f t="shared" si="324"/>
        <v>1.3893934950500959</v>
      </c>
      <c r="AI925" s="39">
        <f t="shared" si="325"/>
        <v>-1.6031868745988329</v>
      </c>
      <c r="AJ925" s="39">
        <f t="shared" si="326"/>
        <v>4.8292240339578782</v>
      </c>
      <c r="AK925" s="37">
        <f t="shared" si="327"/>
        <v>335443.51979616372</v>
      </c>
      <c r="AL925" s="37">
        <f t="shared" si="328"/>
        <v>349058.39962135948</v>
      </c>
      <c r="AM925" s="37">
        <f t="shared" si="329"/>
        <v>320547.7170598727</v>
      </c>
    </row>
    <row r="926" spans="12:39">
      <c r="L926">
        <v>922</v>
      </c>
      <c r="M926" s="37">
        <f t="shared" si="314"/>
        <v>5.7930968532194962</v>
      </c>
      <c r="N926" s="37">
        <f t="shared" si="308"/>
        <v>24411.456132174571</v>
      </c>
      <c r="O926" s="37">
        <f t="shared" si="309"/>
        <v>5146.4803391729729</v>
      </c>
      <c r="R926" s="37">
        <f t="shared" si="310"/>
        <v>-16911.9807074778</v>
      </c>
      <c r="S926" s="37">
        <f t="shared" si="311"/>
        <v>8352.5362374210818</v>
      </c>
      <c r="V926" s="37">
        <f t="shared" si="312"/>
        <v>-588.5438678254277</v>
      </c>
      <c r="W926" s="37">
        <f t="shared" si="313"/>
        <v>-17353.519660827027</v>
      </c>
      <c r="Y926" s="37">
        <f t="shared" si="315"/>
        <v>96321.869539304709</v>
      </c>
      <c r="Z926" s="37">
        <f t="shared" si="316"/>
        <v>-319587.1178737068</v>
      </c>
      <c r="AA926" s="37">
        <f t="shared" si="317"/>
        <v>654.15712874777807</v>
      </c>
      <c r="AB926" s="37">
        <f t="shared" si="318"/>
        <v>-727.72951394671338</v>
      </c>
      <c r="AC926" s="37">
        <f t="shared" si="319"/>
        <v>-3.1439162604274618</v>
      </c>
      <c r="AD926" s="37">
        <f t="shared" si="320"/>
        <v>10.714233057038427</v>
      </c>
      <c r="AE926" s="39">
        <f t="shared" si="321"/>
        <v>-1.053278408301823</v>
      </c>
      <c r="AF926" s="39">
        <f t="shared" si="322"/>
        <v>4.5139591177418517</v>
      </c>
      <c r="AG926" s="39">
        <f t="shared" si="323"/>
        <v>-0.4889986005159348</v>
      </c>
      <c r="AH926" s="39">
        <f t="shared" si="324"/>
        <v>1.3855317149443267</v>
      </c>
      <c r="AI926" s="39">
        <f t="shared" si="325"/>
        <v>-1.6016392516097042</v>
      </c>
      <c r="AJ926" s="39">
        <f t="shared" si="326"/>
        <v>4.8147422243522504</v>
      </c>
      <c r="AK926" s="37">
        <f t="shared" si="327"/>
        <v>335873.50364222366</v>
      </c>
      <c r="AL926" s="37">
        <f t="shared" si="328"/>
        <v>349511.72455500788</v>
      </c>
      <c r="AM926" s="37">
        <f t="shared" si="329"/>
        <v>320997.56014890713</v>
      </c>
    </row>
    <row r="927" spans="12:39">
      <c r="L927">
        <v>923</v>
      </c>
      <c r="M927" s="37">
        <f t="shared" si="314"/>
        <v>5.7993800385266754</v>
      </c>
      <c r="N927" s="37">
        <f t="shared" si="308"/>
        <v>24426.156556662085</v>
      </c>
      <c r="O927" s="37">
        <f t="shared" si="309"/>
        <v>5174.2446096123413</v>
      </c>
      <c r="R927" s="37">
        <f t="shared" si="310"/>
        <v>-16901.690410336541</v>
      </c>
      <c r="S927" s="37">
        <f t="shared" si="311"/>
        <v>8371.9712267286395</v>
      </c>
      <c r="V927" s="37">
        <f t="shared" si="312"/>
        <v>-573.84344333791705</v>
      </c>
      <c r="W927" s="37">
        <f t="shared" si="313"/>
        <v>-17325.755390387658</v>
      </c>
      <c r="Y927" s="37">
        <f t="shared" si="315"/>
        <v>96648.555114146046</v>
      </c>
      <c r="Z927" s="37">
        <f t="shared" si="316"/>
        <v>-319949.643351548</v>
      </c>
      <c r="AA927" s="37">
        <f t="shared" si="317"/>
        <v>652.58517061756436</v>
      </c>
      <c r="AB927" s="37">
        <f t="shared" si="318"/>
        <v>-722.37239741819417</v>
      </c>
      <c r="AC927" s="37">
        <f t="shared" si="319"/>
        <v>-3.1423570717514266</v>
      </c>
      <c r="AD927" s="37">
        <f t="shared" si="320"/>
        <v>10.683880805565883</v>
      </c>
      <c r="AE927" s="39">
        <f t="shared" si="321"/>
        <v>-1.0537629158217765</v>
      </c>
      <c r="AF927" s="39">
        <f t="shared" si="322"/>
        <v>4.5017716309077009</v>
      </c>
      <c r="AG927" s="39">
        <f t="shared" si="323"/>
        <v>-0.48848082483893945</v>
      </c>
      <c r="AH927" s="39">
        <f t="shared" si="324"/>
        <v>1.3817065610625157</v>
      </c>
      <c r="AI927" s="39">
        <f t="shared" si="325"/>
        <v>-1.600113331090711</v>
      </c>
      <c r="AJ927" s="39">
        <f t="shared" si="326"/>
        <v>4.8004026135956659</v>
      </c>
      <c r="AK927" s="37">
        <f t="shared" si="327"/>
        <v>336300.8622233108</v>
      </c>
      <c r="AL927" s="37">
        <f t="shared" si="328"/>
        <v>349962.35877309961</v>
      </c>
      <c r="AM927" s="37">
        <f t="shared" si="329"/>
        <v>321444.72889912181</v>
      </c>
    </row>
    <row r="928" spans="12:39">
      <c r="L928">
        <v>924</v>
      </c>
      <c r="M928" s="37">
        <f t="shared" si="314"/>
        <v>5.8056632238338546</v>
      </c>
      <c r="N928" s="37">
        <f t="shared" si="308"/>
        <v>24440.682244067531</v>
      </c>
      <c r="O928" s="37">
        <f t="shared" si="309"/>
        <v>5202.1006968921902</v>
      </c>
      <c r="R928" s="37">
        <f t="shared" si="310"/>
        <v>-16891.522429152727</v>
      </c>
      <c r="S928" s="37">
        <f t="shared" si="311"/>
        <v>8391.4704878245338</v>
      </c>
      <c r="V928" s="37">
        <f t="shared" si="312"/>
        <v>-559.31775593246857</v>
      </c>
      <c r="W928" s="37">
        <f t="shared" si="313"/>
        <v>-17297.89930310781</v>
      </c>
      <c r="Y928" s="37">
        <f t="shared" si="315"/>
        <v>96974.454904820857</v>
      </c>
      <c r="Z928" s="37">
        <f t="shared" si="316"/>
        <v>-320309.49406515644</v>
      </c>
      <c r="AA928" s="37">
        <f t="shared" si="317"/>
        <v>651.01399208168868</v>
      </c>
      <c r="AB928" s="37">
        <f t="shared" si="318"/>
        <v>-717.03045701541123</v>
      </c>
      <c r="AC928" s="37">
        <f t="shared" si="319"/>
        <v>-3.1408265137565703</v>
      </c>
      <c r="AD928" s="37">
        <f t="shared" si="320"/>
        <v>10.653822483942523</v>
      </c>
      <c r="AE928" s="39">
        <f t="shared" si="321"/>
        <v>-1.0542474014109331</v>
      </c>
      <c r="AF928" s="39">
        <f t="shared" si="322"/>
        <v>4.4897012613255889</v>
      </c>
      <c r="AG928" s="39">
        <f t="shared" si="323"/>
        <v>-0.4879701229603175</v>
      </c>
      <c r="AH928" s="39">
        <f t="shared" si="324"/>
        <v>1.3779176365051982</v>
      </c>
      <c r="AI928" s="39">
        <f t="shared" si="325"/>
        <v>-1.5986089893853199</v>
      </c>
      <c r="AJ928" s="39">
        <f t="shared" si="326"/>
        <v>4.7862035861117356</v>
      </c>
      <c r="AK928" s="37">
        <f t="shared" si="327"/>
        <v>336725.60209634807</v>
      </c>
      <c r="AL928" s="37">
        <f t="shared" si="328"/>
        <v>350410.30945144803</v>
      </c>
      <c r="AM928" s="37">
        <f t="shared" si="329"/>
        <v>321889.23035643355</v>
      </c>
    </row>
    <row r="929" spans="12:39">
      <c r="L929">
        <v>925</v>
      </c>
      <c r="M929" s="37">
        <f t="shared" si="314"/>
        <v>5.8119464091410338</v>
      </c>
      <c r="N929" s="37">
        <f t="shared" si="308"/>
        <v>24455.032620941649</v>
      </c>
      <c r="O929" s="37">
        <f t="shared" si="309"/>
        <v>5230.0475013018931</v>
      </c>
      <c r="R929" s="37">
        <f t="shared" si="310"/>
        <v>-16881.477165340846</v>
      </c>
      <c r="S929" s="37">
        <f t="shared" si="311"/>
        <v>8411.033250911325</v>
      </c>
      <c r="V929" s="37">
        <f t="shared" si="312"/>
        <v>-544.96737905835107</v>
      </c>
      <c r="W929" s="37">
        <f t="shared" si="313"/>
        <v>-17269.952498698105</v>
      </c>
      <c r="Y929" s="37">
        <f t="shared" si="315"/>
        <v>97299.569297547481</v>
      </c>
      <c r="Z929" s="37">
        <f t="shared" si="316"/>
        <v>-320666.67756585364</v>
      </c>
      <c r="AA929" s="37">
        <f t="shared" si="317"/>
        <v>649.4435788248104</v>
      </c>
      <c r="AB929" s="37">
        <f t="shared" si="318"/>
        <v>-711.70354577343994</v>
      </c>
      <c r="AC929" s="37">
        <f t="shared" si="319"/>
        <v>-3.1393245519846662</v>
      </c>
      <c r="AD929" s="37">
        <f t="shared" si="320"/>
        <v>10.624054874036325</v>
      </c>
      <c r="AE929" s="39">
        <f t="shared" si="321"/>
        <v>-1.0547320020444133</v>
      </c>
      <c r="AF929" s="39">
        <f t="shared" si="322"/>
        <v>4.4777467711489312</v>
      </c>
      <c r="AG929" s="39">
        <f t="shared" si="323"/>
        <v>-0.48746644539326744</v>
      </c>
      <c r="AH929" s="39">
        <f t="shared" si="324"/>
        <v>1.3741645505462101</v>
      </c>
      <c r="AI929" s="39">
        <f t="shared" si="325"/>
        <v>-1.5971261045469856</v>
      </c>
      <c r="AJ929" s="39">
        <f t="shared" si="326"/>
        <v>4.7721435523411833</v>
      </c>
      <c r="AK929" s="37">
        <f t="shared" si="327"/>
        <v>337147.72975388297</v>
      </c>
      <c r="AL929" s="37">
        <f t="shared" si="328"/>
        <v>350855.58369481645</v>
      </c>
      <c r="AM929" s="37">
        <f t="shared" si="329"/>
        <v>322331.0714973213</v>
      </c>
    </row>
    <row r="930" spans="12:39">
      <c r="L930">
        <v>926</v>
      </c>
      <c r="M930" s="37">
        <f t="shared" si="314"/>
        <v>5.818229594448213</v>
      </c>
      <c r="N930" s="37">
        <f t="shared" si="308"/>
        <v>24469.207120756131</v>
      </c>
      <c r="O930" s="37">
        <f t="shared" si="309"/>
        <v>5258.0839195494627</v>
      </c>
      <c r="R930" s="37">
        <f t="shared" si="310"/>
        <v>-16871.555015470709</v>
      </c>
      <c r="S930" s="37">
        <f t="shared" si="311"/>
        <v>8430.6587436846239</v>
      </c>
      <c r="V930" s="37">
        <f t="shared" si="312"/>
        <v>-530.79287924386972</v>
      </c>
      <c r="W930" s="37">
        <f t="shared" si="313"/>
        <v>-17241.916080450537</v>
      </c>
      <c r="Y930" s="37">
        <f t="shared" si="315"/>
        <v>97623.898671390882</v>
      </c>
      <c r="Z930" s="37">
        <f t="shared" si="316"/>
        <v>-321021.20133188111</v>
      </c>
      <c r="AA930" s="37">
        <f t="shared" si="317"/>
        <v>647.8739165488181</v>
      </c>
      <c r="AB930" s="37">
        <f t="shared" si="318"/>
        <v>-706.39151833642177</v>
      </c>
      <c r="AC930" s="37">
        <f t="shared" si="319"/>
        <v>-3.1378511518218444</v>
      </c>
      <c r="AD930" s="37">
        <f t="shared" si="320"/>
        <v>10.59457480837259</v>
      </c>
      <c r="AE930" s="39">
        <f t="shared" si="321"/>
        <v>-1.0552168520814069</v>
      </c>
      <c r="AF930" s="39">
        <f t="shared" si="322"/>
        <v>4.4659069416104362</v>
      </c>
      <c r="AG930" s="39">
        <f t="shared" si="323"/>
        <v>-0.48696974341757387</v>
      </c>
      <c r="AH930" s="39">
        <f t="shared" si="324"/>
        <v>1.370446918518698</v>
      </c>
      <c r="AI930" s="39">
        <f t="shared" si="325"/>
        <v>-1.5956645563228637</v>
      </c>
      <c r="AJ930" s="39">
        <f t="shared" si="326"/>
        <v>4.7582209482434559</v>
      </c>
      <c r="AK930" s="37">
        <f t="shared" si="327"/>
        <v>337567.25162475213</v>
      </c>
      <c r="AL930" s="37">
        <f t="shared" si="328"/>
        <v>351298.18853768572</v>
      </c>
      <c r="AM930" s="37">
        <f t="shared" si="329"/>
        <v>322770.2592295697</v>
      </c>
    </row>
    <row r="931" spans="12:39">
      <c r="L931">
        <v>927</v>
      </c>
      <c r="M931" s="37">
        <f t="shared" si="314"/>
        <v>5.8245127797553922</v>
      </c>
      <c r="N931" s="37">
        <f t="shared" si="308"/>
        <v>24483.205183925991</v>
      </c>
      <c r="O931" s="37">
        <f t="shared" si="309"/>
        <v>5286.2088448051136</v>
      </c>
      <c r="R931" s="37">
        <f t="shared" si="310"/>
        <v>-16861.756371251806</v>
      </c>
      <c r="S931" s="37">
        <f t="shared" si="311"/>
        <v>8450.3461913635801</v>
      </c>
      <c r="V931" s="37">
        <f t="shared" si="312"/>
        <v>-516.79481607400794</v>
      </c>
      <c r="W931" s="37">
        <f t="shared" si="313"/>
        <v>-17213.791155194886</v>
      </c>
      <c r="Y931" s="37">
        <f t="shared" si="315"/>
        <v>97947.443398271309</v>
      </c>
      <c r="Z931" s="37">
        <f t="shared" si="316"/>
        <v>-321373.07276919828</v>
      </c>
      <c r="AA931" s="37">
        <f t="shared" si="317"/>
        <v>646.30499097290715</v>
      </c>
      <c r="AB931" s="37">
        <f t="shared" si="318"/>
        <v>-701.09423093223552</v>
      </c>
      <c r="AC931" s="37">
        <f t="shared" si="319"/>
        <v>-3.13640627853861</v>
      </c>
      <c r="AD931" s="37">
        <f t="shared" si="320"/>
        <v>10.565379169190766</v>
      </c>
      <c r="AE931" s="39">
        <f t="shared" si="321"/>
        <v>-1.0557020833325605</v>
      </c>
      <c r="AF931" s="39">
        <f t="shared" si="322"/>
        <v>4.4541805726770418</v>
      </c>
      <c r="AG931" s="39">
        <f t="shared" si="323"/>
        <v>-0.48647996906822749</v>
      </c>
      <c r="AH931" s="39">
        <f t="shared" si="324"/>
        <v>1.366764361703543</v>
      </c>
      <c r="AI931" s="39">
        <f t="shared" si="325"/>
        <v>-1.5942242261378221</v>
      </c>
      <c r="AJ931" s="39">
        <f t="shared" si="326"/>
        <v>4.7444342348101811</v>
      </c>
      <c r="AK931" s="37">
        <f t="shared" si="327"/>
        <v>337984.17407473549</v>
      </c>
      <c r="AL931" s="37">
        <f t="shared" si="328"/>
        <v>351738.1309450097</v>
      </c>
      <c r="AM931" s="37">
        <f t="shared" si="329"/>
        <v>323206.8003930003</v>
      </c>
    </row>
    <row r="932" spans="12:39">
      <c r="L932">
        <v>928</v>
      </c>
      <c r="M932" s="37">
        <f t="shared" si="314"/>
        <v>5.8307959650625714</v>
      </c>
      <c r="N932" s="37">
        <f t="shared" si="308"/>
        <v>24497.026257831669</v>
      </c>
      <c r="O932" s="37">
        <f t="shared" si="309"/>
        <v>5314.4211667449536</v>
      </c>
      <c r="R932" s="37">
        <f t="shared" si="310"/>
        <v>-16852.08161951783</v>
      </c>
      <c r="S932" s="37">
        <f t="shared" si="311"/>
        <v>8470.0948167214683</v>
      </c>
      <c r="V932" s="37">
        <f t="shared" si="312"/>
        <v>-502.97374216833032</v>
      </c>
      <c r="W932" s="37">
        <f t="shared" si="313"/>
        <v>-17185.578833255047</v>
      </c>
      <c r="Y932" s="37">
        <f t="shared" si="315"/>
        <v>98270.203842972944</v>
      </c>
      <c r="Z932" s="37">
        <f t="shared" si="316"/>
        <v>-321722.2992122682</v>
      </c>
      <c r="AA932" s="37">
        <f t="shared" si="317"/>
        <v>644.73678783363789</v>
      </c>
      <c r="AB932" s="37">
        <f t="shared" si="318"/>
        <v>-695.81154134764017</v>
      </c>
      <c r="AC932" s="37">
        <f t="shared" si="319"/>
        <v>-3.1349898973284258</v>
      </c>
      <c r="AD932" s="37">
        <f t="shared" si="320"/>
        <v>10.536464887522275</v>
      </c>
      <c r="AE932" s="39">
        <f t="shared" si="321"/>
        <v>-1.0561878251256569</v>
      </c>
      <c r="AF932" s="39">
        <f t="shared" si="322"/>
        <v>4.442566482712591</v>
      </c>
      <c r="AG932" s="39">
        <f t="shared" si="323"/>
        <v>-0.48599707512428336</v>
      </c>
      <c r="AH932" s="39">
        <f t="shared" si="324"/>
        <v>1.3631165072202878</v>
      </c>
      <c r="AI932" s="39">
        <f t="shared" si="325"/>
        <v>-1.5928049970784859</v>
      </c>
      <c r="AJ932" s="39">
        <f t="shared" si="326"/>
        <v>4.730781897589396</v>
      </c>
      <c r="AK932" s="37">
        <f t="shared" si="327"/>
        <v>338398.50340720004</v>
      </c>
      <c r="AL932" s="37">
        <f t="shared" si="328"/>
        <v>352175.41781295859</v>
      </c>
      <c r="AM932" s="37">
        <f t="shared" si="329"/>
        <v>323640.7017601917</v>
      </c>
    </row>
    <row r="933" spans="12:39">
      <c r="L933">
        <v>929</v>
      </c>
      <c r="M933" s="37">
        <f t="shared" si="314"/>
        <v>5.8370791503697506</v>
      </c>
      <c r="N933" s="37">
        <f t="shared" si="308"/>
        <v>24510.66979684083</v>
      </c>
      <c r="O933" s="37">
        <f t="shared" si="309"/>
        <v>5342.7197715948205</v>
      </c>
      <c r="R933" s="37">
        <f t="shared" si="310"/>
        <v>-16842.531142211417</v>
      </c>
      <c r="S933" s="37">
        <f t="shared" si="311"/>
        <v>8489.9038401163743</v>
      </c>
      <c r="V933" s="37">
        <f t="shared" si="312"/>
        <v>-489.3302031591702</v>
      </c>
      <c r="W933" s="37">
        <f t="shared" si="313"/>
        <v>-17157.28022840518</v>
      </c>
      <c r="Y933" s="37">
        <f t="shared" si="315"/>
        <v>98592.180363152598</v>
      </c>
      <c r="Z933" s="37">
        <f t="shared" si="316"/>
        <v>-322068.88792483107</v>
      </c>
      <c r="AA933" s="37">
        <f t="shared" si="317"/>
        <v>643.16929288497363</v>
      </c>
      <c r="AB933" s="37">
        <f t="shared" si="318"/>
        <v>-690.54330890387905</v>
      </c>
      <c r="AC933" s="37">
        <f t="shared" si="319"/>
        <v>-3.1336019733449669</v>
      </c>
      <c r="AD933" s="37">
        <f t="shared" si="320"/>
        <v>10.507828942288853</v>
      </c>
      <c r="AE933" s="39">
        <f t="shared" si="321"/>
        <v>-1.0566742043695339</v>
      </c>
      <c r="AF933" s="39">
        <f t="shared" si="322"/>
        <v>4.4310635081476386</v>
      </c>
      <c r="AG933" s="39">
        <f t="shared" si="323"/>
        <v>-0.4855210150979537</v>
      </c>
      <c r="AH933" s="39">
        <f t="shared" si="324"/>
        <v>1.3595029879204985</v>
      </c>
      <c r="AI933" s="39">
        <f t="shared" si="325"/>
        <v>-1.5914067538774792</v>
      </c>
      <c r="AJ933" s="39">
        <f t="shared" si="326"/>
        <v>4.7172624462207171</v>
      </c>
      <c r="AK933" s="37">
        <f t="shared" si="327"/>
        <v>338810.24586373445</v>
      </c>
      <c r="AL933" s="37">
        <f t="shared" si="328"/>
        <v>352610.05596965115</v>
      </c>
      <c r="AM933" s="37">
        <f t="shared" si="329"/>
        <v>324071.9700371885</v>
      </c>
    </row>
    <row r="934" spans="12:39">
      <c r="L934">
        <v>930</v>
      </c>
      <c r="M934" s="37">
        <f t="shared" si="314"/>
        <v>5.8433623356769298</v>
      </c>
      <c r="N934" s="37">
        <f t="shared" si="308"/>
        <v>24524.135262329917</v>
      </c>
      <c r="O934" s="37">
        <f t="shared" si="309"/>
        <v>5371.103542174249</v>
      </c>
      <c r="R934" s="37">
        <f t="shared" si="310"/>
        <v>-16833.105316369059</v>
      </c>
      <c r="S934" s="37">
        <f t="shared" si="311"/>
        <v>8509.7724795219747</v>
      </c>
      <c r="V934" s="37">
        <f t="shared" si="312"/>
        <v>-475.86473767008465</v>
      </c>
      <c r="W934" s="37">
        <f t="shared" si="313"/>
        <v>-17128.896457825751</v>
      </c>
      <c r="Y934" s="37">
        <f t="shared" si="315"/>
        <v>98913.373309348419</v>
      </c>
      <c r="Z934" s="37">
        <f t="shared" si="316"/>
        <v>-322412.84610066522</v>
      </c>
      <c r="AA934" s="37">
        <f t="shared" si="317"/>
        <v>641.6024918983012</v>
      </c>
      <c r="AB934" s="37">
        <f t="shared" si="318"/>
        <v>-685.28939443273464</v>
      </c>
      <c r="AC934" s="37">
        <f t="shared" si="319"/>
        <v>-3.1322424717382638</v>
      </c>
      <c r="AD934" s="37">
        <f t="shared" si="320"/>
        <v>10.479468359421507</v>
      </c>
      <c r="AE934" s="39">
        <f t="shared" si="321"/>
        <v>-1.0571613456163946</v>
      </c>
      <c r="AF934" s="39">
        <f t="shared" si="322"/>
        <v>4.4196705031566159</v>
      </c>
      <c r="AG934" s="39">
        <f t="shared" si="323"/>
        <v>-0.48505174322392136</v>
      </c>
      <c r="AH934" s="39">
        <f t="shared" si="324"/>
        <v>1.3559234422834845</v>
      </c>
      <c r="AI934" s="39">
        <f t="shared" si="325"/>
        <v>-1.5900293828979477</v>
      </c>
      <c r="AJ934" s="39">
        <f t="shared" si="326"/>
        <v>4.7038744139814073</v>
      </c>
      <c r="AK934" s="37">
        <f t="shared" si="327"/>
        <v>339219.40762477281</v>
      </c>
      <c r="AL934" s="37">
        <f t="shared" si="328"/>
        <v>353042.05217587465</v>
      </c>
      <c r="AM934" s="37">
        <f t="shared" si="329"/>
        <v>324500.61186419858</v>
      </c>
    </row>
    <row r="935" spans="12:39">
      <c r="L935">
        <v>931</v>
      </c>
      <c r="M935" s="37">
        <f t="shared" si="314"/>
        <v>5.8496455209841089</v>
      </c>
      <c r="N935" s="37">
        <f t="shared" si="308"/>
        <v>24537.422122705404</v>
      </c>
      <c r="O935" s="37">
        <f t="shared" si="309"/>
        <v>5399.5713579405783</v>
      </c>
      <c r="R935" s="37">
        <f t="shared" si="310"/>
        <v>-16823.804514106218</v>
      </c>
      <c r="S935" s="37">
        <f t="shared" si="311"/>
        <v>8529.6999505584045</v>
      </c>
      <c r="V935" s="37">
        <f t="shared" si="312"/>
        <v>-462.57787729459596</v>
      </c>
      <c r="W935" s="37">
        <f t="shared" si="313"/>
        <v>-17100.428642059422</v>
      </c>
      <c r="Y935" s="37">
        <f t="shared" si="315"/>
        <v>99233.783024988588</v>
      </c>
      <c r="Z935" s="37">
        <f t="shared" si="316"/>
        <v>-322754.18086433661</v>
      </c>
      <c r="AA935" s="37">
        <f t="shared" si="317"/>
        <v>640.03637066243209</v>
      </c>
      <c r="AB935" s="37">
        <f t="shared" si="318"/>
        <v>-680.04966025302383</v>
      </c>
      <c r="AC935" s="37">
        <f t="shared" si="319"/>
        <v>-3.1309113576893566</v>
      </c>
      <c r="AD935" s="37">
        <f t="shared" si="320"/>
        <v>10.451380210998153</v>
      </c>
      <c r="AE935" s="39">
        <f t="shared" si="321"/>
        <v>-1.0576493711224471</v>
      </c>
      <c r="AF935" s="39">
        <f t="shared" si="322"/>
        <v>4.4083863393417078</v>
      </c>
      <c r="AG935" s="39">
        <f t="shared" si="323"/>
        <v>-0.4845892144488656</v>
      </c>
      <c r="AH935" s="39">
        <f t="shared" si="324"/>
        <v>1.3523775143142998</v>
      </c>
      <c r="AI935" s="39">
        <f t="shared" si="325"/>
        <v>-1.588672772118044</v>
      </c>
      <c r="AJ935" s="39">
        <f t="shared" si="326"/>
        <v>4.6906163573421464</v>
      </c>
      <c r="AK935" s="37">
        <f t="shared" si="327"/>
        <v>339625.99481021019</v>
      </c>
      <c r="AL935" s="37">
        <f t="shared" si="328"/>
        <v>353471.41312579392</v>
      </c>
      <c r="AM935" s="37">
        <f t="shared" si="329"/>
        <v>324926.63381628046</v>
      </c>
    </row>
    <row r="936" spans="12:39">
      <c r="L936">
        <v>932</v>
      </c>
      <c r="M936" s="37">
        <f t="shared" si="314"/>
        <v>5.8559287062912881</v>
      </c>
      <c r="N936" s="37">
        <f t="shared" si="308"/>
        <v>24550.5298534248</v>
      </c>
      <c r="O936" s="37">
        <f t="shared" si="309"/>
        <v>5428.1220950331863</v>
      </c>
      <c r="R936" s="37">
        <f t="shared" si="310"/>
        <v>-16814.629102602641</v>
      </c>
      <c r="S936" s="37">
        <f t="shared" si="311"/>
        <v>8549.6854665232295</v>
      </c>
      <c r="V936" s="37">
        <f t="shared" si="312"/>
        <v>-449.47014657520049</v>
      </c>
      <c r="W936" s="37">
        <f t="shared" si="313"/>
        <v>-17071.877904966816</v>
      </c>
      <c r="Y936" s="37">
        <f t="shared" si="315"/>
        <v>99553.409846400085</v>
      </c>
      <c r="Z936" s="37">
        <f t="shared" si="316"/>
        <v>-323092.89927193674</v>
      </c>
      <c r="AA936" s="37">
        <f t="shared" si="317"/>
        <v>638.47091498358736</v>
      </c>
      <c r="AB936" s="37">
        <f t="shared" si="318"/>
        <v>-674.82397014752473</v>
      </c>
      <c r="AC936" s="37">
        <f t="shared" si="319"/>
        <v>-3.1296085964440716</v>
      </c>
      <c r="AD936" s="37">
        <f t="shared" si="320"/>
        <v>10.423561614401368</v>
      </c>
      <c r="AE936" s="39">
        <f t="shared" si="321"/>
        <v>-1.0581384009070824</v>
      </c>
      <c r="AF936" s="39">
        <f t="shared" si="322"/>
        <v>4.3972099054239706</v>
      </c>
      <c r="AG936" s="39">
        <f t="shared" si="323"/>
        <v>-0.48413338442118159</v>
      </c>
      <c r="AH936" s="39">
        <f t="shared" si="324"/>
        <v>1.3488648534439294</v>
      </c>
      <c r="AI936" s="39">
        <f t="shared" si="325"/>
        <v>-1.5873368111158075</v>
      </c>
      <c r="AJ936" s="39">
        <f t="shared" si="326"/>
        <v>4.6774868555334672</v>
      </c>
      <c r="AK936" s="37">
        <f t="shared" si="327"/>
        <v>340030.01348000771</v>
      </c>
      <c r="AL936" s="37">
        <f t="shared" si="328"/>
        <v>353898.14544764982</v>
      </c>
      <c r="AM936" s="37">
        <f t="shared" si="329"/>
        <v>325350.04240401916</v>
      </c>
    </row>
    <row r="937" spans="12:39">
      <c r="L937">
        <v>933</v>
      </c>
      <c r="M937" s="37">
        <f t="shared" si="314"/>
        <v>5.8622118915984673</v>
      </c>
      <c r="N937" s="37">
        <f t="shared" si="308"/>
        <v>24563.457937017338</v>
      </c>
      <c r="O937" s="37">
        <f t="shared" si="309"/>
        <v>5456.7546263178583</v>
      </c>
      <c r="R937" s="37">
        <f t="shared" si="310"/>
        <v>-16805.579444087864</v>
      </c>
      <c r="S937" s="37">
        <f t="shared" si="311"/>
        <v>8569.7282384225</v>
      </c>
      <c r="V937" s="37">
        <f t="shared" si="312"/>
        <v>-436.54206298266308</v>
      </c>
      <c r="W937" s="37">
        <f t="shared" si="313"/>
        <v>-17043.245373682141</v>
      </c>
      <c r="Y937" s="37">
        <f t="shared" si="315"/>
        <v>99872.254102817329</v>
      </c>
      <c r="Z937" s="37">
        <f t="shared" si="316"/>
        <v>-323429.00831180869</v>
      </c>
      <c r="AA937" s="37">
        <f t="shared" si="317"/>
        <v>636.90611068536532</v>
      </c>
      <c r="AB937" s="37">
        <f t="shared" si="318"/>
        <v>-669.61218934032399</v>
      </c>
      <c r="AC937" s="37">
        <f t="shared" si="319"/>
        <v>-3.1283341533454201</v>
      </c>
      <c r="AD937" s="37">
        <f t="shared" si="320"/>
        <v>10.396009731493882</v>
      </c>
      <c r="AE937" s="39">
        <f t="shared" si="321"/>
        <v>-1.0586285528104367</v>
      </c>
      <c r="AF937" s="39">
        <f t="shared" si="322"/>
        <v>4.3861401069406627</v>
      </c>
      <c r="AG937" s="39">
        <f t="shared" si="323"/>
        <v>-0.48368420948094387</v>
      </c>
      <c r="AH937" s="39">
        <f t="shared" si="324"/>
        <v>1.345385114431763</v>
      </c>
      <c r="AI937" s="39">
        <f t="shared" si="325"/>
        <v>-1.5860213910540395</v>
      </c>
      <c r="AJ937" s="39">
        <f t="shared" si="326"/>
        <v>4.664484510121456</v>
      </c>
      <c r="AK937" s="37">
        <f t="shared" si="327"/>
        <v>340431.46963478887</v>
      </c>
      <c r="AL937" s="37">
        <f t="shared" si="328"/>
        <v>354322.25570444571</v>
      </c>
      <c r="AM937" s="37">
        <f t="shared" si="329"/>
        <v>325770.84407419217</v>
      </c>
    </row>
    <row r="938" spans="12:39">
      <c r="L938">
        <v>934</v>
      </c>
      <c r="M938" s="37">
        <f t="shared" si="314"/>
        <v>5.8684950769056465</v>
      </c>
      <c r="N938" s="37">
        <f t="shared" si="308"/>
        <v>24576.205863104413</v>
      </c>
      <c r="O938" s="37">
        <f t="shared" si="309"/>
        <v>5485.4678214312871</v>
      </c>
      <c r="R938" s="37">
        <f t="shared" si="310"/>
        <v>-16796.655895826912</v>
      </c>
      <c r="S938" s="37">
        <f t="shared" si="311"/>
        <v>8589.8274750019009</v>
      </c>
      <c r="V938" s="37">
        <f t="shared" si="312"/>
        <v>-423.79413689558805</v>
      </c>
      <c r="W938" s="37">
        <f t="shared" si="313"/>
        <v>-17014.532178568712</v>
      </c>
      <c r="Y938" s="37">
        <f t="shared" si="315"/>
        <v>100190.31611639085</v>
      </c>
      <c r="Z938" s="37">
        <f t="shared" si="316"/>
        <v>-323762.51490526239</v>
      </c>
      <c r="AA938" s="37">
        <f t="shared" si="317"/>
        <v>635.34194360869265</v>
      </c>
      <c r="AB938" s="37">
        <f t="shared" si="318"/>
        <v>-664.41418447457704</v>
      </c>
      <c r="AC938" s="37">
        <f t="shared" si="319"/>
        <v>-3.1270879938650431</v>
      </c>
      <c r="AD938" s="37">
        <f t="shared" si="320"/>
        <v>10.368721767812737</v>
      </c>
      <c r="AE938" s="39">
        <f t="shared" si="321"/>
        <v>-1.0591199425495852</v>
      </c>
      <c r="AF938" s="39">
        <f t="shared" si="322"/>
        <v>4.375175865949477</v>
      </c>
      <c r="AG938" s="39">
        <f t="shared" si="323"/>
        <v>-0.48324164665002639</v>
      </c>
      <c r="AH938" s="39">
        <f t="shared" si="324"/>
        <v>1.3419379572700656</v>
      </c>
      <c r="AI938" s="39">
        <f t="shared" si="325"/>
        <v>-1.5847264046654317</v>
      </c>
      <c r="AJ938" s="39">
        <f t="shared" si="326"/>
        <v>4.651607944593195</v>
      </c>
      <c r="AK938" s="37">
        <f t="shared" si="327"/>
        <v>340830.36921642692</v>
      </c>
      <c r="AL938" s="37">
        <f t="shared" si="328"/>
        <v>354743.75039462425</v>
      </c>
      <c r="AM938" s="37">
        <f t="shared" si="329"/>
        <v>326189.04521042487</v>
      </c>
    </row>
    <row r="939" spans="12:39">
      <c r="L939">
        <v>935</v>
      </c>
      <c r="M939" s="37">
        <f t="shared" si="314"/>
        <v>5.8747782622128257</v>
      </c>
      <c r="N939" s="37">
        <f t="shared" si="308"/>
        <v>24588.773128419733</v>
      </c>
      <c r="O939" s="37">
        <f t="shared" si="309"/>
        <v>5514.2605468256952</v>
      </c>
      <c r="R939" s="37">
        <f t="shared" si="310"/>
        <v>-16787.858810106187</v>
      </c>
      <c r="S939" s="37">
        <f t="shared" si="311"/>
        <v>8609.9823827779855</v>
      </c>
      <c r="V939" s="37">
        <f t="shared" si="312"/>
        <v>-411.22687158026838</v>
      </c>
      <c r="W939" s="37">
        <f t="shared" si="313"/>
        <v>-16985.739453174305</v>
      </c>
      <c r="Y939" s="37">
        <f t="shared" si="315"/>
        <v>100507.59620219596</v>
      </c>
      <c r="Z939" s="37">
        <f t="shared" si="316"/>
        <v>-324093.42590727872</v>
      </c>
      <c r="AA939" s="37">
        <f t="shared" si="317"/>
        <v>633.77839961176016</v>
      </c>
      <c r="AB939" s="37">
        <f t="shared" si="318"/>
        <v>-659.22982359067066</v>
      </c>
      <c r="AC939" s="37">
        <f t="shared" si="319"/>
        <v>-3.125870083633576</v>
      </c>
      <c r="AD939" s="37">
        <f t="shared" si="320"/>
        <v>10.3416949717809</v>
      </c>
      <c r="AE939" s="39">
        <f t="shared" si="321"/>
        <v>-1.0596126837732038</v>
      </c>
      <c r="AF939" s="39">
        <f t="shared" si="322"/>
        <v>4.364316120738664</v>
      </c>
      <c r="AG939" s="39">
        <f t="shared" si="323"/>
        <v>-0.48280565362246042</v>
      </c>
      <c r="AH939" s="39">
        <f t="shared" si="324"/>
        <v>1.3385230470906315</v>
      </c>
      <c r="AI939" s="39">
        <f t="shared" si="325"/>
        <v>-1.5834517462379116</v>
      </c>
      <c r="AJ939" s="39">
        <f t="shared" si="326"/>
        <v>4.6388558039516044</v>
      </c>
      <c r="AK939" s="37">
        <f t="shared" si="327"/>
        <v>341226.71810862317</v>
      </c>
      <c r="AL939" s="37">
        <f t="shared" si="328"/>
        <v>355162.63595273346</v>
      </c>
      <c r="AM939" s="37">
        <f t="shared" si="329"/>
        <v>326604.652133836</v>
      </c>
    </row>
    <row r="940" spans="12:39">
      <c r="L940">
        <v>936</v>
      </c>
      <c r="M940" s="37">
        <f t="shared" si="314"/>
        <v>5.8810614475200049</v>
      </c>
      <c r="N940" s="37">
        <f t="shared" si="308"/>
        <v>24601.159236829179</v>
      </c>
      <c r="O940" s="37">
        <f t="shared" si="309"/>
        <v>5543.1316658135829</v>
      </c>
      <c r="R940" s="37">
        <f t="shared" si="310"/>
        <v>-16779.188534219575</v>
      </c>
      <c r="S940" s="37">
        <f t="shared" si="311"/>
        <v>8630.1921660695079</v>
      </c>
      <c r="V940" s="37">
        <f t="shared" si="312"/>
        <v>-398.84076317082054</v>
      </c>
      <c r="W940" s="37">
        <f t="shared" si="313"/>
        <v>-16956.868334186416</v>
      </c>
      <c r="Y940" s="37">
        <f t="shared" si="315"/>
        <v>100824.09466824138</v>
      </c>
      <c r="Z940" s="37">
        <f t="shared" si="316"/>
        <v>-324421.74810720258</v>
      </c>
      <c r="AA940" s="37">
        <f t="shared" si="317"/>
        <v>632.21546456994338</v>
      </c>
      <c r="AB940" s="37">
        <f t="shared" si="318"/>
        <v>-654.05897610478019</v>
      </c>
      <c r="AC940" s="37">
        <f t="shared" si="319"/>
        <v>-3.1246803884699785</v>
      </c>
      <c r="AD940" s="37">
        <f t="shared" si="320"/>
        <v>10.314926633936212</v>
      </c>
      <c r="AE940" s="39">
        <f t="shared" si="321"/>
        <v>-1.060106888114972</v>
      </c>
      <c r="AF940" s="39">
        <f t="shared" si="322"/>
        <v>4.3535598255438455</v>
      </c>
      <c r="AG940" s="39">
        <f t="shared" si="323"/>
        <v>-0.48237618875495381</v>
      </c>
      <c r="AH940" s="39">
        <f t="shared" si="324"/>
        <v>1.3351400540733682</v>
      </c>
      <c r="AI940" s="39">
        <f t="shared" si="325"/>
        <v>-1.5821973116000529</v>
      </c>
      <c r="AJ940" s="39">
        <f t="shared" si="326"/>
        <v>4.6262267543189983</v>
      </c>
      <c r="AK940" s="37">
        <f t="shared" si="327"/>
        <v>341620.52213747654</v>
      </c>
      <c r="AL940" s="37">
        <f t="shared" si="328"/>
        <v>355578.91875008203</v>
      </c>
      <c r="AM940" s="37">
        <f t="shared" si="329"/>
        <v>327017.671103673</v>
      </c>
    </row>
    <row r="941" spans="12:39">
      <c r="L941">
        <v>937</v>
      </c>
      <c r="M941" s="37">
        <f t="shared" si="314"/>
        <v>5.8873446328271841</v>
      </c>
      <c r="N941" s="37">
        <f t="shared" si="308"/>
        <v>24613.363699350404</v>
      </c>
      <c r="O941" s="37">
        <f t="shared" si="309"/>
        <v>5572.0800386126093</v>
      </c>
      <c r="R941" s="37">
        <f t="shared" si="310"/>
        <v>-16770.645410454716</v>
      </c>
      <c r="S941" s="37">
        <f t="shared" si="311"/>
        <v>8650.4560270288275</v>
      </c>
      <c r="V941" s="37">
        <f t="shared" si="312"/>
        <v>-386.63630064959671</v>
      </c>
      <c r="W941" s="37">
        <f t="shared" si="313"/>
        <v>-16927.91996138739</v>
      </c>
      <c r="Y941" s="37">
        <f t="shared" si="315"/>
        <v>101139.81181547779</v>
      </c>
      <c r="Z941" s="37">
        <f t="shared" si="316"/>
        <v>-324747.48822942574</v>
      </c>
      <c r="AA941" s="37">
        <f t="shared" si="317"/>
        <v>630.65312437570844</v>
      </c>
      <c r="AB941" s="37">
        <f t="shared" si="318"/>
        <v>-648.90151278781207</v>
      </c>
      <c r="AC941" s="37">
        <f t="shared" si="319"/>
        <v>-3.1235188744098652</v>
      </c>
      <c r="AD941" s="37">
        <f t="shared" si="320"/>
        <v>10.288414086176925</v>
      </c>
      <c r="AE941" s="39">
        <f t="shared" si="321"/>
        <v>-1.0606026652455205</v>
      </c>
      <c r="AF941" s="39">
        <f t="shared" si="322"/>
        <v>4.3429059502703948</v>
      </c>
      <c r="AG941" s="39">
        <f t="shared" si="323"/>
        <v>-0.4819532110576224</v>
      </c>
      <c r="AH941" s="39">
        <f t="shared" si="324"/>
        <v>1.3317886533569161</v>
      </c>
      <c r="AI941" s="39">
        <f t="shared" si="325"/>
        <v>-1.5809629981067221</v>
      </c>
      <c r="AJ941" s="39">
        <f t="shared" si="326"/>
        <v>4.6137194825496142</v>
      </c>
      <c r="AK941" s="37">
        <f t="shared" si="327"/>
        <v>342011.78707204456</v>
      </c>
      <c r="AL941" s="37">
        <f t="shared" si="328"/>
        <v>355992.60509538522</v>
      </c>
      <c r="AM941" s="37">
        <f t="shared" si="329"/>
        <v>327428.10831793788</v>
      </c>
    </row>
    <row r="942" spans="12:39">
      <c r="L942">
        <v>938</v>
      </c>
      <c r="M942" s="37">
        <f t="shared" si="314"/>
        <v>5.8936278181343633</v>
      </c>
      <c r="N942" s="37">
        <f t="shared" si="308"/>
        <v>24625.386034172123</v>
      </c>
      <c r="O942" s="37">
        <f t="shared" si="309"/>
        <v>5601.104522390584</v>
      </c>
      <c r="R942" s="37">
        <f t="shared" si="310"/>
        <v>-16762.229776079515</v>
      </c>
      <c r="S942" s="37">
        <f t="shared" si="311"/>
        <v>8670.7731656734086</v>
      </c>
      <c r="V942" s="37">
        <f t="shared" si="312"/>
        <v>-374.61396582787893</v>
      </c>
      <c r="W942" s="37">
        <f t="shared" si="313"/>
        <v>-16898.895477609418</v>
      </c>
      <c r="Y942" s="37">
        <f t="shared" si="315"/>
        <v>101454.74793780634</v>
      </c>
      <c r="Z942" s="37">
        <f t="shared" si="316"/>
        <v>-325070.65293405886</v>
      </c>
      <c r="AA942" s="37">
        <f t="shared" si="317"/>
        <v>629.09136493850349</v>
      </c>
      <c r="AB942" s="37">
        <f t="shared" si="318"/>
        <v>-643.75730574472357</v>
      </c>
      <c r="AC942" s="37">
        <f t="shared" si="319"/>
        <v>-3.1223855077330009</v>
      </c>
      <c r="AD942" s="37">
        <f t="shared" si="320"/>
        <v>10.262154701024027</v>
      </c>
      <c r="AE942" s="39">
        <f t="shared" si="321"/>
        <v>-1.0611001229231223</v>
      </c>
      <c r="AF942" s="39">
        <f t="shared" si="322"/>
        <v>4.332353480221899</v>
      </c>
      <c r="AG942" s="39">
        <f t="shared" si="323"/>
        <v>-0.48153668018489143</v>
      </c>
      <c r="AH942" s="39">
        <f t="shared" si="324"/>
        <v>1.3284685249511445</v>
      </c>
      <c r="AI942" s="39">
        <f t="shared" si="325"/>
        <v>-1.5797487046249874</v>
      </c>
      <c r="AJ942" s="39">
        <f t="shared" si="326"/>
        <v>4.6013326958509841</v>
      </c>
      <c r="AK942" s="37">
        <f t="shared" si="327"/>
        <v>342400.51862489607</v>
      </c>
      <c r="AL942" s="37">
        <f t="shared" si="328"/>
        <v>356403.70123540045</v>
      </c>
      <c r="AM942" s="37">
        <f t="shared" si="329"/>
        <v>327835.96991400362</v>
      </c>
    </row>
    <row r="943" spans="12:39">
      <c r="L943">
        <v>939</v>
      </c>
      <c r="M943" s="37">
        <f t="shared" si="314"/>
        <v>5.8999110034415425</v>
      </c>
      <c r="N943" s="37">
        <f t="shared" si="308"/>
        <v>24637.225766673138</v>
      </c>
      <c r="O943" s="37">
        <f t="shared" si="309"/>
        <v>5630.2039713105842</v>
      </c>
      <c r="R943" s="37">
        <f t="shared" si="310"/>
        <v>-16753.941963328802</v>
      </c>
      <c r="S943" s="37">
        <f t="shared" si="311"/>
        <v>8691.1427799174089</v>
      </c>
      <c r="V943" s="37">
        <f t="shared" si="312"/>
        <v>-362.77423332685976</v>
      </c>
      <c r="W943" s="37">
        <f t="shared" si="313"/>
        <v>-16869.796028689416</v>
      </c>
      <c r="Y943" s="37">
        <f t="shared" si="315"/>
        <v>101768.90332208714</v>
      </c>
      <c r="Z943" s="37">
        <f t="shared" si="316"/>
        <v>-325391.24881759356</v>
      </c>
      <c r="AA943" s="37">
        <f t="shared" si="317"/>
        <v>627.53017218463697</v>
      </c>
      <c r="AB943" s="37">
        <f t="shared" si="318"/>
        <v>-638.62622839421158</v>
      </c>
      <c r="AC943" s="37">
        <f t="shared" si="319"/>
        <v>-3.1212802549896752</v>
      </c>
      <c r="AD943" s="37">
        <f t="shared" si="320"/>
        <v>10.236145890898907</v>
      </c>
      <c r="AE943" s="39">
        <f t="shared" si="321"/>
        <v>-1.0615993670431367</v>
      </c>
      <c r="AF943" s="39">
        <f t="shared" si="322"/>
        <v>4.321901415834426</v>
      </c>
      <c r="AG943" s="39">
        <f t="shared" si="323"/>
        <v>-0.48112655642658086</v>
      </c>
      <c r="AH943" s="39">
        <f t="shared" si="324"/>
        <v>1.3251793536515322</v>
      </c>
      <c r="AI943" s="39">
        <f t="shared" si="325"/>
        <v>-1.5785543315199577</v>
      </c>
      <c r="AJ943" s="39">
        <f t="shared" si="326"/>
        <v>4.5890651214129488</v>
      </c>
      <c r="AK943" s="37">
        <f t="shared" si="327"/>
        <v>342786.72245265543</v>
      </c>
      <c r="AL943" s="37">
        <f t="shared" si="328"/>
        <v>356812.2133555531</v>
      </c>
      <c r="AM943" s="37">
        <f t="shared" si="329"/>
        <v>328241.26196922053</v>
      </c>
    </row>
    <row r="944" spans="12:39">
      <c r="L944">
        <v>940</v>
      </c>
      <c r="M944" s="37">
        <f t="shared" si="314"/>
        <v>5.9061941887487217</v>
      </c>
      <c r="N944" s="37">
        <f t="shared" si="308"/>
        <v>24648.882429441092</v>
      </c>
      <c r="O944" s="37">
        <f t="shared" si="309"/>
        <v>5659.3772365761943</v>
      </c>
      <c r="R944" s="37">
        <f t="shared" si="310"/>
        <v>-16745.782299391234</v>
      </c>
      <c r="S944" s="37">
        <f t="shared" si="311"/>
        <v>8711.5640656033356</v>
      </c>
      <c r="V944" s="37">
        <f t="shared" si="312"/>
        <v>-351.11757055890848</v>
      </c>
      <c r="W944" s="37">
        <f t="shared" si="313"/>
        <v>-16840.622763423806</v>
      </c>
      <c r="Y944" s="37">
        <f t="shared" si="315"/>
        <v>102082.27824814757</v>
      </c>
      <c r="Z944" s="37">
        <f t="shared" si="316"/>
        <v>-325709.28241355432</v>
      </c>
      <c r="AA944" s="37">
        <f t="shared" si="317"/>
        <v>625.96953205714215</v>
      </c>
      <c r="AB944" s="37">
        <f t="shared" si="318"/>
        <v>-633.50815544876218</v>
      </c>
      <c r="AC944" s="37">
        <f t="shared" si="319"/>
        <v>-3.1202030830264684</v>
      </c>
      <c r="AD944" s="37">
        <f t="shared" si="320"/>
        <v>10.210385107417368</v>
      </c>
      <c r="AE944" s="39">
        <f t="shared" si="321"/>
        <v>-1.0621005016861942</v>
      </c>
      <c r="AF944" s="39">
        <f t="shared" si="322"/>
        <v>4.3115487724162875</v>
      </c>
      <c r="AG944" s="39">
        <f t="shared" si="323"/>
        <v>-0.48072280069917633</v>
      </c>
      <c r="AH944" s="39">
        <f t="shared" si="324"/>
        <v>1.3219208289553963</v>
      </c>
      <c r="AI944" s="39">
        <f t="shared" si="325"/>
        <v>-1.5773797806410976</v>
      </c>
      <c r="AJ944" s="39">
        <f t="shared" si="326"/>
        <v>4.5769155060456841</v>
      </c>
      <c r="AK944" s="37">
        <f t="shared" si="327"/>
        <v>343170.40415653872</v>
      </c>
      <c r="AL944" s="37">
        <f t="shared" si="328"/>
        <v>357218.1475805529</v>
      </c>
      <c r="AM944" s="37">
        <f t="shared" si="329"/>
        <v>328643.99050151452</v>
      </c>
    </row>
    <row r="945" spans="12:39">
      <c r="L945">
        <v>941</v>
      </c>
      <c r="M945" s="37">
        <f t="shared" si="314"/>
        <v>5.9124773740559009</v>
      </c>
      <c r="N945" s="37">
        <f t="shared" si="308"/>
        <v>24660.355562290893</v>
      </c>
      <c r="O945" s="37">
        <f t="shared" si="309"/>
        <v>5688.623166476852</v>
      </c>
      <c r="R945" s="37">
        <f t="shared" si="310"/>
        <v>-16737.751106396376</v>
      </c>
      <c r="S945" s="37">
        <f t="shared" si="311"/>
        <v>8732.0362165337974</v>
      </c>
      <c r="V945" s="37">
        <f t="shared" si="312"/>
        <v>-339.64443770910748</v>
      </c>
      <c r="W945" s="37">
        <f t="shared" si="313"/>
        <v>-16811.376833523147</v>
      </c>
      <c r="Y945" s="37">
        <f t="shared" si="315"/>
        <v>102394.87298879077</v>
      </c>
      <c r="Z945" s="37">
        <f t="shared" si="316"/>
        <v>-326024.76019314025</v>
      </c>
      <c r="AA945" s="37">
        <f t="shared" si="317"/>
        <v>624.40943051562886</v>
      </c>
      <c r="AB945" s="37">
        <f t="shared" si="318"/>
        <v>-628.40296289505352</v>
      </c>
      <c r="AC945" s="37">
        <f t="shared" si="319"/>
        <v>-3.1191539590109842</v>
      </c>
      <c r="AD945" s="37">
        <f t="shared" si="320"/>
        <v>10.184869840698271</v>
      </c>
      <c r="AE945" s="39">
        <f t="shared" si="321"/>
        <v>-1.062603629165183</v>
      </c>
      <c r="AF945" s="39">
        <f t="shared" si="322"/>
        <v>4.3012945798932467</v>
      </c>
      <c r="AG945" s="39">
        <f t="shared" si="323"/>
        <v>-0.48032537453726526</v>
      </c>
      <c r="AH945" s="39">
        <f t="shared" si="324"/>
        <v>1.318692644979879</v>
      </c>
      <c r="AI945" s="39">
        <f t="shared" si="325"/>
        <v>-1.5762249553085357</v>
      </c>
      <c r="AJ945" s="39">
        <f t="shared" si="326"/>
        <v>4.5648826158251454</v>
      </c>
      <c r="AK945" s="37">
        <f t="shared" si="327"/>
        <v>343551.56928288168</v>
      </c>
      <c r="AL945" s="37">
        <f t="shared" si="328"/>
        <v>357621.50997500087</v>
      </c>
      <c r="AM945" s="37">
        <f t="shared" si="329"/>
        <v>329044.16146997485</v>
      </c>
    </row>
    <row r="946" spans="12:39">
      <c r="L946">
        <v>942</v>
      </c>
      <c r="M946" s="37">
        <f t="shared" si="314"/>
        <v>5.9187605593630801</v>
      </c>
      <c r="N946" s="37">
        <f t="shared" si="308"/>
        <v>24671.644712282898</v>
      </c>
      <c r="O946" s="37">
        <f t="shared" si="309"/>
        <v>5717.9406064333243</v>
      </c>
      <c r="R946" s="37">
        <f t="shared" si="310"/>
        <v>-16729.84870140197</v>
      </c>
      <c r="S946" s="37">
        <f t="shared" si="311"/>
        <v>8752.5584245033278</v>
      </c>
      <c r="V946" s="37">
        <f t="shared" si="312"/>
        <v>-328.35528771710051</v>
      </c>
      <c r="W946" s="37">
        <f t="shared" si="313"/>
        <v>-16782.059393566677</v>
      </c>
      <c r="Y946" s="37">
        <f t="shared" si="315"/>
        <v>102706.68780980371</v>
      </c>
      <c r="Z946" s="37">
        <f t="shared" si="316"/>
        <v>-326337.68856585771</v>
      </c>
      <c r="AA946" s="37">
        <f t="shared" si="317"/>
        <v>622.84985353612342</v>
      </c>
      <c r="AB946" s="37">
        <f t="shared" si="318"/>
        <v>-623.31052797470443</v>
      </c>
      <c r="AC946" s="37">
        <f t="shared" si="319"/>
        <v>-3.1181328504557739</v>
      </c>
      <c r="AD946" s="37">
        <f t="shared" si="320"/>
        <v>10.159597618687043</v>
      </c>
      <c r="AE946" s="39">
        <f t="shared" si="321"/>
        <v>-1.0631088500710839</v>
      </c>
      <c r="AF946" s="39">
        <f t="shared" si="322"/>
        <v>4.2911378825591004</v>
      </c>
      <c r="AG946" s="39">
        <f t="shared" si="323"/>
        <v>-0.47993424008513103</v>
      </c>
      <c r="AH946" s="39">
        <f t="shared" si="324"/>
        <v>1.3154945003816463</v>
      </c>
      <c r="AI946" s="39">
        <f t="shared" si="325"/>
        <v>-1.575089760299559</v>
      </c>
      <c r="AJ946" s="39">
        <f t="shared" si="326"/>
        <v>4.5529652357462957</v>
      </c>
      <c r="AK946" s="37">
        <f t="shared" si="327"/>
        <v>343930.22332366044</v>
      </c>
      <c r="AL946" s="37">
        <f t="shared" si="328"/>
        <v>358022.3065439869</v>
      </c>
      <c r="AM946" s="37">
        <f t="shared" si="329"/>
        <v>329441.78077543463</v>
      </c>
    </row>
    <row r="947" spans="12:39">
      <c r="L947">
        <v>943</v>
      </c>
      <c r="M947" s="37">
        <f t="shared" si="314"/>
        <v>5.9250437446702593</v>
      </c>
      <c r="N947" s="37">
        <f t="shared" si="308"/>
        <v>24682.749433740802</v>
      </c>
      <c r="O947" s="37">
        <f t="shared" si="309"/>
        <v>5747.3283990432801</v>
      </c>
      <c r="R947" s="37">
        <f t="shared" si="310"/>
        <v>-16722.075396381439</v>
      </c>
      <c r="S947" s="37">
        <f t="shared" si="311"/>
        <v>8773.1298793302958</v>
      </c>
      <c r="V947" s="37">
        <f t="shared" si="312"/>
        <v>-317.25056625919751</v>
      </c>
      <c r="W947" s="37">
        <f t="shared" si="313"/>
        <v>-16752.671600956721</v>
      </c>
      <c r="Y947" s="37">
        <f t="shared" si="315"/>
        <v>103017.72296996546</v>
      </c>
      <c r="Z947" s="37">
        <f t="shared" si="316"/>
        <v>-326648.07388014277</v>
      </c>
      <c r="AA947" s="37">
        <f t="shared" si="317"/>
        <v>621.29078711089551</v>
      </c>
      <c r="AB947" s="37">
        <f t="shared" si="318"/>
        <v>-618.23072916536091</v>
      </c>
      <c r="AC947" s="37">
        <f t="shared" si="319"/>
        <v>-3.1171397252416124</v>
      </c>
      <c r="AD947" s="37">
        <f t="shared" si="320"/>
        <v>10.13456600649404</v>
      </c>
      <c r="AE947" s="39">
        <f t="shared" si="321"/>
        <v>-1.0636162633177118</v>
      </c>
      <c r="AF947" s="39">
        <f t="shared" si="322"/>
        <v>4.2810777388316028</v>
      </c>
      <c r="AG947" s="39">
        <f t="shared" si="323"/>
        <v>-0.47954936008855653</v>
      </c>
      <c r="AH947" s="39">
        <f t="shared" si="324"/>
        <v>1.3123260982783975</v>
      </c>
      <c r="AI947" s="39">
        <f t="shared" si="325"/>
        <v>-1.5739741018353441</v>
      </c>
      <c r="AJ947" s="39">
        <f t="shared" si="326"/>
        <v>4.5411621693840409</v>
      </c>
      <c r="AK947" s="37">
        <f t="shared" si="327"/>
        <v>344306.37171700335</v>
      </c>
      <c r="AL947" s="37">
        <f t="shared" si="328"/>
        <v>358420.54323367856</v>
      </c>
      <c r="AM947" s="37">
        <f t="shared" si="329"/>
        <v>329836.85426104086</v>
      </c>
    </row>
    <row r="948" spans="12:39">
      <c r="L948">
        <v>944</v>
      </c>
      <c r="M948" s="37">
        <f t="shared" si="314"/>
        <v>5.9313269299774385</v>
      </c>
      <c r="N948" s="37">
        <f t="shared" si="308"/>
        <v>24693.669288269215</v>
      </c>
      <c r="O948" s="37">
        <f t="shared" si="309"/>
        <v>5776.7853841269871</v>
      </c>
      <c r="R948" s="37">
        <f t="shared" si="310"/>
        <v>-16714.43149821155</v>
      </c>
      <c r="S948" s="37">
        <f t="shared" si="311"/>
        <v>8793.7497688888907</v>
      </c>
      <c r="V948" s="37">
        <f t="shared" si="312"/>
        <v>-306.33071173078679</v>
      </c>
      <c r="W948" s="37">
        <f t="shared" si="313"/>
        <v>-16723.214615873014</v>
      </c>
      <c r="Y948" s="37">
        <f t="shared" si="315"/>
        <v>103327.97872105525</v>
      </c>
      <c r="Z948" s="37">
        <f t="shared" si="316"/>
        <v>-326955.92242397461</v>
      </c>
      <c r="AA948" s="37">
        <f t="shared" si="317"/>
        <v>619.73221724827465</v>
      </c>
      <c r="AB948" s="37">
        <f t="shared" si="318"/>
        <v>-613.16344616211393</v>
      </c>
      <c r="AC948" s="37">
        <f t="shared" si="319"/>
        <v>-3.1161745516398316</v>
      </c>
      <c r="AD948" s="37">
        <f t="shared" si="320"/>
        <v>10.109772605746432</v>
      </c>
      <c r="AE948" s="39">
        <f t="shared" si="321"/>
        <v>-1.0641259661852787</v>
      </c>
      <c r="AF948" s="39">
        <f t="shared" si="322"/>
        <v>4.2711132210131399</v>
      </c>
      <c r="AG948" s="39">
        <f t="shared" si="323"/>
        <v>-0.47917069788672495</v>
      </c>
      <c r="AH948" s="39">
        <f t="shared" si="324"/>
        <v>1.3091871461718509</v>
      </c>
      <c r="AI948" s="39">
        <f t="shared" si="325"/>
        <v>-1.5728778875678278</v>
      </c>
      <c r="AJ948" s="39">
        <f t="shared" si="326"/>
        <v>4.5294722385614419</v>
      </c>
      <c r="AK948" s="37">
        <f t="shared" si="327"/>
        <v>344680.01984769636</v>
      </c>
      <c r="AL948" s="37">
        <f t="shared" si="328"/>
        <v>358816.2259319005</v>
      </c>
      <c r="AM948" s="37">
        <f t="shared" si="329"/>
        <v>330229.38771281741</v>
      </c>
    </row>
    <row r="949" spans="12:39">
      <c r="L949">
        <v>945</v>
      </c>
      <c r="M949" s="37">
        <f t="shared" si="314"/>
        <v>5.9376101152846177</v>
      </c>
      <c r="N949" s="37">
        <f t="shared" si="308"/>
        <v>24704.403844770972</v>
      </c>
      <c r="O949" s="37">
        <f t="shared" si="309"/>
        <v>5806.310398773112</v>
      </c>
      <c r="R949" s="37">
        <f t="shared" si="310"/>
        <v>-16706.917308660319</v>
      </c>
      <c r="S949" s="37">
        <f t="shared" si="311"/>
        <v>8814.4172791411784</v>
      </c>
      <c r="V949" s="37">
        <f t="shared" si="312"/>
        <v>-295.59615522902732</v>
      </c>
      <c r="W949" s="37">
        <f t="shared" si="313"/>
        <v>-16693.689601226888</v>
      </c>
      <c r="Y949" s="37">
        <f t="shared" si="315"/>
        <v>103637.45530786042</v>
      </c>
      <c r="Z949" s="37">
        <f t="shared" si="316"/>
        <v>-327261.24042547995</v>
      </c>
      <c r="AA949" s="37">
        <f t="shared" si="317"/>
        <v>618.17412997245469</v>
      </c>
      <c r="AB949" s="37">
        <f t="shared" si="318"/>
        <v>-608.1085598592407</v>
      </c>
      <c r="AC949" s="37">
        <f t="shared" si="319"/>
        <v>-3.115237298334117</v>
      </c>
      <c r="AD949" s="37">
        <f t="shared" si="320"/>
        <v>10.085215053954467</v>
      </c>
      <c r="AE949" s="39">
        <f t="shared" si="321"/>
        <v>-1.0646380543629925</v>
      </c>
      <c r="AF949" s="39">
        <f t="shared" si="322"/>
        <v>4.2612434150567671</v>
      </c>
      <c r="AG949" s="39">
        <f t="shared" si="323"/>
        <v>-0.47879821740434952</v>
      </c>
      <c r="AH949" s="39">
        <f t="shared" si="324"/>
        <v>1.3060773558725389</v>
      </c>
      <c r="AI949" s="39">
        <f t="shared" si="325"/>
        <v>-1.5718010265667752</v>
      </c>
      <c r="AJ949" s="39">
        <f t="shared" si="326"/>
        <v>4.5178942830251607</v>
      </c>
      <c r="AK949" s="37">
        <f t="shared" si="327"/>
        <v>345051.17304768047</v>
      </c>
      <c r="AL949" s="37">
        <f t="shared" si="328"/>
        <v>359209.36046870577</v>
      </c>
      <c r="AM949" s="37">
        <f t="shared" si="329"/>
        <v>330619.38686021842</v>
      </c>
    </row>
    <row r="950" spans="12:39">
      <c r="L950">
        <v>946</v>
      </c>
      <c r="M950" s="37">
        <f t="shared" si="314"/>
        <v>5.9438933005917969</v>
      </c>
      <c r="N950" s="37">
        <f t="shared" si="308"/>
        <v>24714.952679464172</v>
      </c>
      <c r="O950" s="37">
        <f t="shared" si="309"/>
        <v>5835.9022773846336</v>
      </c>
      <c r="R950" s="37">
        <f t="shared" si="310"/>
        <v>-16699.533124375081</v>
      </c>
      <c r="S950" s="37">
        <f t="shared" si="311"/>
        <v>8835.1315941692428</v>
      </c>
      <c r="V950" s="37">
        <f t="shared" si="312"/>
        <v>-285.04732053583029</v>
      </c>
      <c r="W950" s="37">
        <f t="shared" si="313"/>
        <v>-16664.097722615366</v>
      </c>
      <c r="Y950" s="37">
        <f t="shared" si="315"/>
        <v>103946.15296818437</v>
      </c>
      <c r="Z950" s="37">
        <f t="shared" si="316"/>
        <v>-327564.03405352781</v>
      </c>
      <c r="AA950" s="37">
        <f t="shared" si="317"/>
        <v>616.61651132328768</v>
      </c>
      <c r="AB950" s="37">
        <f t="shared" si="318"/>
        <v>-603.06595233226346</v>
      </c>
      <c r="AC950" s="37">
        <f t="shared" si="319"/>
        <v>-3.1143279344414112</v>
      </c>
      <c r="AD950" s="37">
        <f t="shared" si="320"/>
        <v>10.060891023890523</v>
      </c>
      <c r="AE950" s="39">
        <f t="shared" si="321"/>
        <v>-1.0651526219905227</v>
      </c>
      <c r="AF950" s="39">
        <f t="shared" si="322"/>
        <v>4.2514674203367013</v>
      </c>
      <c r="AG950" s="39">
        <f t="shared" si="323"/>
        <v>-0.47843188314388985</v>
      </c>
      <c r="AH950" s="39">
        <f t="shared" si="324"/>
        <v>1.3029964434259862</v>
      </c>
      <c r="AI950" s="39">
        <f t="shared" si="325"/>
        <v>-1.5707434293069986</v>
      </c>
      <c r="AJ950" s="39">
        <f t="shared" si="326"/>
        <v>4.506427160127835</v>
      </c>
      <c r="AK950" s="37">
        <f t="shared" si="327"/>
        <v>345419.83659654151</v>
      </c>
      <c r="AL950" s="37">
        <f t="shared" si="328"/>
        <v>359599.95261693769</v>
      </c>
      <c r="AM950" s="37">
        <f t="shared" si="329"/>
        <v>331006.85737667419</v>
      </c>
    </row>
    <row r="951" spans="12:39">
      <c r="L951">
        <v>947</v>
      </c>
      <c r="M951" s="37">
        <f t="shared" si="314"/>
        <v>5.9501764858989761</v>
      </c>
      <c r="N951" s="37">
        <f t="shared" si="308"/>
        <v>24725.315375898874</v>
      </c>
      <c r="O951" s="37">
        <f t="shared" si="309"/>
        <v>5865.5598517248509</v>
      </c>
      <c r="R951" s="37">
        <f t="shared" si="310"/>
        <v>-16692.279236870789</v>
      </c>
      <c r="S951" s="37">
        <f t="shared" si="311"/>
        <v>8855.8918962073967</v>
      </c>
      <c r="V951" s="37">
        <f t="shared" si="312"/>
        <v>-274.68462410112716</v>
      </c>
      <c r="W951" s="37">
        <f t="shared" si="313"/>
        <v>-16634.440148275149</v>
      </c>
      <c r="Y951" s="37">
        <f t="shared" si="315"/>
        <v>104254.0719328542</v>
      </c>
      <c r="Z951" s="37">
        <f t="shared" si="316"/>
        <v>-327864.30941831594</v>
      </c>
      <c r="AA951" s="37">
        <f t="shared" si="317"/>
        <v>615.05934735606695</v>
      </c>
      <c r="AB951" s="37">
        <f t="shared" si="318"/>
        <v>-598.03550682031823</v>
      </c>
      <c r="AC951" s="37">
        <f t="shared" si="319"/>
        <v>-3.113446429532313</v>
      </c>
      <c r="AD951" s="37">
        <f t="shared" si="320"/>
        <v>10.036798222981879</v>
      </c>
      <c r="AE951" s="39">
        <f t="shared" si="321"/>
        <v>-1.0656697616985658</v>
      </c>
      <c r="AF951" s="39">
        <f t="shared" si="322"/>
        <v>4.241784349423952</v>
      </c>
      <c r="AG951" s="39">
        <f t="shared" si="323"/>
        <v>-0.47807166017799813</v>
      </c>
      <c r="AH951" s="39">
        <f t="shared" si="324"/>
        <v>1.2999441290406395</v>
      </c>
      <c r="AI951" s="39">
        <f t="shared" si="325"/>
        <v>-1.5697050076557491</v>
      </c>
      <c r="AJ951" s="39">
        <f t="shared" si="326"/>
        <v>4.4950697445172869</v>
      </c>
      <c r="AK951" s="37">
        <f t="shared" si="327"/>
        <v>345786.01572199317</v>
      </c>
      <c r="AL951" s="37">
        <f t="shared" si="328"/>
        <v>359988.00809278415</v>
      </c>
      <c r="AM951" s="37">
        <f t="shared" si="329"/>
        <v>331391.8048801283</v>
      </c>
    </row>
    <row r="952" spans="12:39">
      <c r="L952">
        <v>948</v>
      </c>
      <c r="M952" s="37">
        <f t="shared" si="314"/>
        <v>5.9564596712061553</v>
      </c>
      <c r="N952" s="37">
        <f t="shared" si="308"/>
        <v>24735.491524973571</v>
      </c>
      <c r="O952" s="37">
        <f t="shared" si="309"/>
        <v>5895.2819509635137</v>
      </c>
      <c r="R952" s="37">
        <f t="shared" si="310"/>
        <v>-16685.155932518501</v>
      </c>
      <c r="S952" s="37">
        <f t="shared" si="311"/>
        <v>8876.6973656744594</v>
      </c>
      <c r="V952" s="37">
        <f t="shared" si="312"/>
        <v>-264.50847502642773</v>
      </c>
      <c r="W952" s="37">
        <f t="shared" si="313"/>
        <v>-16604.718049036488</v>
      </c>
      <c r="Y952" s="37">
        <f t="shared" si="315"/>
        <v>104561.21242572855</v>
      </c>
      <c r="Z952" s="37">
        <f t="shared" si="316"/>
        <v>-328162.07257194823</v>
      </c>
      <c r="AA952" s="37">
        <f t="shared" si="317"/>
        <v>613.50262414130077</v>
      </c>
      <c r="AB952" s="37">
        <f t="shared" si="318"/>
        <v>-593.01710770882733</v>
      </c>
      <c r="AC952" s="37">
        <f t="shared" si="319"/>
        <v>-3.1125927536507261</v>
      </c>
      <c r="AD952" s="37">
        <f t="shared" si="320"/>
        <v>10.012934392715863</v>
      </c>
      <c r="AE952" s="39">
        <f t="shared" si="321"/>
        <v>-1.0661895646483353</v>
      </c>
      <c r="AF952" s="39">
        <f t="shared" si="322"/>
        <v>4.2321933278661845</v>
      </c>
      <c r="AG952" s="39">
        <f t="shared" si="323"/>
        <v>-0.47771751414202995</v>
      </c>
      <c r="AH952" s="39">
        <f t="shared" si="324"/>
        <v>1.2969201370170669</v>
      </c>
      <c r="AI952" s="39">
        <f t="shared" si="325"/>
        <v>-1.568685674860361</v>
      </c>
      <c r="AJ952" s="39">
        <f t="shared" si="326"/>
        <v>4.4838209278326113</v>
      </c>
      <c r="AK952" s="37">
        <f t="shared" si="327"/>
        <v>346149.71560035268</v>
      </c>
      <c r="AL952" s="37">
        <f t="shared" si="328"/>
        <v>360373.53255632281</v>
      </c>
      <c r="AM952" s="37">
        <f t="shared" si="329"/>
        <v>331774.23493356712</v>
      </c>
    </row>
    <row r="953" spans="12:39">
      <c r="L953">
        <v>949</v>
      </c>
      <c r="M953" s="37">
        <f t="shared" si="314"/>
        <v>5.9627428565133345</v>
      </c>
      <c r="N953" s="37">
        <f t="shared" si="308"/>
        <v>24745.480724951325</v>
      </c>
      <c r="O953" s="37">
        <f t="shared" si="309"/>
        <v>5925.067401723034</v>
      </c>
      <c r="R953" s="37">
        <f t="shared" si="310"/>
        <v>-16678.16349253407</v>
      </c>
      <c r="S953" s="37">
        <f t="shared" si="311"/>
        <v>8897.5471812061242</v>
      </c>
      <c r="V953" s="37">
        <f t="shared" si="312"/>
        <v>-254.51927504867399</v>
      </c>
      <c r="W953" s="37">
        <f t="shared" si="313"/>
        <v>-16574.932598276966</v>
      </c>
      <c r="Y953" s="37">
        <f t="shared" si="315"/>
        <v>104867.574663705</v>
      </c>
      <c r="Z953" s="37">
        <f t="shared" si="316"/>
        <v>-328457.32950900355</v>
      </c>
      <c r="AA953" s="37">
        <f t="shared" si="317"/>
        <v>611.94632776447543</v>
      </c>
      <c r="AB953" s="37">
        <f t="shared" si="318"/>
        <v>-588.01064051246942</v>
      </c>
      <c r="AC953" s="37">
        <f t="shared" si="319"/>
        <v>-3.1117668773328857</v>
      </c>
      <c r="AD953" s="37">
        <f t="shared" si="320"/>
        <v>9.9892973080575871</v>
      </c>
      <c r="AE953" s="39">
        <f t="shared" si="321"/>
        <v>-1.0667121205701877</v>
      </c>
      <c r="AF953" s="39">
        <f t="shared" si="322"/>
        <v>4.2226934939724297</v>
      </c>
      <c r="AG953" s="39">
        <f t="shared" si="323"/>
        <v>-0.47736941122678983</v>
      </c>
      <c r="AH953" s="39">
        <f t="shared" si="324"/>
        <v>1.2939241956788612</v>
      </c>
      <c r="AI953" s="39">
        <f t="shared" si="325"/>
        <v>-1.5676853455359081</v>
      </c>
      <c r="AJ953" s="39">
        <f t="shared" si="326"/>
        <v>4.4726796184062954</v>
      </c>
      <c r="AK953" s="37">
        <f t="shared" si="327"/>
        <v>346510.94135700929</v>
      </c>
      <c r="AL953" s="37">
        <f t="shared" si="328"/>
        <v>360756.53161205852</v>
      </c>
      <c r="AM953" s="37">
        <f t="shared" si="329"/>
        <v>332154.1530455412</v>
      </c>
    </row>
    <row r="954" spans="12:39">
      <c r="L954">
        <v>950</v>
      </c>
      <c r="M954" s="37">
        <f t="shared" si="314"/>
        <v>5.9690260418205137</v>
      </c>
      <c r="N954" s="37">
        <f t="shared" si="308"/>
        <v>24755.282581475622</v>
      </c>
      <c r="O954" s="37">
        <f t="shared" si="309"/>
        <v>5954.9150281248185</v>
      </c>
      <c r="R954" s="37">
        <f t="shared" si="310"/>
        <v>-16671.302192967065</v>
      </c>
      <c r="S954" s="37">
        <f t="shared" si="311"/>
        <v>8918.4405196873722</v>
      </c>
      <c r="V954" s="37">
        <f t="shared" si="312"/>
        <v>-244.71741852437663</v>
      </c>
      <c r="W954" s="37">
        <f t="shared" si="313"/>
        <v>-16545.084971875182</v>
      </c>
      <c r="Y954" s="37">
        <f t="shared" si="315"/>
        <v>105173.15885672758</v>
      </c>
      <c r="Z954" s="37">
        <f t="shared" si="316"/>
        <v>-328750.08616709628</v>
      </c>
      <c r="AA954" s="37">
        <f t="shared" si="317"/>
        <v>610.39044432580897</v>
      </c>
      <c r="AB954" s="37">
        <f t="shared" si="318"/>
        <v>-583.01599185844066</v>
      </c>
      <c r="AC954" s="37">
        <f t="shared" si="319"/>
        <v>-3.1109687716258003</v>
      </c>
      <c r="AD954" s="37">
        <f t="shared" si="320"/>
        <v>9.9658847768798502</v>
      </c>
      <c r="AE954" s="39">
        <f t="shared" si="321"/>
        <v>-1.0672375178012388</v>
      </c>
      <c r="AF954" s="39">
        <f t="shared" si="322"/>
        <v>4.2132839986018586</v>
      </c>
      <c r="AG954" s="39">
        <f t="shared" si="323"/>
        <v>-0.4770273181713367</v>
      </c>
      <c r="AH954" s="39">
        <f t="shared" si="324"/>
        <v>1.2909560373047511</v>
      </c>
      <c r="AI954" s="39">
        <f t="shared" si="325"/>
        <v>-1.5667039356532246</v>
      </c>
      <c r="AJ954" s="39">
        <f t="shared" si="326"/>
        <v>4.4616447409732407</v>
      </c>
      <c r="AK954" s="37">
        <f t="shared" si="327"/>
        <v>346869.69806688651</v>
      </c>
      <c r="AL954" s="37">
        <f t="shared" si="328"/>
        <v>361137.01080945262</v>
      </c>
      <c r="AM954" s="37">
        <f t="shared" si="329"/>
        <v>332531.56467067916</v>
      </c>
    </row>
    <row r="955" spans="12:39">
      <c r="L955">
        <v>951</v>
      </c>
      <c r="M955" s="37">
        <f t="shared" si="314"/>
        <v>5.9753092271276929</v>
      </c>
      <c r="N955" s="37">
        <f t="shared" si="308"/>
        <v>24764.896707585951</v>
      </c>
      <c r="O955" s="37">
        <f t="shared" si="309"/>
        <v>5984.8236518356825</v>
      </c>
      <c r="R955" s="37">
        <f t="shared" si="310"/>
        <v>-16664.572304689835</v>
      </c>
      <c r="S955" s="37">
        <f t="shared" si="311"/>
        <v>8939.3765562849785</v>
      </c>
      <c r="V955" s="37">
        <f t="shared" si="312"/>
        <v>-235.10329241404816</v>
      </c>
      <c r="W955" s="37">
        <f t="shared" si="313"/>
        <v>-16515.176348164317</v>
      </c>
      <c r="Y955" s="37">
        <f t="shared" si="315"/>
        <v>105477.96520779403</v>
      </c>
      <c r="Z955" s="37">
        <f t="shared" si="316"/>
        <v>-329040.3484274284</v>
      </c>
      <c r="AA955" s="37">
        <f t="shared" si="317"/>
        <v>608.83495993999611</v>
      </c>
      <c r="AB955" s="37">
        <f t="shared" si="318"/>
        <v>-578.03304947000072</v>
      </c>
      <c r="AC955" s="37">
        <f t="shared" si="319"/>
        <v>-3.1101984081051199</v>
      </c>
      <c r="AD955" s="37">
        <f t="shared" si="320"/>
        <v>9.9426946394050475</v>
      </c>
      <c r="AE955" s="39">
        <f t="shared" si="321"/>
        <v>-1.0677658433221815</v>
      </c>
      <c r="AF955" s="39">
        <f t="shared" si="322"/>
        <v>4.2039640049572462</v>
      </c>
      <c r="AG955" s="39">
        <f t="shared" si="323"/>
        <v>-0.47669120225600303</v>
      </c>
      <c r="AH955" s="39">
        <f t="shared" si="324"/>
        <v>1.2880153980623061</v>
      </c>
      <c r="AI955" s="39">
        <f t="shared" si="325"/>
        <v>-1.5657413625269356</v>
      </c>
      <c r="AJ955" s="39">
        <f t="shared" si="326"/>
        <v>4.450715236385494</v>
      </c>
      <c r="AK955" s="37">
        <f t="shared" si="327"/>
        <v>347225.99075489689</v>
      </c>
      <c r="AL955" s="37">
        <f t="shared" si="328"/>
        <v>361514.97564344469</v>
      </c>
      <c r="AM955" s="37">
        <f t="shared" si="329"/>
        <v>332906.47521019349</v>
      </c>
    </row>
    <row r="956" spans="12:39">
      <c r="L956">
        <v>952</v>
      </c>
      <c r="M956" s="37">
        <f t="shared" si="314"/>
        <v>5.9815924124348721</v>
      </c>
      <c r="N956" s="37">
        <f t="shared" si="308"/>
        <v>24774.322723733076</v>
      </c>
      <c r="O956" s="37">
        <f t="shared" si="309"/>
        <v>6014.7920921143759</v>
      </c>
      <c r="R956" s="37">
        <f t="shared" si="310"/>
        <v>-16657.974093386849</v>
      </c>
      <c r="S956" s="37">
        <f t="shared" si="311"/>
        <v>8960.3544644800622</v>
      </c>
      <c r="V956" s="37">
        <f t="shared" si="312"/>
        <v>-225.67727626692522</v>
      </c>
      <c r="W956" s="37">
        <f t="shared" si="313"/>
        <v>-16485.207907885626</v>
      </c>
      <c r="Y956" s="37">
        <f t="shared" si="315"/>
        <v>105781.99391296301</v>
      </c>
      <c r="Z956" s="37">
        <f t="shared" si="316"/>
        <v>-329328.12211533351</v>
      </c>
      <c r="AA956" s="37">
        <f t="shared" si="317"/>
        <v>607.27986073594354</v>
      </c>
      <c r="AB956" s="37">
        <f t="shared" si="318"/>
        <v>-573.06170215029817</v>
      </c>
      <c r="AC956" s="37">
        <f t="shared" si="319"/>
        <v>-3.1094557588924312</v>
      </c>
      <c r="AD956" s="37">
        <f t="shared" si="320"/>
        <v>9.9197247676585203</v>
      </c>
      <c r="AE956" s="39">
        <f t="shared" si="321"/>
        <v>-1.0682971827931436</v>
      </c>
      <c r="AF956" s="39">
        <f t="shared" si="322"/>
        <v>4.1947326883822802</v>
      </c>
      <c r="AG956" s="39">
        <f t="shared" si="323"/>
        <v>-0.47636103129549329</v>
      </c>
      <c r="AH956" s="39">
        <f t="shared" si="324"/>
        <v>1.2851020179428445</v>
      </c>
      <c r="AI956" s="39">
        <f t="shared" si="325"/>
        <v>-1.5647975448037943</v>
      </c>
      <c r="AJ956" s="39">
        <f t="shared" si="326"/>
        <v>4.4398900613333954</v>
      </c>
      <c r="AK956" s="37">
        <f t="shared" si="327"/>
        <v>347579.82439639047</v>
      </c>
      <c r="AL956" s="37">
        <f t="shared" si="328"/>
        <v>361890.43155496573</v>
      </c>
      <c r="AM956" s="37">
        <f t="shared" si="329"/>
        <v>333278.89001237956</v>
      </c>
    </row>
    <row r="957" spans="12:39">
      <c r="L957">
        <v>953</v>
      </c>
      <c r="M957" s="37">
        <f t="shared" si="314"/>
        <v>5.9878755977420512</v>
      </c>
      <c r="N957" s="37">
        <f t="shared" si="308"/>
        <v>24783.560257794015</v>
      </c>
      <c r="O957" s="37">
        <f t="shared" si="309"/>
        <v>6044.8191658581882</v>
      </c>
      <c r="R957" s="37">
        <f t="shared" si="310"/>
        <v>-16651.507819544189</v>
      </c>
      <c r="S957" s="37">
        <f t="shared" si="311"/>
        <v>8981.3734161007324</v>
      </c>
      <c r="V957" s="37">
        <f t="shared" si="312"/>
        <v>-216.43974220598557</v>
      </c>
      <c r="W957" s="37">
        <f t="shared" si="313"/>
        <v>-16455.180834141811</v>
      </c>
      <c r="Y957" s="37">
        <f t="shared" si="315"/>
        <v>106085.2451613611</v>
      </c>
      <c r="Z957" s="37">
        <f t="shared" si="316"/>
        <v>-329613.4130008127</v>
      </c>
      <c r="AA957" s="37">
        <f t="shared" si="317"/>
        <v>605.72513285649734</v>
      </c>
      <c r="AB957" s="37">
        <f t="shared" si="318"/>
        <v>-568.10183976646897</v>
      </c>
      <c r="AC957" s="37">
        <f t="shared" si="319"/>
        <v>-3.1087407966719947</v>
      </c>
      <c r="AD957" s="37">
        <f t="shared" si="320"/>
        <v>9.8969730649333485</v>
      </c>
      <c r="AE957" s="39">
        <f t="shared" si="321"/>
        <v>-1.0688316205887736</v>
      </c>
      <c r="AF957" s="39">
        <f t="shared" si="322"/>
        <v>4.1855892361632918</v>
      </c>
      <c r="AG957" s="39">
        <f t="shared" si="323"/>
        <v>-0.47603677363215563</v>
      </c>
      <c r="AH957" s="39">
        <f t="shared" si="324"/>
        <v>1.2822156406977829</v>
      </c>
      <c r="AI957" s="39">
        <f t="shared" si="325"/>
        <v>-1.5638724024510655</v>
      </c>
      <c r="AJ957" s="39">
        <f t="shared" si="326"/>
        <v>4.4291681880722749</v>
      </c>
      <c r="AK957" s="37">
        <f t="shared" si="327"/>
        <v>347931.20391759655</v>
      </c>
      <c r="AL957" s="37">
        <f t="shared" si="328"/>
        <v>362263.38393144443</v>
      </c>
      <c r="AM957" s="37">
        <f t="shared" si="329"/>
        <v>333648.81437310646</v>
      </c>
    </row>
    <row r="958" spans="12:39">
      <c r="L958">
        <v>954</v>
      </c>
      <c r="M958" s="37">
        <f t="shared" si="314"/>
        <v>5.9941587830492304</v>
      </c>
      <c r="N958" s="37">
        <f t="shared" si="308"/>
        <v>24792.608945086744</v>
      </c>
      <c r="O958" s="37">
        <f t="shared" si="309"/>
        <v>6074.9036876496639</v>
      </c>
      <c r="R958" s="37">
        <f t="shared" si="310"/>
        <v>-16645.17373843928</v>
      </c>
      <c r="S958" s="37">
        <f t="shared" si="311"/>
        <v>9002.4325813547639</v>
      </c>
      <c r="V958" s="37">
        <f t="shared" si="312"/>
        <v>-207.39105491325608</v>
      </c>
      <c r="W958" s="37">
        <f t="shared" si="313"/>
        <v>-16425.096312350335</v>
      </c>
      <c r="Y958" s="37">
        <f t="shared" si="315"/>
        <v>106387.71913518976</v>
      </c>
      <c r="Z958" s="37">
        <f t="shared" si="316"/>
        <v>-329896.2267990628</v>
      </c>
      <c r="AA958" s="37">
        <f t="shared" si="317"/>
        <v>604.17076245816133</v>
      </c>
      <c r="AB958" s="37">
        <f t="shared" si="318"/>
        <v>-563.15335323400234</v>
      </c>
      <c r="AC958" s="37">
        <f t="shared" si="319"/>
        <v>-3.10805349470701</v>
      </c>
      <c r="AD958" s="37">
        <f t="shared" si="320"/>
        <v>9.8744374652662081</v>
      </c>
      <c r="AE958" s="39">
        <f t="shared" si="321"/>
        <v>-1.0693692398324424</v>
      </c>
      <c r="AF958" s="39">
        <f t="shared" si="322"/>
        <v>4.1765328473347427</v>
      </c>
      <c r="AG958" s="39">
        <f t="shared" si="323"/>
        <v>-0.47571839812938227</v>
      </c>
      <c r="AH958" s="39">
        <f t="shared" si="324"/>
        <v>1.2793560137762716</v>
      </c>
      <c r="AI958" s="39">
        <f t="shared" si="325"/>
        <v>-1.5629658567451854</v>
      </c>
      <c r="AJ958" s="39">
        <f t="shared" si="326"/>
        <v>4.4185486041551929</v>
      </c>
      <c r="AK958" s="37">
        <f t="shared" si="327"/>
        <v>348280.13419605925</v>
      </c>
      <c r="AL958" s="37">
        <f t="shared" si="328"/>
        <v>362633.83810730564</v>
      </c>
      <c r="AM958" s="37">
        <f t="shared" si="329"/>
        <v>334016.25353630132</v>
      </c>
    </row>
    <row r="959" spans="12:39">
      <c r="L959">
        <v>955</v>
      </c>
      <c r="M959" s="37">
        <f t="shared" si="314"/>
        <v>6.0004419683564096</v>
      </c>
      <c r="N959" s="37">
        <f t="shared" si="308"/>
        <v>24801.468428384582</v>
      </c>
      <c r="O959" s="37">
        <f t="shared" si="309"/>
        <v>6105.0444698033953</v>
      </c>
      <c r="R959" s="37">
        <f t="shared" si="310"/>
        <v>-16638.972100130792</v>
      </c>
      <c r="S959" s="37">
        <f t="shared" si="311"/>
        <v>9023.5311288623761</v>
      </c>
      <c r="V959" s="37">
        <f t="shared" si="312"/>
        <v>-198.53157161541822</v>
      </c>
      <c r="W959" s="37">
        <f t="shared" si="313"/>
        <v>-16394.955530196603</v>
      </c>
      <c r="Y959" s="37">
        <f t="shared" si="315"/>
        <v>106689.416009732</v>
      </c>
      <c r="Z959" s="37">
        <f t="shared" si="316"/>
        <v>-330176.56917099666</v>
      </c>
      <c r="AA959" s="37">
        <f t="shared" si="317"/>
        <v>602.6167357108078</v>
      </c>
      <c r="AB959" s="37">
        <f t="shared" si="318"/>
        <v>-558.2161345013692</v>
      </c>
      <c r="AC959" s="37">
        <f t="shared" si="319"/>
        <v>-3.1073938268553531</v>
      </c>
      <c r="AD959" s="37">
        <f t="shared" si="320"/>
        <v>9.8521159329240291</v>
      </c>
      <c r="AE959" s="39">
        <f t="shared" si="321"/>
        <v>-1.0699101224296956</v>
      </c>
      <c r="AF959" s="39">
        <f t="shared" si="322"/>
        <v>4.1675627324888413</v>
      </c>
      <c r="AG959" s="39">
        <f t="shared" si="323"/>
        <v>-0.47540587416511765</v>
      </c>
      <c r="AH959" s="39">
        <f t="shared" si="324"/>
        <v>1.2765228882640454</v>
      </c>
      <c r="AI959" s="39">
        <f t="shared" si="325"/>
        <v>-1.5620778302605398</v>
      </c>
      <c r="AJ959" s="39">
        <f t="shared" si="326"/>
        <v>4.4080303121711415</v>
      </c>
      <c r="AK959" s="37">
        <f t="shared" si="327"/>
        <v>348626.62006106658</v>
      </c>
      <c r="AL959" s="37">
        <f t="shared" si="328"/>
        <v>363001.79936446156</v>
      </c>
      <c r="AM959" s="37">
        <f t="shared" si="329"/>
        <v>334381.21269442613</v>
      </c>
    </row>
    <row r="960" spans="12:39">
      <c r="L960">
        <v>956</v>
      </c>
      <c r="M960" s="37">
        <f t="shared" si="314"/>
        <v>6.0067251536635888</v>
      </c>
      <c r="N960" s="37">
        <f t="shared" si="308"/>
        <v>24810.1383579303</v>
      </c>
      <c r="O960" s="37">
        <f t="shared" si="309"/>
        <v>6135.240322412913</v>
      </c>
      <c r="R960" s="37">
        <f t="shared" si="310"/>
        <v>-16632.90314944879</v>
      </c>
      <c r="S960" s="37">
        <f t="shared" si="311"/>
        <v>9044.6682256890381</v>
      </c>
      <c r="V960" s="37">
        <f t="shared" si="312"/>
        <v>-189.8616420697017</v>
      </c>
      <c r="W960" s="37">
        <f t="shared" si="313"/>
        <v>-16364.759677587088</v>
      </c>
      <c r="Y960" s="37">
        <f t="shared" si="315"/>
        <v>106990.33595335906</v>
      </c>
      <c r="Z960" s="37">
        <f t="shared" si="316"/>
        <v>-330454.44572375575</v>
      </c>
      <c r="AA960" s="37">
        <f t="shared" si="317"/>
        <v>601.06303879738016</v>
      </c>
      <c r="AB960" s="37">
        <f t="shared" si="318"/>
        <v>-553.29007653490714</v>
      </c>
      <c r="AC960" s="37">
        <f t="shared" si="319"/>
        <v>-3.1067617675847838</v>
      </c>
      <c r="AD960" s="37">
        <f t="shared" si="320"/>
        <v>9.8300064619010428</v>
      </c>
      <c r="AE960" s="39">
        <f t="shared" si="321"/>
        <v>-1.0704543491008798</v>
      </c>
      <c r="AF960" s="39">
        <f t="shared" si="322"/>
        <v>4.1586781135888042</v>
      </c>
      <c r="AG960" s="39">
        <f t="shared" si="323"/>
        <v>-0.47509917162550941</v>
      </c>
      <c r="AH960" s="39">
        <f t="shared" si="324"/>
        <v>1.2737160188235555</v>
      </c>
      <c r="AI960" s="39">
        <f t="shared" si="325"/>
        <v>-1.561208246858395</v>
      </c>
      <c r="AJ960" s="39">
        <f t="shared" si="326"/>
        <v>4.3976123294886822</v>
      </c>
      <c r="AK960" s="37">
        <f t="shared" si="327"/>
        <v>348970.66629407299</v>
      </c>
      <c r="AL960" s="37">
        <f t="shared" si="328"/>
        <v>363367.27293279557</v>
      </c>
      <c r="AM960" s="37">
        <f t="shared" si="329"/>
        <v>334743.69698894734</v>
      </c>
    </row>
    <row r="961" spans="12:39">
      <c r="L961">
        <v>957</v>
      </c>
      <c r="M961" s="37">
        <f t="shared" si="314"/>
        <v>6.013008338970768</v>
      </c>
      <c r="N961" s="37">
        <f t="shared" si="308"/>
        <v>24818.61839144992</v>
      </c>
      <c r="O961" s="37">
        <f t="shared" si="309"/>
        <v>6165.4900533976579</v>
      </c>
      <c r="R961" s="37">
        <f t="shared" si="310"/>
        <v>-16626.967125985055</v>
      </c>
      <c r="S961" s="37">
        <f t="shared" si="311"/>
        <v>9065.8430373783613</v>
      </c>
      <c r="V961" s="37">
        <f t="shared" si="312"/>
        <v>-181.38160855007936</v>
      </c>
      <c r="W961" s="37">
        <f t="shared" si="313"/>
        <v>-16334.509946602342</v>
      </c>
      <c r="Y961" s="37">
        <f t="shared" si="315"/>
        <v>107290.4791275368</v>
      </c>
      <c r="Z961" s="37">
        <f t="shared" si="316"/>
        <v>-330729.86201121547</v>
      </c>
      <c r="AA961" s="37">
        <f t="shared" si="317"/>
        <v>599.50965791358772</v>
      </c>
      <c r="AB961" s="37">
        <f t="shared" si="318"/>
        <v>-548.37507330395658</v>
      </c>
      <c r="AC961" s="37">
        <f t="shared" si="319"/>
        <v>-3.10615729198777</v>
      </c>
      <c r="AD961" s="37">
        <f t="shared" si="320"/>
        <v>9.8081070754263457</v>
      </c>
      <c r="AE961" s="39">
        <f t="shared" si="321"/>
        <v>-1.0710019994130318</v>
      </c>
      <c r="AF961" s="39">
        <f t="shared" si="322"/>
        <v>4.149878223785934</v>
      </c>
      <c r="AG961" s="39">
        <f t="shared" si="323"/>
        <v>-0.47479826089869709</v>
      </c>
      <c r="AH961" s="39">
        <f t="shared" si="324"/>
        <v>1.2709351636353503</v>
      </c>
      <c r="AI961" s="39">
        <f t="shared" si="325"/>
        <v>-1.5603570316760411</v>
      </c>
      <c r="AJ961" s="39">
        <f t="shared" si="326"/>
        <v>4.3872936880050606</v>
      </c>
      <c r="AK961" s="37">
        <f t="shared" si="327"/>
        <v>349312.27762911626</v>
      </c>
      <c r="AL961" s="37">
        <f t="shared" si="328"/>
        <v>363730.26399063884</v>
      </c>
      <c r="AM961" s="37">
        <f t="shared" si="329"/>
        <v>335103.71151079918</v>
      </c>
    </row>
    <row r="962" spans="12:39">
      <c r="L962">
        <v>958</v>
      </c>
      <c r="M962" s="37">
        <f t="shared" si="314"/>
        <v>6.0192915242779472</v>
      </c>
      <c r="N962" s="37">
        <f t="shared" si="308"/>
        <v>24826.908194166244</v>
      </c>
      <c r="O962" s="37">
        <f t="shared" si="309"/>
        <v>6195.7924685500493</v>
      </c>
      <c r="R962" s="37">
        <f t="shared" si="310"/>
        <v>-16621.164264083629</v>
      </c>
      <c r="S962" s="37">
        <f t="shared" si="311"/>
        <v>9087.0547279850343</v>
      </c>
      <c r="V962" s="37">
        <f t="shared" si="312"/>
        <v>-173.09180583375655</v>
      </c>
      <c r="W962" s="37">
        <f t="shared" si="313"/>
        <v>-16304.207531449951</v>
      </c>
      <c r="Y962" s="37">
        <f t="shared" si="315"/>
        <v>107589.84568683209</v>
      </c>
      <c r="Z962" s="37">
        <f t="shared" si="316"/>
        <v>-331002.82353448303</v>
      </c>
      <c r="AA962" s="37">
        <f t="shared" si="317"/>
        <v>597.95657926759384</v>
      </c>
      <c r="AB962" s="37">
        <f t="shared" si="318"/>
        <v>-543.47101976624344</v>
      </c>
      <c r="AC962" s="37">
        <f t="shared" si="319"/>
        <v>-3.1055803757958502</v>
      </c>
      <c r="AD962" s="37">
        <f t="shared" si="320"/>
        <v>9.7864158254815834</v>
      </c>
      <c r="AE962" s="39">
        <f t="shared" si="321"/>
        <v>-1.0715531518110923</v>
      </c>
      <c r="AF962" s="39">
        <f t="shared" si="322"/>
        <v>4.1411623072405961</v>
      </c>
      <c r="AG962" s="39">
        <f t="shared" si="323"/>
        <v>-0.47450311286868546</v>
      </c>
      <c r="AH962" s="39">
        <f t="shared" si="324"/>
        <v>1.2681800843405402</v>
      </c>
      <c r="AI962" s="39">
        <f t="shared" si="325"/>
        <v>-1.5595241111160723</v>
      </c>
      <c r="AJ962" s="39">
        <f t="shared" si="326"/>
        <v>4.3770734339004482</v>
      </c>
      <c r="AK962" s="37">
        <f t="shared" si="327"/>
        <v>349651.45875322813</v>
      </c>
      <c r="AL962" s="37">
        <f t="shared" si="328"/>
        <v>364090.77766524022</v>
      </c>
      <c r="AM962" s="37">
        <f t="shared" si="329"/>
        <v>335461.26130083977</v>
      </c>
    </row>
    <row r="963" spans="12:39">
      <c r="L963">
        <v>959</v>
      </c>
      <c r="M963" s="37">
        <f t="shared" si="314"/>
        <v>6.0255747095851264</v>
      </c>
      <c r="N963" s="37">
        <f t="shared" si="308"/>
        <v>24835.007438812052</v>
      </c>
      <c r="O963" s="37">
        <f t="shared" si="309"/>
        <v>6226.1463715826203</v>
      </c>
      <c r="R963" s="37">
        <f t="shared" si="310"/>
        <v>-16615.494792831563</v>
      </c>
      <c r="S963" s="37">
        <f t="shared" si="311"/>
        <v>9108.3024601078341</v>
      </c>
      <c r="V963" s="37">
        <f t="shared" si="312"/>
        <v>-164.99256118794801</v>
      </c>
      <c r="W963" s="37">
        <f t="shared" si="313"/>
        <v>-16273.853628417381</v>
      </c>
      <c r="Y963" s="37">
        <f t="shared" si="315"/>
        <v>107888.43577891892</v>
      </c>
      <c r="Z963" s="37">
        <f t="shared" si="316"/>
        <v>-331273.33574238798</v>
      </c>
      <c r="AA963" s="37">
        <f t="shared" si="317"/>
        <v>596.40378907969591</v>
      </c>
      <c r="AB963" s="37">
        <f t="shared" si="318"/>
        <v>-538.57781185350268</v>
      </c>
      <c r="AC963" s="37">
        <f t="shared" si="319"/>
        <v>-3.105030995393574</v>
      </c>
      <c r="AD963" s="37">
        <f t="shared" si="320"/>
        <v>9.7649307923283395</v>
      </c>
      <c r="AE963" s="39">
        <f t="shared" si="321"/>
        <v>-1.0721078836483058</v>
      </c>
      <c r="AF963" s="39">
        <f t="shared" si="322"/>
        <v>4.1325296189463732</v>
      </c>
      <c r="AG963" s="39">
        <f t="shared" si="323"/>
        <v>-0.4742136989093918</v>
      </c>
      <c r="AH963" s="39">
        <f t="shared" si="324"/>
        <v>1.265450545984562</v>
      </c>
      <c r="AI963" s="39">
        <f t="shared" si="325"/>
        <v>-1.5587094128358763</v>
      </c>
      <c r="AJ963" s="39">
        <f t="shared" si="326"/>
        <v>4.3669506273974044</v>
      </c>
      <c r="AK963" s="37">
        <f t="shared" si="327"/>
        <v>349988.21430683904</v>
      </c>
      <c r="AL963" s="37">
        <f t="shared" si="328"/>
        <v>364448.81903322903</v>
      </c>
      <c r="AM963" s="37">
        <f t="shared" si="329"/>
        <v>335816.35135030036</v>
      </c>
    </row>
    <row r="964" spans="12:39">
      <c r="L964">
        <v>960</v>
      </c>
      <c r="M964" s="37">
        <f t="shared" si="314"/>
        <v>6.0318578948923056</v>
      </c>
      <c r="N964" s="37">
        <f t="shared" si="308"/>
        <v>24842.915805643035</v>
      </c>
      <c r="O964" s="37">
        <f t="shared" si="309"/>
        <v>6256.5505641752543</v>
      </c>
      <c r="R964" s="37">
        <f t="shared" si="310"/>
        <v>-16609.958936049876</v>
      </c>
      <c r="S964" s="37">
        <f t="shared" si="311"/>
        <v>9129.5853949226785</v>
      </c>
      <c r="V964" s="37">
        <f t="shared" si="312"/>
        <v>-157.08419435696578</v>
      </c>
      <c r="W964" s="37">
        <f t="shared" si="313"/>
        <v>-16243.449435824747</v>
      </c>
      <c r="Y964" s="37">
        <f t="shared" si="315"/>
        <v>108186.24954458434</v>
      </c>
      <c r="Z964" s="37">
        <f t="shared" si="316"/>
        <v>-331541.40403196571</v>
      </c>
      <c r="AA964" s="37">
        <f t="shared" si="317"/>
        <v>594.85127358199918</v>
      </c>
      <c r="AB964" s="37">
        <f t="shared" si="318"/>
        <v>-533.69534645733847</v>
      </c>
      <c r="AC964" s="37">
        <f t="shared" si="319"/>
        <v>-3.1045091278318973</v>
      </c>
      <c r="AD964" s="37">
        <f t="shared" si="320"/>
        <v>9.7436500840448286</v>
      </c>
      <c r="AE964" s="39">
        <f t="shared" si="321"/>
        <v>-1.0726662712159625</v>
      </c>
      <c r="AF964" s="39">
        <f t="shared" si="322"/>
        <v>4.1239794245578878</v>
      </c>
      <c r="AG964" s="39">
        <f t="shared" si="323"/>
        <v>-0.47392999087876081</v>
      </c>
      <c r="AH964" s="39">
        <f t="shared" si="324"/>
        <v>1.2627463169619451</v>
      </c>
      <c r="AI964" s="39">
        <f t="shared" si="325"/>
        <v>-1.5579128657371739</v>
      </c>
      <c r="AJ964" s="39">
        <f t="shared" si="326"/>
        <v>4.3569243425249962</v>
      </c>
      <c r="AK964" s="37">
        <f t="shared" si="327"/>
        <v>350322.54888417659</v>
      </c>
      <c r="AL964" s="37">
        <f t="shared" si="328"/>
        <v>364804.39312107093</v>
      </c>
      <c r="AM964" s="37">
        <f t="shared" si="329"/>
        <v>336168.98660122871</v>
      </c>
    </row>
    <row r="965" spans="12:39">
      <c r="L965">
        <v>961</v>
      </c>
      <c r="M965" s="37">
        <f t="shared" si="314"/>
        <v>6.0381410801994848</v>
      </c>
      <c r="N965" s="37">
        <f t="shared" ref="N965:N1004" si="330">COS(M965)*$D$37+$D$36</f>
        <v>24850.63298245041</v>
      </c>
      <c r="O965" s="37">
        <f t="shared" ref="O965:O1004" si="331">SIN(M965)*$D$37+$E$36</f>
        <v>6287.0038460224887</v>
      </c>
      <c r="R965" s="37">
        <f t="shared" ref="R965:R1004" si="332">COS(M965)*$D$48+$D$47</f>
        <v>-16604.556912284712</v>
      </c>
      <c r="S965" s="37">
        <f t="shared" ref="S965:S1004" si="333">SIN(M965)*$D$48+$E$47</f>
        <v>9150.9026922157427</v>
      </c>
      <c r="V965" s="37">
        <f t="shared" ref="V965:V1004" si="334">COS(M965)*$D$57+$D$56</f>
        <v>-149.36701754958904</v>
      </c>
      <c r="W965" s="37">
        <f t="shared" ref="W965:W1004" si="335">SIN(M965)*$D$57+$E$56</f>
        <v>-16212.996153977512</v>
      </c>
      <c r="Y965" s="37">
        <f t="shared" si="315"/>
        <v>108483.28711773436</v>
      </c>
      <c r="Z965" s="37">
        <f t="shared" si="316"/>
        <v>-331807.03374893387</v>
      </c>
      <c r="AA965" s="37">
        <f t="shared" si="317"/>
        <v>593.29901901808319</v>
      </c>
      <c r="AB965" s="37">
        <f t="shared" si="318"/>
        <v>-528.82352141531601</v>
      </c>
      <c r="AC965" s="37">
        <f t="shared" si="319"/>
        <v>-3.1040147508414098</v>
      </c>
      <c r="AD965" s="37">
        <f t="shared" si="320"/>
        <v>9.7225718360726532</v>
      </c>
      <c r="AE965" s="39">
        <f t="shared" si="321"/>
        <v>-1.0732283897725032</v>
      </c>
      <c r="AF965" s="39">
        <f t="shared" si="322"/>
        <v>4.115511000222174</v>
      </c>
      <c r="AG965" s="39">
        <f t="shared" si="323"/>
        <v>-0.47365196111301849</v>
      </c>
      <c r="AH965" s="39">
        <f t="shared" si="324"/>
        <v>1.2600671689622402</v>
      </c>
      <c r="AI965" s="39">
        <f t="shared" si="325"/>
        <v>-1.5571343999558882</v>
      </c>
      <c r="AJ965" s="39">
        <f t="shared" si="326"/>
        <v>4.3469936668882392</v>
      </c>
      <c r="AK965" s="37">
        <f t="shared" si="327"/>
        <v>350654.46703365917</v>
      </c>
      <c r="AL965" s="37">
        <f t="shared" si="328"/>
        <v>365157.50490551745</v>
      </c>
      <c r="AM965" s="37">
        <f t="shared" si="329"/>
        <v>336519.17194692529</v>
      </c>
    </row>
    <row r="966" spans="12:39">
      <c r="L966">
        <v>962</v>
      </c>
      <c r="M966" s="37">
        <f t="shared" ref="M966:M1004" si="336">M965+$J$3</f>
        <v>6.044424265506664</v>
      </c>
      <c r="N966" s="37">
        <f t="shared" si="330"/>
        <v>24858.158664573253</v>
      </c>
      <c r="O966" s="37">
        <f t="shared" si="331"/>
        <v>6317.5050148808996</v>
      </c>
      <c r="R966" s="37">
        <f t="shared" si="332"/>
        <v>-16599.288934798722</v>
      </c>
      <c r="S966" s="37">
        <f t="shared" si="333"/>
        <v>9172.2535104166291</v>
      </c>
      <c r="V966" s="37">
        <f t="shared" si="334"/>
        <v>-141.84133542674681</v>
      </c>
      <c r="W966" s="37">
        <f t="shared" si="335"/>
        <v>-16182.494985119101</v>
      </c>
      <c r="Y966" s="37">
        <f t="shared" ref="Y966:Y1004" si="337">Y965+(AA965*$D$14)+((1/2)*AC965)*$D$14^2</f>
        <v>108779.54862539955</v>
      </c>
      <c r="Z966" s="37">
        <f t="shared" ref="Z966:Z1004" si="338">Z965+(AB965*$D$14)+((1/2)*AD965)*$D$14^2</f>
        <v>-332070.23018816207</v>
      </c>
      <c r="AA966" s="37">
        <f t="shared" ref="AA966:AA1004" si="339">AA965+(AC965*$D$14)</f>
        <v>591.74701164266253</v>
      </c>
      <c r="AB966" s="37">
        <f t="shared" ref="AB966:AB1004" si="340">AB965+(AD965*$D$14)</f>
        <v>-523.96223549727972</v>
      </c>
      <c r="AC966" s="37">
        <f t="shared" ref="AC966:AC1004" si="341">AE966+AG966+AI966</f>
        <v>-3.1035478428450234</v>
      </c>
      <c r="AD966" s="37">
        <f t="shared" ref="AD966:AD1004" si="342">AF966+AH966+AJ966</f>
        <v>9.7016942107722368</v>
      </c>
      <c r="AE966" s="39">
        <f t="shared" ref="AE966:AE1004" si="343">$D$40*($D$36-Y966)/(AK966^2+$D$41^2)^(3/2)</f>
        <v>-1.0737943135719432</v>
      </c>
      <c r="AF966" s="39">
        <f t="shared" ref="AF966:AF1004" si="344">$D$40*($E$36-Z966)/(AK966^2+$D$41^2)^(3/2)</f>
        <v>4.1071236324133</v>
      </c>
      <c r="AG966" s="39">
        <f t="shared" ref="AG966:AG1004" si="345">$D$51*($D$47-Y966)/(AL966^2+$D$52^2)^(3/2)</f>
        <v>-0.47337958242103756</v>
      </c>
      <c r="AH966" s="39">
        <f t="shared" ref="AH966:AH1004" si="346">$D$51*($E$47-Z966)/(AL966^2+$D$52^2)^(3/2)</f>
        <v>1.257412876917031</v>
      </c>
      <c r="AI966" s="39">
        <f t="shared" ref="AI966:AI1004" si="347">$D$60*($D$56-Y966)/(AM966^2+$D$61^2)^(3/2)</f>
        <v>-1.5563739468520426</v>
      </c>
      <c r="AJ966" s="39">
        <f t="shared" ref="AJ966:AJ1004" si="348">$D$60*($E$56-Z966)/(AM966^2+$D$61^2)^(3/2)</f>
        <v>4.3371577014419058</v>
      </c>
      <c r="AK966" s="37">
        <f t="shared" ref="AK966:AK1004" si="349">SQRT(($D$36-Y966)^2+($E$36-Z966)^2)</f>
        <v>350983.97325828293</v>
      </c>
      <c r="AL966" s="37">
        <f t="shared" ref="AL966:AL1004" si="350">SQRT(($D$47-Y966)^2+($E$47-Z966)^2)</f>
        <v>365508.15931404848</v>
      </c>
      <c r="AM966" s="37">
        <f t="shared" ref="AM966:AM1004" si="351">SQRT(($D$56-Y966)^2+($E$56-Z966)^2)</f>
        <v>336866.91223237367</v>
      </c>
    </row>
    <row r="967" spans="12:39">
      <c r="L967">
        <v>963</v>
      </c>
      <c r="M967" s="37">
        <f t="shared" si="336"/>
        <v>6.0507074508138432</v>
      </c>
      <c r="N967" s="37">
        <f t="shared" si="330"/>
        <v>24865.492554910517</v>
      </c>
      <c r="O967" s="37">
        <f t="shared" si="331"/>
        <v>6348.0528666165674</v>
      </c>
      <c r="R967" s="37">
        <f t="shared" si="332"/>
        <v>-16594.155211562636</v>
      </c>
      <c r="S967" s="37">
        <f t="shared" si="333"/>
        <v>9193.6370066315976</v>
      </c>
      <c r="V967" s="37">
        <f t="shared" si="334"/>
        <v>-134.50744508948083</v>
      </c>
      <c r="W967" s="37">
        <f t="shared" si="335"/>
        <v>-16151.947133383434</v>
      </c>
      <c r="Y967" s="37">
        <f t="shared" si="337"/>
        <v>109075.03418774053</v>
      </c>
      <c r="Z967" s="37">
        <f t="shared" si="338"/>
        <v>-332330.99859413435</v>
      </c>
      <c r="AA967" s="37">
        <f t="shared" si="339"/>
        <v>590.19523772124001</v>
      </c>
      <c r="AB967" s="37">
        <f t="shared" si="340"/>
        <v>-519.11138839189357</v>
      </c>
      <c r="AC967" s="37">
        <f t="shared" si="341"/>
        <v>-3.1031083829703188</v>
      </c>
      <c r="AD967" s="37">
        <f t="shared" si="342"/>
        <v>9.6810153969872452</v>
      </c>
      <c r="AE967" s="39">
        <f t="shared" si="343"/>
        <v>-1.0743641158915913</v>
      </c>
      <c r="AF967" s="39">
        <f t="shared" si="344"/>
        <v>4.0988166177700229</v>
      </c>
      <c r="AG967" s="39">
        <f t="shared" si="345"/>
        <v>-0.47311282807882327</v>
      </c>
      <c r="AH967" s="39">
        <f t="shared" si="346"/>
        <v>1.2547832189480184</v>
      </c>
      <c r="AI967" s="39">
        <f t="shared" si="347"/>
        <v>-1.5556314389999042</v>
      </c>
      <c r="AJ967" s="39">
        <f t="shared" si="348"/>
        <v>4.3274155602692037</v>
      </c>
      <c r="AK967" s="37">
        <f t="shared" si="349"/>
        <v>351311.07201600366</v>
      </c>
      <c r="AL967" s="37">
        <f t="shared" si="350"/>
        <v>365856.36122530873</v>
      </c>
      <c r="AM967" s="37">
        <f t="shared" si="351"/>
        <v>337212.21225466416</v>
      </c>
    </row>
    <row r="968" spans="12:39">
      <c r="L968">
        <v>964</v>
      </c>
      <c r="M968" s="37">
        <f t="shared" si="336"/>
        <v>6.0569906361210224</v>
      </c>
      <c r="N968" s="37">
        <f t="shared" si="330"/>
        <v>24872.634363932775</v>
      </c>
      <c r="O968" s="37">
        <f t="shared" si="331"/>
        <v>6378.6461952526115</v>
      </c>
      <c r="R968" s="37">
        <f t="shared" si="332"/>
        <v>-16589.155945247057</v>
      </c>
      <c r="S968" s="37">
        <f t="shared" si="333"/>
        <v>9215.0523366768284</v>
      </c>
      <c r="V968" s="37">
        <f t="shared" si="334"/>
        <v>-127.36563606722575</v>
      </c>
      <c r="W968" s="37">
        <f t="shared" si="335"/>
        <v>-16121.353804747388</v>
      </c>
      <c r="Y968" s="37">
        <f t="shared" si="337"/>
        <v>109369.74391805327</v>
      </c>
      <c r="Z968" s="37">
        <f t="shared" si="338"/>
        <v>-332589.34416140569</v>
      </c>
      <c r="AA968" s="37">
        <f t="shared" si="339"/>
        <v>588.64368352975487</v>
      </c>
      <c r="AB968" s="37">
        <f t="shared" si="340"/>
        <v>-514.27088069339993</v>
      </c>
      <c r="AC968" s="37">
        <f t="shared" si="341"/>
        <v>-3.1026963510616143</v>
      </c>
      <c r="AD968" s="37">
        <f t="shared" si="342"/>
        <v>9.6605336096181205</v>
      </c>
      <c r="AE968" s="39">
        <f t="shared" si="343"/>
        <v>-1.0749378690593101</v>
      </c>
      <c r="AF968" s="39">
        <f t="shared" si="344"/>
        <v>4.090589262937244</v>
      </c>
      <c r="AG968" s="39">
        <f t="shared" si="345"/>
        <v>-0.47285167182407567</v>
      </c>
      <c r="AH968" s="39">
        <f t="shared" si="346"/>
        <v>1.2521779763160557</v>
      </c>
      <c r="AI968" s="39">
        <f t="shared" si="347"/>
        <v>-1.5549068101782286</v>
      </c>
      <c r="AJ968" s="39">
        <f t="shared" si="348"/>
        <v>4.3177663703648212</v>
      </c>
      <c r="AK968" s="37">
        <f t="shared" si="349"/>
        <v>351635.76772011333</v>
      </c>
      <c r="AL968" s="37">
        <f t="shared" si="350"/>
        <v>366202.11546953791</v>
      </c>
      <c r="AM968" s="37">
        <f t="shared" si="351"/>
        <v>337555.07676341187</v>
      </c>
    </row>
    <row r="969" spans="12:39">
      <c r="L969">
        <v>965</v>
      </c>
      <c r="M969" s="37">
        <f t="shared" si="336"/>
        <v>6.0632738214282016</v>
      </c>
      <c r="N969" s="37">
        <f t="shared" si="330"/>
        <v>24879.583809693628</v>
      </c>
      <c r="O969" s="37">
        <f t="shared" si="331"/>
        <v>6409.2837930168025</v>
      </c>
      <c r="R969" s="37">
        <f t="shared" si="332"/>
        <v>-16584.29133321446</v>
      </c>
      <c r="S969" s="37">
        <f t="shared" si="333"/>
        <v>9236.4986551117618</v>
      </c>
      <c r="V969" s="37">
        <f t="shared" si="334"/>
        <v>-120.41619030637139</v>
      </c>
      <c r="W969" s="37">
        <f t="shared" si="335"/>
        <v>-16090.716206983197</v>
      </c>
      <c r="Y969" s="37">
        <f t="shared" si="337"/>
        <v>109663.67792277427</v>
      </c>
      <c r="Z969" s="37">
        <f t="shared" si="338"/>
        <v>-332845.2720350512</v>
      </c>
      <c r="AA969" s="37">
        <f t="shared" si="339"/>
        <v>587.09233535422402</v>
      </c>
      <c r="AB969" s="37">
        <f t="shared" si="340"/>
        <v>-509.44061388859086</v>
      </c>
      <c r="AC969" s="37">
        <f t="shared" si="341"/>
        <v>-3.1023117276915473</v>
      </c>
      <c r="AD969" s="37">
        <f t="shared" si="342"/>
        <v>9.6402470892035232</v>
      </c>
      <c r="AE969" s="39">
        <f t="shared" si="343"/>
        <v>-1.0755156444799499</v>
      </c>
      <c r="AF969" s="39">
        <f t="shared" si="344"/>
        <v>4.0824408844097544</v>
      </c>
      <c r="AG969" s="39">
        <f t="shared" si="345"/>
        <v>-0.47259608785091139</v>
      </c>
      <c r="AH969" s="39">
        <f t="shared" si="346"/>
        <v>1.2495969333713308</v>
      </c>
      <c r="AI969" s="39">
        <f t="shared" si="347"/>
        <v>-1.554199995360686</v>
      </c>
      <c r="AJ969" s="39">
        <f t="shared" si="348"/>
        <v>4.3082092714224389</v>
      </c>
      <c r="AK969" s="37">
        <f t="shared" si="349"/>
        <v>351958.06473961071</v>
      </c>
      <c r="AL969" s="37">
        <f t="shared" si="350"/>
        <v>366545.42682899372</v>
      </c>
      <c r="AM969" s="37">
        <f t="shared" si="351"/>
        <v>337895.51046116813</v>
      </c>
    </row>
    <row r="970" spans="12:39">
      <c r="L970">
        <v>966</v>
      </c>
      <c r="M970" s="37">
        <f t="shared" si="336"/>
        <v>6.0695570067353808</v>
      </c>
      <c r="N970" s="37">
        <f t="shared" si="330"/>
        <v>24886.340617840862</v>
      </c>
      <c r="O970" s="37">
        <f t="shared" si="331"/>
        <v>6439.9644503892396</v>
      </c>
      <c r="R970" s="37">
        <f t="shared" si="332"/>
        <v>-16579.561567511399</v>
      </c>
      <c r="S970" s="37">
        <f t="shared" si="333"/>
        <v>9257.9751152724675</v>
      </c>
      <c r="V970" s="37">
        <f t="shared" si="334"/>
        <v>-113.65938215913866</v>
      </c>
      <c r="W970" s="37">
        <f t="shared" si="335"/>
        <v>-16060.03554961076</v>
      </c>
      <c r="Y970" s="37">
        <f t="shared" si="337"/>
        <v>109956.83630148541</v>
      </c>
      <c r="Z970" s="37">
        <f t="shared" si="338"/>
        <v>-333098.78731110931</v>
      </c>
      <c r="AA970" s="37">
        <f t="shared" si="339"/>
        <v>585.54117949037823</v>
      </c>
      <c r="AB970" s="37">
        <f t="shared" si="340"/>
        <v>-504.6204903439891</v>
      </c>
      <c r="AC970" s="37">
        <f t="shared" si="341"/>
        <v>-3.1019544941725381</v>
      </c>
      <c r="AD970" s="37">
        <f t="shared" si="342"/>
        <v>9.6201541015109591</v>
      </c>
      <c r="AE970" s="39">
        <f t="shared" si="343"/>
        <v>-1.0760975126614156</v>
      </c>
      <c r="AF970" s="39">
        <f t="shared" si="344"/>
        <v>4.074370808379876</v>
      </c>
      <c r="AG970" s="39">
        <f t="shared" si="345"/>
        <v>-0.47234605080463499</v>
      </c>
      <c r="AH970" s="39">
        <f t="shared" si="346"/>
        <v>1.2470398775043858</v>
      </c>
      <c r="AI970" s="39">
        <f t="shared" si="347"/>
        <v>-1.5535109307064876</v>
      </c>
      <c r="AJ970" s="39">
        <f t="shared" si="348"/>
        <v>4.2987434156266975</v>
      </c>
      <c r="AK970" s="37">
        <f t="shared" si="349"/>
        <v>352277.96739956719</v>
      </c>
      <c r="AL970" s="37">
        <f t="shared" si="350"/>
        <v>366886.30003837007</v>
      </c>
      <c r="AM970" s="37">
        <f t="shared" si="351"/>
        <v>338233.51800382655</v>
      </c>
    </row>
    <row r="971" spans="12:39">
      <c r="L971">
        <v>967</v>
      </c>
      <c r="M971" s="37">
        <f t="shared" si="336"/>
        <v>6.07584019204256</v>
      </c>
      <c r="N971" s="37">
        <f t="shared" si="330"/>
        <v>24892.904521627257</v>
      </c>
      <c r="O971" s="37">
        <f t="shared" si="331"/>
        <v>6470.6869561501035</v>
      </c>
      <c r="R971" s="37">
        <f t="shared" si="332"/>
        <v>-16574.966834860919</v>
      </c>
      <c r="S971" s="37">
        <f t="shared" si="333"/>
        <v>9279.4808693050727</v>
      </c>
      <c r="V971" s="37">
        <f t="shared" si="334"/>
        <v>-107.09547837274204</v>
      </c>
      <c r="W971" s="37">
        <f t="shared" si="335"/>
        <v>-16029.313043849896</v>
      </c>
      <c r="Y971" s="37">
        <f t="shared" si="337"/>
        <v>110249.21914691884</v>
      </c>
      <c r="Z971" s="37">
        <f t="shared" si="338"/>
        <v>-333349.89503701864</v>
      </c>
      <c r="AA971" s="37">
        <f t="shared" si="339"/>
        <v>583.99020224329195</v>
      </c>
      <c r="AB971" s="37">
        <f t="shared" si="340"/>
        <v>-499.81041329323364</v>
      </c>
      <c r="AC971" s="37">
        <f t="shared" si="341"/>
        <v>-3.1016246325677268</v>
      </c>
      <c r="AD971" s="37">
        <f t="shared" si="342"/>
        <v>9.6002529371347745</v>
      </c>
      <c r="AE971" s="39">
        <f t="shared" si="343"/>
        <v>-1.0766835432399966</v>
      </c>
      <c r="AF971" s="39">
        <f t="shared" si="344"/>
        <v>4.066378370587457</v>
      </c>
      <c r="AG971" s="39">
        <f t="shared" si="345"/>
        <v>-0.47210153577665043</v>
      </c>
      <c r="AH971" s="39">
        <f t="shared" si="346"/>
        <v>1.2445065990982009</v>
      </c>
      <c r="AI971" s="39">
        <f t="shared" si="347"/>
        <v>-1.5528395535510797</v>
      </c>
      <c r="AJ971" s="39">
        <f t="shared" si="348"/>
        <v>4.2893679674491167</v>
      </c>
      <c r="AK971" s="37">
        <f t="shared" si="349"/>
        <v>352595.47998148703</v>
      </c>
      <c r="AL971" s="37">
        <f t="shared" si="350"/>
        <v>367224.73978520813</v>
      </c>
      <c r="AM971" s="37">
        <f t="shared" si="351"/>
        <v>338569.10400102264</v>
      </c>
    </row>
    <row r="972" spans="12:39">
      <c r="L972">
        <v>968</v>
      </c>
      <c r="M972" s="37">
        <f t="shared" si="336"/>
        <v>6.0821233773497392</v>
      </c>
      <c r="N972" s="37">
        <f t="shared" si="330"/>
        <v>24899.275261921135</v>
      </c>
      <c r="O972" s="37">
        <f t="shared" si="331"/>
        <v>6501.4500974274724</v>
      </c>
      <c r="R972" s="37">
        <f t="shared" si="332"/>
        <v>-16570.507316655207</v>
      </c>
      <c r="S972" s="37">
        <f t="shared" si="333"/>
        <v>9301.0150681992309</v>
      </c>
      <c r="V972" s="37">
        <f t="shared" si="334"/>
        <v>-100.72473807886581</v>
      </c>
      <c r="W972" s="37">
        <f t="shared" si="335"/>
        <v>-15998.549902572528</v>
      </c>
      <c r="Y972" s="37">
        <f t="shared" si="337"/>
        <v>110540.82654496141</v>
      </c>
      <c r="Z972" s="37">
        <f t="shared" si="338"/>
        <v>-333598.6002120481</v>
      </c>
      <c r="AA972" s="37">
        <f t="shared" si="339"/>
        <v>582.43938992700805</v>
      </c>
      <c r="AB972" s="37">
        <f t="shared" si="340"/>
        <v>-495.01028682466625</v>
      </c>
      <c r="AC972" s="37">
        <f t="shared" si="341"/>
        <v>-3.1013221257018175</v>
      </c>
      <c r="AD972" s="37">
        <f t="shared" si="342"/>
        <v>9.5805419111028627</v>
      </c>
      <c r="AE972" s="39">
        <f t="shared" si="343"/>
        <v>-1.0772738050052451</v>
      </c>
      <c r="AF972" s="39">
        <f t="shared" si="344"/>
        <v>4.0584629161731991</v>
      </c>
      <c r="AG972" s="39">
        <f t="shared" si="345"/>
        <v>-0.47186251829946818</v>
      </c>
      <c r="AH972" s="39">
        <f t="shared" si="346"/>
        <v>1.2419968914812047</v>
      </c>
      <c r="AI972" s="39">
        <f t="shared" si="347"/>
        <v>-1.5521858023971042</v>
      </c>
      <c r="AJ972" s="39">
        <f t="shared" si="348"/>
        <v>4.2800821034484597</v>
      </c>
      <c r="AK972" s="37">
        <f t="shared" si="349"/>
        <v>352910.60672366229</v>
      </c>
      <c r="AL972" s="37">
        <f t="shared" si="350"/>
        <v>367560.75071030174</v>
      </c>
      <c r="AM972" s="37">
        <f t="shared" si="351"/>
        <v>338902.27301652805</v>
      </c>
    </row>
    <row r="973" spans="12:39">
      <c r="L973">
        <v>969</v>
      </c>
      <c r="M973" s="37">
        <f t="shared" si="336"/>
        <v>6.0884065626569184</v>
      </c>
      <c r="N973" s="37">
        <f t="shared" si="330"/>
        <v>24905.452587216572</v>
      </c>
      <c r="O973" s="37">
        <f t="shared" si="331"/>
        <v>6532.2526597452033</v>
      </c>
      <c r="R973" s="37">
        <f t="shared" si="332"/>
        <v>-16566.183188948398</v>
      </c>
      <c r="S973" s="37">
        <f t="shared" si="333"/>
        <v>9322.5768618216425</v>
      </c>
      <c r="V973" s="37">
        <f t="shared" si="334"/>
        <v>-94.547412783427717</v>
      </c>
      <c r="W973" s="37">
        <f t="shared" si="335"/>
        <v>-15967.747340254797</v>
      </c>
      <c r="Y973" s="37">
        <f t="shared" si="337"/>
        <v>110831.6585746592</v>
      </c>
      <c r="Z973" s="37">
        <f t="shared" si="338"/>
        <v>-333844.90778772155</v>
      </c>
      <c r="AA973" s="37">
        <f t="shared" si="339"/>
        <v>580.88872886415709</v>
      </c>
      <c r="AB973" s="37">
        <f t="shared" si="340"/>
        <v>-490.22001586911483</v>
      </c>
      <c r="AC973" s="37">
        <f t="shared" si="341"/>
        <v>-3.1010469571714498</v>
      </c>
      <c r="AD973" s="37">
        <f t="shared" si="342"/>
        <v>9.5610193624905691</v>
      </c>
      <c r="AE973" s="39">
        <f t="shared" si="343"/>
        <v>-1.0778683659242487</v>
      </c>
      <c r="AF973" s="39">
        <f t="shared" si="344"/>
        <v>4.0506237995345913</v>
      </c>
      <c r="AG973" s="39">
        <f t="shared" si="345"/>
        <v>-0.47162897434178597</v>
      </c>
      <c r="AH973" s="39">
        <f t="shared" si="346"/>
        <v>1.2395105508811404</v>
      </c>
      <c r="AI973" s="39">
        <f t="shared" si="347"/>
        <v>-1.551549616905415</v>
      </c>
      <c r="AJ973" s="39">
        <f t="shared" si="348"/>
        <v>4.270885012074837</v>
      </c>
      <c r="AK973" s="37">
        <f t="shared" si="349"/>
        <v>353223.35182152322</v>
      </c>
      <c r="AL973" s="37">
        <f t="shared" si="350"/>
        <v>367894.33740809729</v>
      </c>
      <c r="AM973" s="37">
        <f t="shared" si="351"/>
        <v>339233.02956863894</v>
      </c>
    </row>
    <row r="974" spans="12:39">
      <c r="L974">
        <v>970</v>
      </c>
      <c r="M974" s="37">
        <f t="shared" si="336"/>
        <v>6.0946897479640976</v>
      </c>
      <c r="N974" s="37">
        <f t="shared" si="330"/>
        <v>24911.436253643347</v>
      </c>
      <c r="O974" s="37">
        <f t="shared" si="331"/>
        <v>6563.0934270708794</v>
      </c>
      <c r="R974" s="37">
        <f t="shared" si="332"/>
        <v>-16561.994622449656</v>
      </c>
      <c r="S974" s="37">
        <f t="shared" si="333"/>
        <v>9344.1653989496153</v>
      </c>
      <c r="V974" s="37">
        <f t="shared" si="334"/>
        <v>-88.563746356650881</v>
      </c>
      <c r="W974" s="37">
        <f t="shared" si="335"/>
        <v>-15936.906572929121</v>
      </c>
      <c r="Y974" s="37">
        <f t="shared" si="337"/>
        <v>111121.71530822164</v>
      </c>
      <c r="Z974" s="37">
        <f t="shared" si="338"/>
        <v>-334088.82266823581</v>
      </c>
      <c r="AA974" s="37">
        <f t="shared" si="339"/>
        <v>579.33820538557131</v>
      </c>
      <c r="AB974" s="37">
        <f t="shared" si="340"/>
        <v>-485.43950618786954</v>
      </c>
      <c r="AC974" s="37">
        <f t="shared" si="341"/>
        <v>-3.1007991113554234</v>
      </c>
      <c r="AD974" s="37">
        <f t="shared" si="342"/>
        <v>9.5416836540425898</v>
      </c>
      <c r="AE974" s="39">
        <f t="shared" si="343"/>
        <v>-1.078467293165386</v>
      </c>
      <c r="AF974" s="39">
        <f t="shared" si="344"/>
        <v>4.0428603841846726</v>
      </c>
      <c r="AG974" s="39">
        <f t="shared" si="345"/>
        <v>-0.47140088030371546</v>
      </c>
      <c r="AH974" s="39">
        <f t="shared" si="346"/>
        <v>1.2370473763799585</v>
      </c>
      <c r="AI974" s="39">
        <f t="shared" si="347"/>
        <v>-1.5509309378863219</v>
      </c>
      <c r="AJ974" s="39">
        <f t="shared" si="348"/>
        <v>4.2617758934779575</v>
      </c>
      <c r="AK974" s="37">
        <f t="shared" si="349"/>
        <v>353533.71942798333</v>
      </c>
      <c r="AL974" s="37">
        <f t="shared" si="350"/>
        <v>368225.50442708738</v>
      </c>
      <c r="AM974" s="37">
        <f t="shared" si="351"/>
        <v>339561.37813055905</v>
      </c>
    </row>
    <row r="975" spans="12:39">
      <c r="L975">
        <v>971</v>
      </c>
      <c r="M975" s="37">
        <f t="shared" si="336"/>
        <v>6.1009729332712768</v>
      </c>
      <c r="N975" s="37">
        <f t="shared" si="330"/>
        <v>24917.226024976557</v>
      </c>
      <c r="O975" s="37">
        <f t="shared" si="331"/>
        <v>6593.9711818638134</v>
      </c>
      <c r="R975" s="37">
        <f t="shared" si="332"/>
        <v>-16557.941782516409</v>
      </c>
      <c r="S975" s="37">
        <f t="shared" si="333"/>
        <v>9365.7798273046683</v>
      </c>
      <c r="V975" s="37">
        <f t="shared" si="334"/>
        <v>-82.773975023443199</v>
      </c>
      <c r="W975" s="37">
        <f t="shared" si="335"/>
        <v>-15906.028818136187</v>
      </c>
      <c r="Y975" s="37">
        <f t="shared" si="337"/>
        <v>111410.99681102551</v>
      </c>
      <c r="Z975" s="37">
        <f t="shared" si="338"/>
        <v>-334330.34971087304</v>
      </c>
      <c r="AA975" s="37">
        <f t="shared" si="339"/>
        <v>577.78780582989361</v>
      </c>
      <c r="AB975" s="37">
        <f t="shared" si="340"/>
        <v>-480.66866436084825</v>
      </c>
      <c r="AC975" s="37">
        <f t="shared" si="341"/>
        <v>-3.1005785734246487</v>
      </c>
      <c r="AD975" s="37">
        <f t="shared" si="342"/>
        <v>9.5225331718024187</v>
      </c>
      <c r="AE975" s="39">
        <f t="shared" si="343"/>
        <v>-1.0790706531216527</v>
      </c>
      <c r="AF975" s="39">
        <f t="shared" si="344"/>
        <v>4.0351720426138584</v>
      </c>
      <c r="AG975" s="39">
        <f t="shared" si="345"/>
        <v>-0.47117821301205187</v>
      </c>
      <c r="AH975" s="39">
        <f t="shared" si="346"/>
        <v>1.2346071698694541</v>
      </c>
      <c r="AI975" s="39">
        <f t="shared" si="347"/>
        <v>-1.5503297072909443</v>
      </c>
      <c r="AJ975" s="39">
        <f t="shared" si="348"/>
        <v>4.252753959319107</v>
      </c>
      <c r="AK975" s="37">
        <f t="shared" si="349"/>
        <v>353841.71365377924</v>
      </c>
      <c r="AL975" s="37">
        <f t="shared" si="350"/>
        <v>368554.25627019897</v>
      </c>
      <c r="AM975" s="37">
        <f t="shared" si="351"/>
        <v>339887.32313077676</v>
      </c>
    </row>
    <row r="976" spans="12:39">
      <c r="L976">
        <v>972</v>
      </c>
      <c r="M976" s="37">
        <f t="shared" si="336"/>
        <v>6.107256118578456</v>
      </c>
      <c r="N976" s="37">
        <f t="shared" si="330"/>
        <v>24922.821672645936</v>
      </c>
      <c r="O976" s="37">
        <f t="shared" si="331"/>
        <v>6624.8847051231169</v>
      </c>
      <c r="R976" s="37">
        <f t="shared" si="332"/>
        <v>-16554.024829147842</v>
      </c>
      <c r="S976" s="37">
        <f t="shared" si="333"/>
        <v>9387.4192935861829</v>
      </c>
      <c r="V976" s="37">
        <f t="shared" si="334"/>
        <v>-77.178327354062276</v>
      </c>
      <c r="W976" s="37">
        <f t="shared" si="335"/>
        <v>-15875.115294876883</v>
      </c>
      <c r="Y976" s="37">
        <f t="shared" si="337"/>
        <v>111699.50314161878</v>
      </c>
      <c r="Z976" s="37">
        <f t="shared" si="338"/>
        <v>-334569.493726407</v>
      </c>
      <c r="AA976" s="37">
        <f t="shared" si="339"/>
        <v>576.2375165431813</v>
      </c>
      <c r="AB976" s="37">
        <f t="shared" si="340"/>
        <v>-475.90739777494707</v>
      </c>
      <c r="AC976" s="37">
        <f t="shared" si="341"/>
        <v>-3.1003853293517398</v>
      </c>
      <c r="AD976" s="37">
        <f t="shared" si="342"/>
        <v>9.5035663247486273</v>
      </c>
      <c r="AE976" s="39">
        <f t="shared" si="343"/>
        <v>-1.0796785114333325</v>
      </c>
      <c r="AF976" s="39">
        <f t="shared" si="344"/>
        <v>4.0275581561538329</v>
      </c>
      <c r="AG976" s="39">
        <f t="shared" si="345"/>
        <v>-0.47096094971567981</v>
      </c>
      <c r="AH976" s="39">
        <f t="shared" si="346"/>
        <v>1.2321897360078755</v>
      </c>
      <c r="AI976" s="39">
        <f t="shared" si="347"/>
        <v>-1.5497458682027276</v>
      </c>
      <c r="AJ976" s="39">
        <f t="shared" si="348"/>
        <v>4.2438184325869184</v>
      </c>
      <c r="AK976" s="37">
        <f t="shared" si="349"/>
        <v>354147.33856780594</v>
      </c>
      <c r="AL976" s="37">
        <f t="shared" si="350"/>
        <v>368880.59739517572</v>
      </c>
      <c r="AM976" s="37">
        <f t="shared" si="351"/>
        <v>340210.86895343714</v>
      </c>
    </row>
    <row r="977" spans="12:39">
      <c r="L977">
        <v>973</v>
      </c>
      <c r="M977" s="37">
        <f t="shared" si="336"/>
        <v>6.1135393038856352</v>
      </c>
      <c r="N977" s="37">
        <f t="shared" si="330"/>
        <v>24928.222975744902</v>
      </c>
      <c r="O977" s="37">
        <f t="shared" si="331"/>
        <v>6655.8327764358255</v>
      </c>
      <c r="R977" s="37">
        <f t="shared" si="332"/>
        <v>-16550.243916978568</v>
      </c>
      <c r="S977" s="37">
        <f t="shared" si="333"/>
        <v>9409.0829435050782</v>
      </c>
      <c r="V977" s="37">
        <f t="shared" si="334"/>
        <v>-71.777024255095967</v>
      </c>
      <c r="W977" s="37">
        <f t="shared" si="335"/>
        <v>-15844.167223564174</v>
      </c>
      <c r="Y977" s="37">
        <f t="shared" si="337"/>
        <v>111987.23435172421</v>
      </c>
      <c r="Z977" s="37">
        <f t="shared" si="338"/>
        <v>-334806.2594795039</v>
      </c>
      <c r="AA977" s="37">
        <f t="shared" si="339"/>
        <v>574.68732387850548</v>
      </c>
      <c r="AB977" s="37">
        <f t="shared" si="340"/>
        <v>-471.15561461257278</v>
      </c>
      <c r="AC977" s="37">
        <f t="shared" si="341"/>
        <v>-3.1002193659205144</v>
      </c>
      <c r="AD977" s="37">
        <f t="shared" si="342"/>
        <v>9.4847815444388637</v>
      </c>
      <c r="AE977" s="39">
        <f t="shared" si="343"/>
        <v>-1.0802909330103676</v>
      </c>
      <c r="AF977" s="39">
        <f t="shared" si="344"/>
        <v>4.0200181148447678</v>
      </c>
      <c r="AG977" s="39">
        <f t="shared" si="345"/>
        <v>-0.4707490680810425</v>
      </c>
      <c r="AH977" s="39">
        <f t="shared" si="346"/>
        <v>1.2297948821773017</v>
      </c>
      <c r="AI977" s="39">
        <f t="shared" si="347"/>
        <v>-1.5491793648291041</v>
      </c>
      <c r="AJ977" s="39">
        <f t="shared" si="348"/>
        <v>4.234968547416794</v>
      </c>
      <c r="AK977" s="37">
        <f t="shared" si="349"/>
        <v>354450.59819744766</v>
      </c>
      <c r="AL977" s="37">
        <f t="shared" si="350"/>
        <v>369204.53221495525</v>
      </c>
      <c r="AM977" s="37">
        <f t="shared" si="351"/>
        <v>340532.01993870857</v>
      </c>
    </row>
    <row r="978" spans="12:39">
      <c r="L978">
        <v>974</v>
      </c>
      <c r="M978" s="37">
        <f t="shared" si="336"/>
        <v>6.1198224891928144</v>
      </c>
      <c r="N978" s="37">
        <f t="shared" si="330"/>
        <v>24933.429721039258</v>
      </c>
      <c r="O978" s="37">
        <f t="shared" si="331"/>
        <v>6686.814174025074</v>
      </c>
      <c r="R978" s="37">
        <f t="shared" si="332"/>
        <v>-16546.59919527252</v>
      </c>
      <c r="S978" s="37">
        <f t="shared" si="333"/>
        <v>9430.7699218175512</v>
      </c>
      <c r="V978" s="37">
        <f t="shared" si="334"/>
        <v>-66.570278960743053</v>
      </c>
      <c r="W978" s="37">
        <f t="shared" si="335"/>
        <v>-15813.185825974926</v>
      </c>
      <c r="Y978" s="37">
        <f t="shared" si="337"/>
        <v>112274.19048624273</v>
      </c>
      <c r="Z978" s="37">
        <f t="shared" si="338"/>
        <v>-335040.65168911713</v>
      </c>
      <c r="AA978" s="37">
        <f t="shared" si="339"/>
        <v>573.1372141955452</v>
      </c>
      <c r="AB978" s="37">
        <f t="shared" si="340"/>
        <v>-466.41322384035334</v>
      </c>
      <c r="AC978" s="37">
        <f t="shared" si="341"/>
        <v>-3.1000806707351742</v>
      </c>
      <c r="AD978" s="37">
        <f t="shared" si="342"/>
        <v>9.4661772846604535</v>
      </c>
      <c r="AE978" s="39">
        <f t="shared" si="343"/>
        <v>-1.0809079820540906</v>
      </c>
      <c r="AF978" s="39">
        <f t="shared" si="344"/>
        <v>4.0125513173044682</v>
      </c>
      <c r="AG978" s="39">
        <f t="shared" si="345"/>
        <v>-0.47054254618771346</v>
      </c>
      <c r="AH978" s="39">
        <f t="shared" si="346"/>
        <v>1.2274224184418738</v>
      </c>
      <c r="AI978" s="39">
        <f t="shared" si="347"/>
        <v>-1.5486301424933699</v>
      </c>
      <c r="AJ978" s="39">
        <f t="shared" si="348"/>
        <v>4.2262035489141105</v>
      </c>
      <c r="AK978" s="37">
        <f t="shared" si="349"/>
        <v>354751.49652890326</v>
      </c>
      <c r="AL978" s="37">
        <f t="shared" si="350"/>
        <v>369526.0650980408</v>
      </c>
      <c r="AM978" s="37">
        <f t="shared" si="351"/>
        <v>340850.7803831441</v>
      </c>
    </row>
    <row r="979" spans="12:39">
      <c r="L979">
        <v>975</v>
      </c>
      <c r="M979" s="37">
        <f t="shared" si="336"/>
        <v>6.1261056744999935</v>
      </c>
      <c r="N979" s="37">
        <f t="shared" si="330"/>
        <v>24938.441702975608</v>
      </c>
      <c r="O979" s="37">
        <f t="shared" si="331"/>
        <v>6717.8276747983355</v>
      </c>
      <c r="R979" s="37">
        <f t="shared" si="332"/>
        <v>-16543.090807917073</v>
      </c>
      <c r="S979" s="37">
        <f t="shared" si="333"/>
        <v>9452.4793723588355</v>
      </c>
      <c r="V979" s="37">
        <f t="shared" si="334"/>
        <v>-61.558297024392232</v>
      </c>
      <c r="W979" s="37">
        <f t="shared" si="335"/>
        <v>-15782.172325201664</v>
      </c>
      <c r="Y979" s="37">
        <f t="shared" si="337"/>
        <v>112560.37158325665</v>
      </c>
      <c r="Z979" s="37">
        <f t="shared" si="338"/>
        <v>-335272.67502887669</v>
      </c>
      <c r="AA979" s="37">
        <f t="shared" si="339"/>
        <v>571.58717386017759</v>
      </c>
      <c r="AB979" s="37">
        <f t="shared" si="340"/>
        <v>-461.68013519802309</v>
      </c>
      <c r="AC979" s="37">
        <f t="shared" si="341"/>
        <v>-3.0999692322292454</v>
      </c>
      <c r="AD979" s="37">
        <f t="shared" si="342"/>
        <v>9.4477520210878403</v>
      </c>
      <c r="AE979" s="39">
        <f t="shared" si="343"/>
        <v>-1.0815297220785973</v>
      </c>
      <c r="AF979" s="39">
        <f t="shared" si="344"/>
        <v>4.0051571706004054</v>
      </c>
      <c r="AG979" s="39">
        <f t="shared" si="345"/>
        <v>-0.47034136252407466</v>
      </c>
      <c r="AH979" s="39">
        <f t="shared" si="346"/>
        <v>1.2250721575068799</v>
      </c>
      <c r="AI979" s="39">
        <f t="shared" si="347"/>
        <v>-1.5480981476265734</v>
      </c>
      <c r="AJ979" s="39">
        <f t="shared" si="348"/>
        <v>4.2175226929805563</v>
      </c>
      <c r="AK979" s="37">
        <f t="shared" si="349"/>
        <v>355050.03750750743</v>
      </c>
      <c r="AL979" s="37">
        <f t="shared" si="350"/>
        <v>369845.20036886702</v>
      </c>
      <c r="AM979" s="37">
        <f t="shared" si="351"/>
        <v>341167.1545400375</v>
      </c>
    </row>
    <row r="980" spans="12:39">
      <c r="L980">
        <v>976</v>
      </c>
      <c r="M980" s="37">
        <f t="shared" si="336"/>
        <v>6.1323888598071727</v>
      </c>
      <c r="N980" s="37">
        <f t="shared" si="330"/>
        <v>24943.258723689491</v>
      </c>
      <c r="O980" s="37">
        <f t="shared" si="331"/>
        <v>6748.8720543957024</v>
      </c>
      <c r="R980" s="37">
        <f t="shared" si="332"/>
        <v>-16539.718893417354</v>
      </c>
      <c r="S980" s="37">
        <f t="shared" si="333"/>
        <v>9474.2104380769924</v>
      </c>
      <c r="V980" s="37">
        <f t="shared" si="334"/>
        <v>-56.741276310507601</v>
      </c>
      <c r="W980" s="37">
        <f t="shared" si="335"/>
        <v>-15751.127945604298</v>
      </c>
      <c r="Y980" s="37">
        <f t="shared" si="337"/>
        <v>112845.77767403271</v>
      </c>
      <c r="Z980" s="37">
        <f t="shared" si="338"/>
        <v>-335502.33412747306</v>
      </c>
      <c r="AA980" s="37">
        <f t="shared" si="339"/>
        <v>570.03718924406292</v>
      </c>
      <c r="AB980" s="37">
        <f t="shared" si="340"/>
        <v>-456.95625918747919</v>
      </c>
      <c r="AC980" s="37">
        <f t="shared" si="341"/>
        <v>-3.0998850396744211</v>
      </c>
      <c r="AD980" s="37">
        <f t="shared" si="342"/>
        <v>9.4295042509470566</v>
      </c>
      <c r="AE980" s="39">
        <f t="shared" si="343"/>
        <v>-1.0821562159316815</v>
      </c>
      <c r="AF980" s="39">
        <f t="shared" si="344"/>
        <v>3.997835090124227</v>
      </c>
      <c r="AG980" s="39">
        <f t="shared" si="345"/>
        <v>-0.47014549598303818</v>
      </c>
      <c r="AH980" s="39">
        <f t="shared" si="346"/>
        <v>1.2227439146785131</v>
      </c>
      <c r="AI980" s="39">
        <f t="shared" si="347"/>
        <v>-1.5475833277597013</v>
      </c>
      <c r="AJ980" s="39">
        <f t="shared" si="348"/>
        <v>4.2089252461443163</v>
      </c>
      <c r="AK980" s="37">
        <f t="shared" si="349"/>
        <v>355346.22503804736</v>
      </c>
      <c r="AL980" s="37">
        <f t="shared" si="350"/>
        <v>370161.94230816135</v>
      </c>
      <c r="AM980" s="37">
        <f t="shared" si="351"/>
        <v>341481.14661977452</v>
      </c>
    </row>
    <row r="981" spans="12:39">
      <c r="L981">
        <v>977</v>
      </c>
      <c r="M981" s="37">
        <f t="shared" si="336"/>
        <v>6.1386720451143519</v>
      </c>
      <c r="N981" s="37">
        <f t="shared" si="330"/>
        <v>24947.880593013178</v>
      </c>
      <c r="O981" s="37">
        <f t="shared" si="331"/>
        <v>6779.9460872382242</v>
      </c>
      <c r="R981" s="37">
        <f t="shared" si="332"/>
        <v>-16536.483584890775</v>
      </c>
      <c r="S981" s="37">
        <f t="shared" si="333"/>
        <v>9495.9622610667575</v>
      </c>
      <c r="V981" s="37">
        <f t="shared" si="334"/>
        <v>-52.11940698682065</v>
      </c>
      <c r="W981" s="37">
        <f t="shared" si="335"/>
        <v>-15720.053912761776</v>
      </c>
      <c r="Y981" s="37">
        <f t="shared" si="337"/>
        <v>113130.40878302477</v>
      </c>
      <c r="Z981" s="37">
        <f t="shared" si="338"/>
        <v>-335729.63356903539</v>
      </c>
      <c r="AA981" s="37">
        <f t="shared" si="339"/>
        <v>568.48724672422566</v>
      </c>
      <c r="AB981" s="37">
        <f t="shared" si="340"/>
        <v>-452.24150706200567</v>
      </c>
      <c r="AC981" s="37">
        <f t="shared" si="341"/>
        <v>-3.0998280831890441</v>
      </c>
      <c r="AD981" s="37">
        <f t="shared" si="342"/>
        <v>9.4114324926861634</v>
      </c>
      <c r="AE981" s="39">
        <f t="shared" si="343"/>
        <v>-1.0827875258152428</v>
      </c>
      <c r="AF981" s="39">
        <f t="shared" si="344"/>
        <v>3.9905844994683335</v>
      </c>
      <c r="AG981" s="39">
        <f t="shared" si="345"/>
        <v>-0.46995492585789916</v>
      </c>
      <c r="AH981" s="39">
        <f t="shared" si="346"/>
        <v>1.2204375078245224</v>
      </c>
      <c r="AI981" s="39">
        <f t="shared" si="347"/>
        <v>-1.5470856315159021</v>
      </c>
      <c r="AJ981" s="39">
        <f t="shared" si="348"/>
        <v>4.2004104853933084</v>
      </c>
      <c r="AK981" s="37">
        <f t="shared" si="349"/>
        <v>355640.0629850743</v>
      </c>
      <c r="AL981" s="37">
        <f t="shared" si="350"/>
        <v>370476.29515329958</v>
      </c>
      <c r="AM981" s="37">
        <f t="shared" si="351"/>
        <v>341792.76079017861</v>
      </c>
    </row>
    <row r="982" spans="12:39">
      <c r="L982">
        <v>978</v>
      </c>
      <c r="M982" s="37">
        <f t="shared" si="336"/>
        <v>6.1449552304215311</v>
      </c>
      <c r="N982" s="37">
        <f t="shared" si="330"/>
        <v>24952.307128483182</v>
      </c>
      <c r="O982" s="37">
        <f t="shared" si="331"/>
        <v>6811.0485465762922</v>
      </c>
      <c r="R982" s="37">
        <f t="shared" si="332"/>
        <v>-16533.385010061771</v>
      </c>
      <c r="S982" s="37">
        <f t="shared" si="333"/>
        <v>9517.733982603404</v>
      </c>
      <c r="V982" s="37">
        <f t="shared" si="334"/>
        <v>-47.692871516816012</v>
      </c>
      <c r="W982" s="37">
        <f t="shared" si="335"/>
        <v>-15688.951453423708</v>
      </c>
      <c r="Y982" s="37">
        <f t="shared" si="337"/>
        <v>113414.26492787649</v>
      </c>
      <c r="Z982" s="37">
        <f t="shared" si="338"/>
        <v>-335954.57789350481</v>
      </c>
      <c r="AA982" s="37">
        <f t="shared" si="339"/>
        <v>566.93733268263111</v>
      </c>
      <c r="AB982" s="37">
        <f t="shared" si="340"/>
        <v>-447.53579081566261</v>
      </c>
      <c r="AC982" s="37">
        <f t="shared" si="341"/>
        <v>-3.0997983537465608</v>
      </c>
      <c r="AD982" s="37">
        <f t="shared" si="342"/>
        <v>9.3935352856527032</v>
      </c>
      <c r="AE982" s="39">
        <f t="shared" si="343"/>
        <v>-1.0834237133054025</v>
      </c>
      <c r="AF982" s="39">
        <f t="shared" si="344"/>
        <v>3.9834048303052829</v>
      </c>
      <c r="AG982" s="39">
        <f t="shared" si="345"/>
        <v>-0.46976963183824799</v>
      </c>
      <c r="AH982" s="39">
        <f t="shared" si="346"/>
        <v>1.2181527573355497</v>
      </c>
      <c r="AI982" s="39">
        <f t="shared" si="347"/>
        <v>-1.5466050086029099</v>
      </c>
      <c r="AJ982" s="39">
        <f t="shared" si="348"/>
        <v>4.1919776980118693</v>
      </c>
      <c r="AK982" s="37">
        <f t="shared" si="349"/>
        <v>355931.55517321173</v>
      </c>
      <c r="AL982" s="37">
        <f t="shared" si="350"/>
        <v>370788.26309865672</v>
      </c>
      <c r="AM982" s="37">
        <f t="shared" si="351"/>
        <v>342102.00117685244</v>
      </c>
    </row>
    <row r="983" spans="12:39">
      <c r="L983">
        <v>979</v>
      </c>
      <c r="M983" s="37">
        <f t="shared" si="336"/>
        <v>6.1512384157287103</v>
      </c>
      <c r="N983" s="37">
        <f t="shared" si="330"/>
        <v>24956.538155347465</v>
      </c>
      <c r="O983" s="37">
        <f t="shared" si="331"/>
        <v>6842.1782045380678</v>
      </c>
      <c r="R983" s="37">
        <f t="shared" si="332"/>
        <v>-16530.423291256775</v>
      </c>
      <c r="S983" s="37">
        <f t="shared" si="333"/>
        <v>9539.5247431766475</v>
      </c>
      <c r="V983" s="37">
        <f t="shared" si="334"/>
        <v>-43.461844652535547</v>
      </c>
      <c r="W983" s="37">
        <f t="shared" si="335"/>
        <v>-15657.821795461932</v>
      </c>
      <c r="Y983" s="37">
        <f t="shared" si="337"/>
        <v>113697.34611942359</v>
      </c>
      <c r="Z983" s="37">
        <f t="shared" si="338"/>
        <v>-336177.17159700196</v>
      </c>
      <c r="AA983" s="37">
        <f t="shared" si="339"/>
        <v>565.38743350575783</v>
      </c>
      <c r="AB983" s="37">
        <f t="shared" si="340"/>
        <v>-442.83902317283628</v>
      </c>
      <c r="AC983" s="37">
        <f t="shared" si="341"/>
        <v>-3.0997958431836978</v>
      </c>
      <c r="AD983" s="37">
        <f t="shared" si="342"/>
        <v>9.3758111897769751</v>
      </c>
      <c r="AE983" s="39">
        <f t="shared" si="343"/>
        <v>-1.0840648393720842</v>
      </c>
      <c r="AF983" s="39">
        <f t="shared" si="344"/>
        <v>3.9762955222690368</v>
      </c>
      <c r="AG983" s="39">
        <f t="shared" si="345"/>
        <v>-0.46958959400598582</v>
      </c>
      <c r="AH983" s="39">
        <f t="shared" si="346"/>
        <v>1.2158894860872613</v>
      </c>
      <c r="AI983" s="39">
        <f t="shared" si="347"/>
        <v>-1.5461414098056279</v>
      </c>
      <c r="AJ983" s="39">
        <f t="shared" si="348"/>
        <v>4.1836261814206779</v>
      </c>
      <c r="AK983" s="37">
        <f t="shared" si="349"/>
        <v>356220.70538745803</v>
      </c>
      <c r="AL983" s="37">
        <f t="shared" si="350"/>
        <v>371097.8502959524</v>
      </c>
      <c r="AM983" s="37">
        <f t="shared" si="351"/>
        <v>342408.87186351389</v>
      </c>
    </row>
    <row r="984" spans="12:39">
      <c r="L984">
        <v>980</v>
      </c>
      <c r="M984" s="37">
        <f t="shared" si="336"/>
        <v>6.1575216010358895</v>
      </c>
      <c r="N984" s="37">
        <f t="shared" si="330"/>
        <v>24960.573506572324</v>
      </c>
      <c r="O984" s="37">
        <f t="shared" si="331"/>
        <v>6873.3338321779565</v>
      </c>
      <c r="R984" s="37">
        <f t="shared" si="332"/>
        <v>-16527.598545399374</v>
      </c>
      <c r="S984" s="37">
        <f t="shared" si="333"/>
        <v>9561.3336825245697</v>
      </c>
      <c r="V984" s="37">
        <f t="shared" si="334"/>
        <v>-39.426493427677087</v>
      </c>
      <c r="W984" s="37">
        <f t="shared" si="335"/>
        <v>-15626.666167822043</v>
      </c>
      <c r="Y984" s="37">
        <f t="shared" si="337"/>
        <v>113979.65236169606</v>
      </c>
      <c r="Z984" s="37">
        <f t="shared" si="338"/>
        <v>-336397.41913218965</v>
      </c>
      <c r="AA984" s="37">
        <f t="shared" si="339"/>
        <v>563.83753558416595</v>
      </c>
      <c r="AB984" s="37">
        <f t="shared" si="340"/>
        <v>-438.15111757794779</v>
      </c>
      <c r="AC984" s="37">
        <f t="shared" si="341"/>
        <v>-3.0998205442084625</v>
      </c>
      <c r="AD984" s="37">
        <f t="shared" si="342"/>
        <v>9.358258785261576</v>
      </c>
      <c r="AE984" s="39">
        <f t="shared" si="343"/>
        <v>-1.0847109643982984</v>
      </c>
      <c r="AF984" s="39">
        <f t="shared" si="344"/>
        <v>3.9692560228388474</v>
      </c>
      <c r="AG984" s="39">
        <f t="shared" si="345"/>
        <v>-0.4694147928313786</v>
      </c>
      <c r="AH984" s="39">
        <f t="shared" si="346"/>
        <v>1.2136475194030918</v>
      </c>
      <c r="AI984" s="39">
        <f t="shared" si="347"/>
        <v>-1.5456947869787854</v>
      </c>
      <c r="AJ984" s="39">
        <f t="shared" si="348"/>
        <v>4.1753552430196361</v>
      </c>
      <c r="AK984" s="37">
        <f t="shared" si="349"/>
        <v>356507.51737348561</v>
      </c>
      <c r="AL984" s="37">
        <f t="shared" si="350"/>
        <v>371405.06085459149</v>
      </c>
      <c r="AM984" s="37">
        <f t="shared" si="351"/>
        <v>342713.37689232739</v>
      </c>
    </row>
    <row r="985" spans="12:39">
      <c r="L985">
        <v>981</v>
      </c>
      <c r="M985" s="37">
        <f t="shared" si="336"/>
        <v>6.1638047863430687</v>
      </c>
      <c r="N985" s="37">
        <f t="shared" si="330"/>
        <v>24964.413022849003</v>
      </c>
      <c r="O985" s="37">
        <f t="shared" si="331"/>
        <v>6904.514199525127</v>
      </c>
      <c r="R985" s="37">
        <f t="shared" si="332"/>
        <v>-16524.910884005698</v>
      </c>
      <c r="S985" s="37">
        <f t="shared" si="333"/>
        <v>9583.1599396675883</v>
      </c>
      <c r="V985" s="37">
        <f t="shared" si="334"/>
        <v>-35.586977150995153</v>
      </c>
      <c r="W985" s="37">
        <f t="shared" si="335"/>
        <v>-15595.485800474873</v>
      </c>
      <c r="Y985" s="37">
        <f t="shared" si="337"/>
        <v>114261.18365192012</v>
      </c>
      <c r="Z985" s="37">
        <f t="shared" si="338"/>
        <v>-336615.32490863046</v>
      </c>
      <c r="AA985" s="37">
        <f t="shared" si="339"/>
        <v>562.28762531206166</v>
      </c>
      <c r="AB985" s="37">
        <f t="shared" si="340"/>
        <v>-433.471988185317</v>
      </c>
      <c r="AC985" s="37">
        <f t="shared" si="341"/>
        <v>-3.0998724504079758</v>
      </c>
      <c r="AD985" s="37">
        <f t="shared" si="342"/>
        <v>9.3408766722767744</v>
      </c>
      <c r="AE985" s="39">
        <f t="shared" si="343"/>
        <v>-1.0853621481989311</v>
      </c>
      <c r="AF985" s="39">
        <f t="shared" si="344"/>
        <v>3.9622857872249546</v>
      </c>
      <c r="AG985" s="39">
        <f t="shared" si="345"/>
        <v>-0.46924520916925655</v>
      </c>
      <c r="AH985" s="39">
        <f t="shared" si="346"/>
        <v>1.2114266850178632</v>
      </c>
      <c r="AI985" s="39">
        <f t="shared" si="347"/>
        <v>-1.5452650930397882</v>
      </c>
      <c r="AJ985" s="39">
        <f t="shared" si="348"/>
        <v>4.1671642000339579</v>
      </c>
      <c r="AK985" s="37">
        <f t="shared" si="349"/>
        <v>356791.99483793537</v>
      </c>
      <c r="AL985" s="37">
        <f t="shared" si="350"/>
        <v>371709.89884200029</v>
      </c>
      <c r="AM985" s="37">
        <f t="shared" si="351"/>
        <v>343015.52026423084</v>
      </c>
    </row>
    <row r="986" spans="12:39">
      <c r="L986">
        <v>982</v>
      </c>
      <c r="M986" s="37">
        <f t="shared" si="336"/>
        <v>6.1700879716502479</v>
      </c>
      <c r="N986" s="37">
        <f t="shared" si="330"/>
        <v>24968.056552599981</v>
      </c>
      <c r="O986" s="37">
        <f t="shared" si="331"/>
        <v>6935.7180756320649</v>
      </c>
      <c r="R986" s="37">
        <f t="shared" si="332"/>
        <v>-16522.360413180013</v>
      </c>
      <c r="S986" s="37">
        <f t="shared" si="333"/>
        <v>9605.0026529424449</v>
      </c>
      <c r="V986" s="37">
        <f t="shared" si="334"/>
        <v>-31.943447400018158</v>
      </c>
      <c r="W986" s="37">
        <f t="shared" si="335"/>
        <v>-15564.281924367935</v>
      </c>
      <c r="Y986" s="37">
        <f t="shared" si="337"/>
        <v>114541.93998051983</v>
      </c>
      <c r="Z986" s="37">
        <f t="shared" si="338"/>
        <v>-336830.89329313906</v>
      </c>
      <c r="AA986" s="37">
        <f t="shared" si="339"/>
        <v>560.7376890868577</v>
      </c>
      <c r="AB986" s="37">
        <f t="shared" si="340"/>
        <v>-428.80154984917863</v>
      </c>
      <c r="AC986" s="37">
        <f t="shared" si="341"/>
        <v>-3.0999515562562312</v>
      </c>
      <c r="AD986" s="37">
        <f t="shared" si="342"/>
        <v>9.323663470662142</v>
      </c>
      <c r="AE986" s="39">
        <f t="shared" si="343"/>
        <v>-1.0860184500392924</v>
      </c>
      <c r="AF986" s="39">
        <f t="shared" si="344"/>
        <v>3.9553842782569451</v>
      </c>
      <c r="AG986" s="39">
        <f t="shared" si="345"/>
        <v>-0.4690808242552203</v>
      </c>
      <c r="AH986" s="39">
        <f t="shared" si="346"/>
        <v>1.2092268130419108</v>
      </c>
      <c r="AI986" s="39">
        <f t="shared" si="347"/>
        <v>-1.5448522819617188</v>
      </c>
      <c r="AJ986" s="39">
        <f t="shared" si="348"/>
        <v>4.1590523793632865</v>
      </c>
      <c r="AK986" s="37">
        <f t="shared" si="349"/>
        <v>357074.14144870715</v>
      </c>
      <c r="AL986" s="37">
        <f t="shared" si="350"/>
        <v>372012.36828395724</v>
      </c>
      <c r="AM986" s="37">
        <f t="shared" si="351"/>
        <v>343315.30593925767</v>
      </c>
    </row>
    <row r="987" spans="12:39">
      <c r="L987">
        <v>983</v>
      </c>
      <c r="M987" s="37">
        <f t="shared" si="336"/>
        <v>6.1763711569574271</v>
      </c>
      <c r="N987" s="37">
        <f t="shared" si="330"/>
        <v>24971.503951984938</v>
      </c>
      <c r="O987" s="37">
        <f t="shared" si="331"/>
        <v>6966.9442286231715</v>
      </c>
      <c r="R987" s="37">
        <f t="shared" si="332"/>
        <v>-16519.947233610543</v>
      </c>
      <c r="S987" s="37">
        <f t="shared" si="333"/>
        <v>9626.8609600362197</v>
      </c>
      <c r="V987" s="37">
        <f t="shared" si="334"/>
        <v>-28.496048015062115</v>
      </c>
      <c r="W987" s="37">
        <f t="shared" si="335"/>
        <v>-15533.055771376828</v>
      </c>
      <c r="Y987" s="37">
        <f t="shared" si="337"/>
        <v>114821.92133111872</v>
      </c>
      <c r="Z987" s="37">
        <f t="shared" si="338"/>
        <v>-337044.12861012982</v>
      </c>
      <c r="AA987" s="37">
        <f t="shared" si="339"/>
        <v>559.1877133087296</v>
      </c>
      <c r="AB987" s="37">
        <f t="shared" si="340"/>
        <v>-424.13971811384755</v>
      </c>
      <c r="AC987" s="37">
        <f t="shared" si="341"/>
        <v>-3.1000578571216186</v>
      </c>
      <c r="AD987" s="37">
        <f t="shared" si="342"/>
        <v>9.306617819633523</v>
      </c>
      <c r="AE987" s="39">
        <f t="shared" si="343"/>
        <v>-1.0866799286531568</v>
      </c>
      <c r="AF987" s="39">
        <f t="shared" si="344"/>
        <v>3.948550966273725</v>
      </c>
      <c r="AG987" s="39">
        <f t="shared" si="345"/>
        <v>-0.46892161970200408</v>
      </c>
      <c r="AH987" s="39">
        <f t="shared" si="346"/>
        <v>1.2070477359260929</v>
      </c>
      <c r="AI987" s="39">
        <f t="shared" si="347"/>
        <v>-1.5444563087664576</v>
      </c>
      <c r="AJ987" s="39">
        <f t="shared" si="348"/>
        <v>4.1510191174337061</v>
      </c>
      <c r="AK987" s="37">
        <f t="shared" si="349"/>
        <v>357353.96083524602</v>
      </c>
      <c r="AL987" s="37">
        <f t="shared" si="350"/>
        <v>372312.47316491924</v>
      </c>
      <c r="AM987" s="37">
        <f t="shared" si="351"/>
        <v>343612.73783685412</v>
      </c>
    </row>
    <row r="988" spans="12:39">
      <c r="L988">
        <v>984</v>
      </c>
      <c r="M988" s="37">
        <f t="shared" si="336"/>
        <v>6.1826543422646063</v>
      </c>
      <c r="N988" s="37">
        <f t="shared" si="330"/>
        <v>24974.755084906446</v>
      </c>
      <c r="O988" s="37">
        <f t="shared" si="331"/>
        <v>6998.1914257433946</v>
      </c>
      <c r="R988" s="37">
        <f t="shared" si="332"/>
        <v>-16517.671440565486</v>
      </c>
      <c r="S988" s="37">
        <f t="shared" si="333"/>
        <v>9648.733998020376</v>
      </c>
      <c r="V988" s="37">
        <f t="shared" si="334"/>
        <v>-25.244915093552663</v>
      </c>
      <c r="W988" s="37">
        <f t="shared" si="335"/>
        <v>-15501.808574256605</v>
      </c>
      <c r="Y988" s="37">
        <f t="shared" si="337"/>
        <v>115101.12768054094</v>
      </c>
      <c r="Z988" s="37">
        <f t="shared" si="338"/>
        <v>-337255.03514195926</v>
      </c>
      <c r="AA988" s="37">
        <f t="shared" si="339"/>
        <v>557.63768438016882</v>
      </c>
      <c r="AB988" s="37">
        <f t="shared" si="340"/>
        <v>-419.48640920403079</v>
      </c>
      <c r="AC988" s="37">
        <f t="shared" si="341"/>
        <v>-3.1001913492743016</v>
      </c>
      <c r="AD988" s="37">
        <f t="shared" si="342"/>
        <v>9.289738377495727</v>
      </c>
      <c r="AE988" s="39">
        <f t="shared" si="343"/>
        <v>-1.0873466422605458</v>
      </c>
      <c r="AF988" s="39">
        <f t="shared" si="344"/>
        <v>3.9417853290159184</v>
      </c>
      <c r="AG988" s="39">
        <f t="shared" si="345"/>
        <v>-0.46876757749583425</v>
      </c>
      <c r="AH988" s="39">
        <f t="shared" si="346"/>
        <v>1.2048892884272573</v>
      </c>
      <c r="AI988" s="39">
        <f t="shared" si="347"/>
        <v>-1.5440771295179219</v>
      </c>
      <c r="AJ988" s="39">
        <f t="shared" si="348"/>
        <v>4.1430637600525513</v>
      </c>
      <c r="AK988" s="37">
        <f t="shared" si="349"/>
        <v>357631.45658882428</v>
      </c>
      <c r="AL988" s="37">
        <f t="shared" si="350"/>
        <v>372610.2174283432</v>
      </c>
      <c r="AM988" s="37">
        <f t="shared" si="351"/>
        <v>343907.81983619247</v>
      </c>
    </row>
    <row r="989" spans="12:39">
      <c r="L989">
        <v>985</v>
      </c>
      <c r="M989" s="37">
        <f t="shared" si="336"/>
        <v>6.1889375275717855</v>
      </c>
      <c r="N989" s="37">
        <f t="shared" si="330"/>
        <v>24977.809823015348</v>
      </c>
      <c r="O989" s="37">
        <f t="shared" si="331"/>
        <v>7029.458433406895</v>
      </c>
      <c r="R989" s="37">
        <f t="shared" si="332"/>
        <v>-16515.533123889254</v>
      </c>
      <c r="S989" s="37">
        <f t="shared" si="333"/>
        <v>9670.6209033848263</v>
      </c>
      <c r="V989" s="37">
        <f t="shared" si="334"/>
        <v>-22.190176984650861</v>
      </c>
      <c r="W989" s="37">
        <f t="shared" si="335"/>
        <v>-15470.541566593105</v>
      </c>
      <c r="Y989" s="37">
        <f t="shared" si="337"/>
        <v>115379.55899881237</v>
      </c>
      <c r="Z989" s="37">
        <f t="shared" si="338"/>
        <v>-337463.61712926411</v>
      </c>
      <c r="AA989" s="37">
        <f t="shared" si="339"/>
        <v>556.08758870553163</v>
      </c>
      <c r="AB989" s="37">
        <f t="shared" si="340"/>
        <v>-414.84154001528293</v>
      </c>
      <c r="AC989" s="37">
        <f t="shared" si="341"/>
        <v>-3.1003520298935472</v>
      </c>
      <c r="AD989" s="37">
        <f t="shared" si="342"/>
        <v>9.2730238213608889</v>
      </c>
      <c r="AE989" s="39">
        <f t="shared" si="343"/>
        <v>-1.0880186485851346</v>
      </c>
      <c r="AF989" s="39">
        <f t="shared" si="344"/>
        <v>3.9350868515202002</v>
      </c>
      <c r="AG989" s="39">
        <f t="shared" si="345"/>
        <v>-0.46861867999292228</v>
      </c>
      <c r="AH989" s="39">
        <f t="shared" si="346"/>
        <v>1.2027513075745082</v>
      </c>
      <c r="AI989" s="39">
        <f t="shared" si="347"/>
        <v>-1.5437147013154904</v>
      </c>
      <c r="AJ989" s="39">
        <f t="shared" si="348"/>
        <v>4.1351856622661805</v>
      </c>
      <c r="AK989" s="37">
        <f t="shared" si="349"/>
        <v>357906.63226281997</v>
      </c>
      <c r="AL989" s="37">
        <f t="shared" si="350"/>
        <v>372905.60497700318</v>
      </c>
      <c r="AM989" s="37">
        <f t="shared" si="351"/>
        <v>344200.55577647925</v>
      </c>
    </row>
    <row r="990" spans="12:39">
      <c r="L990">
        <v>986</v>
      </c>
      <c r="M990" s="37">
        <f t="shared" si="336"/>
        <v>6.1952207128789647</v>
      </c>
      <c r="N990" s="37">
        <f t="shared" si="330"/>
        <v>24980.668045715815</v>
      </c>
      <c r="O990" s="37">
        <f t="shared" si="331"/>
        <v>7060.7440172457482</v>
      </c>
      <c r="R990" s="37">
        <f t="shared" si="332"/>
        <v>-16513.532367998931</v>
      </c>
      <c r="S990" s="37">
        <f t="shared" si="333"/>
        <v>9692.5208120720235</v>
      </c>
      <c r="V990" s="37">
        <f t="shared" si="334"/>
        <v>-19.331954284184576</v>
      </c>
      <c r="W990" s="37">
        <f t="shared" si="335"/>
        <v>-15439.255982754252</v>
      </c>
      <c r="Y990" s="37">
        <f t="shared" si="337"/>
        <v>115657.2152491614</v>
      </c>
      <c r="Z990" s="37">
        <f t="shared" si="338"/>
        <v>-337669.87877129408</v>
      </c>
      <c r="AA990" s="37">
        <f t="shared" si="339"/>
        <v>554.5374126905848</v>
      </c>
      <c r="AB990" s="37">
        <f t="shared" si="340"/>
        <v>-410.20502810460249</v>
      </c>
      <c r="AC990" s="37">
        <f t="shared" si="341"/>
        <v>-3.1005398970747873</v>
      </c>
      <c r="AD990" s="37">
        <f t="shared" si="342"/>
        <v>9.2564728468718123</v>
      </c>
      <c r="AE990" s="39">
        <f t="shared" si="343"/>
        <v>-1.0886960048712619</v>
      </c>
      <c r="AF990" s="39">
        <f t="shared" si="344"/>
        <v>3.9284550260154063</v>
      </c>
      <c r="AG990" s="39">
        <f t="shared" si="345"/>
        <v>-0.46847490991599722</v>
      </c>
      <c r="AH990" s="39">
        <f t="shared" si="346"/>
        <v>1.2006336326360236</v>
      </c>
      <c r="AI990" s="39">
        <f t="shared" si="347"/>
        <v>-1.5433689822875278</v>
      </c>
      <c r="AJ990" s="39">
        <f t="shared" si="348"/>
        <v>4.1273841882203834</v>
      </c>
      <c r="AK990" s="37">
        <f t="shared" si="349"/>
        <v>358179.4913729906</v>
      </c>
      <c r="AL990" s="37">
        <f t="shared" si="350"/>
        <v>373198.63967330271</v>
      </c>
      <c r="AM990" s="37">
        <f t="shared" si="351"/>
        <v>344490.94945725944</v>
      </c>
    </row>
    <row r="991" spans="12:39">
      <c r="L991">
        <v>987</v>
      </c>
      <c r="M991" s="37">
        <f t="shared" si="336"/>
        <v>6.2015038981861439</v>
      </c>
      <c r="N991" s="37">
        <f t="shared" si="330"/>
        <v>24983.329640170105</v>
      </c>
      <c r="O991" s="37">
        <f t="shared" si="331"/>
        <v>7092.046942158674</v>
      </c>
      <c r="R991" s="37">
        <f t="shared" si="332"/>
        <v>-16511.669251880925</v>
      </c>
      <c r="S991" s="37">
        <f t="shared" si="333"/>
        <v>9714.4328595110728</v>
      </c>
      <c r="V991" s="37">
        <f t="shared" si="334"/>
        <v>-16.670359829894551</v>
      </c>
      <c r="W991" s="37">
        <f t="shared" si="335"/>
        <v>-15407.953057841325</v>
      </c>
      <c r="Y991" s="37">
        <f t="shared" si="337"/>
        <v>115934.09638801955</v>
      </c>
      <c r="Z991" s="37">
        <f t="shared" si="338"/>
        <v>-337873.82422624051</v>
      </c>
      <c r="AA991" s="37">
        <f t="shared" si="339"/>
        <v>552.98714274204735</v>
      </c>
      <c r="AB991" s="37">
        <f t="shared" si="340"/>
        <v>-405.57679168116658</v>
      </c>
      <c r="AC991" s="37">
        <f t="shared" si="341"/>
        <v>-3.1007549498367899</v>
      </c>
      <c r="AD991" s="37">
        <f t="shared" si="342"/>
        <v>9.2400841679312933</v>
      </c>
      <c r="AE991" s="39">
        <f t="shared" si="343"/>
        <v>-1.0893787679007376</v>
      </c>
      <c r="AF991" s="39">
        <f t="shared" si="344"/>
        <v>3.9218893518210467</v>
      </c>
      <c r="AG991" s="39">
        <f t="shared" si="345"/>
        <v>-0.4683362503509475</v>
      </c>
      <c r="AH991" s="39">
        <f t="shared" si="346"/>
        <v>1.1985361050865901</v>
      </c>
      <c r="AI991" s="39">
        <f t="shared" si="347"/>
        <v>-1.5430399315851051</v>
      </c>
      <c r="AJ991" s="39">
        <f t="shared" si="348"/>
        <v>4.1196587110236571</v>
      </c>
      <c r="AK991" s="37">
        <f t="shared" si="349"/>
        <v>358450.03739774378</v>
      </c>
      <c r="AL991" s="37">
        <f t="shared" si="350"/>
        <v>373489.32533958275</v>
      </c>
      <c r="AM991" s="37">
        <f t="shared" si="351"/>
        <v>344779.0046387164</v>
      </c>
    </row>
    <row r="992" spans="12:39">
      <c r="L992">
        <v>988</v>
      </c>
      <c r="M992" s="37">
        <f t="shared" si="336"/>
        <v>6.2077870834933231</v>
      </c>
      <c r="N992" s="37">
        <f t="shared" si="330"/>
        <v>24985.794501303029</v>
      </c>
      <c r="O992" s="37">
        <f t="shared" si="331"/>
        <v>7123.3659723597966</v>
      </c>
      <c r="R992" s="37">
        <f t="shared" si="332"/>
        <v>-16509.943849087882</v>
      </c>
      <c r="S992" s="37">
        <f t="shared" si="333"/>
        <v>9736.3561806518574</v>
      </c>
      <c r="V992" s="37">
        <f t="shared" si="334"/>
        <v>-14.205498696971517</v>
      </c>
      <c r="W992" s="37">
        <f t="shared" si="335"/>
        <v>-15376.634027640204</v>
      </c>
      <c r="Y992" s="37">
        <f t="shared" si="337"/>
        <v>116210.20236502185</v>
      </c>
      <c r="Z992" s="37">
        <f t="shared" si="338"/>
        <v>-338075.45761156006</v>
      </c>
      <c r="AA992" s="37">
        <f t="shared" si="339"/>
        <v>551.43676526712898</v>
      </c>
      <c r="AB992" s="37">
        <f t="shared" si="340"/>
        <v>-400.95674959720094</v>
      </c>
      <c r="AC992" s="37">
        <f t="shared" si="341"/>
        <v>-3.1009971881283711</v>
      </c>
      <c r="AD992" s="37">
        <f t="shared" si="342"/>
        <v>9.2238565164354966</v>
      </c>
      <c r="AE992" s="39">
        <f t="shared" si="343"/>
        <v>-1.0900669940091685</v>
      </c>
      <c r="AF992" s="39">
        <f t="shared" si="344"/>
        <v>3.9153893352471441</v>
      </c>
      <c r="AG992" s="39">
        <f t="shared" si="345"/>
        <v>-0.46820268474348442</v>
      </c>
      <c r="AH992" s="39">
        <f t="shared" si="346"/>
        <v>1.1964585685756182</v>
      </c>
      <c r="AI992" s="39">
        <f t="shared" si="347"/>
        <v>-1.542727509375718</v>
      </c>
      <c r="AJ992" s="39">
        <f t="shared" si="348"/>
        <v>4.1120086126127351</v>
      </c>
      <c r="AK992" s="37">
        <f t="shared" si="349"/>
        <v>358718.27377840341</v>
      </c>
      <c r="AL992" s="37">
        <f t="shared" si="350"/>
        <v>373777.66575842537</v>
      </c>
      <c r="AM992" s="37">
        <f t="shared" si="351"/>
        <v>345064.72504196729</v>
      </c>
    </row>
    <row r="993" spans="12:39">
      <c r="L993">
        <v>989</v>
      </c>
      <c r="M993" s="37">
        <f t="shared" si="336"/>
        <v>6.2140702688005023</v>
      </c>
      <c r="N993" s="37">
        <f t="shared" si="330"/>
        <v>24988.062531806088</v>
      </c>
      <c r="O993" s="37">
        <f t="shared" si="331"/>
        <v>7154.6998714274287</v>
      </c>
      <c r="R993" s="37">
        <f t="shared" si="332"/>
        <v>-16508.356227735738</v>
      </c>
      <c r="S993" s="37">
        <f t="shared" si="333"/>
        <v>9758.2899099991992</v>
      </c>
      <c r="V993" s="37">
        <f t="shared" si="334"/>
        <v>-11.937468193911627</v>
      </c>
      <c r="W993" s="37">
        <f t="shared" si="335"/>
        <v>-15345.300128572571</v>
      </c>
      <c r="Y993" s="37">
        <f t="shared" si="337"/>
        <v>116485.5331230069</v>
      </c>
      <c r="Z993" s="37">
        <f t="shared" si="338"/>
        <v>-338274.78300429409</v>
      </c>
      <c r="AA993" s="37">
        <f t="shared" si="339"/>
        <v>549.88626667306482</v>
      </c>
      <c r="AB993" s="37">
        <f t="shared" si="340"/>
        <v>-396.34482133898319</v>
      </c>
      <c r="AC993" s="37">
        <f t="shared" si="341"/>
        <v>-3.1012666128353743</v>
      </c>
      <c r="AD993" s="37">
        <f t="shared" si="342"/>
        <v>9.207788642013611</v>
      </c>
      <c r="AE993" s="39">
        <f t="shared" si="343"/>
        <v>-1.0907607391021561</v>
      </c>
      <c r="AF993" s="39">
        <f t="shared" si="344"/>
        <v>3.9089544894966077</v>
      </c>
      <c r="AG993" s="39">
        <f t="shared" si="345"/>
        <v>-0.46807419689591073</v>
      </c>
      <c r="AH993" s="39">
        <f t="shared" si="346"/>
        <v>1.1944008688958485</v>
      </c>
      <c r="AI993" s="39">
        <f t="shared" si="347"/>
        <v>-1.5424316768373072</v>
      </c>
      <c r="AJ993" s="39">
        <f t="shared" si="348"/>
        <v>4.1044332836211561</v>
      </c>
      <c r="AK993" s="37">
        <f t="shared" si="349"/>
        <v>358984.2039194727</v>
      </c>
      <c r="AL993" s="37">
        <f t="shared" si="350"/>
        <v>374063.66467295319</v>
      </c>
      <c r="AM993" s="37">
        <f t="shared" si="351"/>
        <v>345348.11434935423</v>
      </c>
    </row>
    <row r="994" spans="12:39">
      <c r="L994">
        <v>990</v>
      </c>
      <c r="M994" s="37">
        <f t="shared" si="336"/>
        <v>6.2203534541076815</v>
      </c>
      <c r="N994" s="37">
        <f t="shared" si="330"/>
        <v>24990.133642141322</v>
      </c>
      <c r="O994" s="37">
        <f t="shared" si="331"/>
        <v>7186.0474023528886</v>
      </c>
      <c r="R994" s="37">
        <f t="shared" si="332"/>
        <v>-16506.906450501076</v>
      </c>
      <c r="S994" s="37">
        <f t="shared" si="333"/>
        <v>9780.2331816470214</v>
      </c>
      <c r="V994" s="37">
        <f t="shared" si="334"/>
        <v>-9.8663578586765652</v>
      </c>
      <c r="W994" s="37">
        <f t="shared" si="335"/>
        <v>-15313.952597647112</v>
      </c>
      <c r="Y994" s="37">
        <f t="shared" si="337"/>
        <v>116760.08859801682</v>
      </c>
      <c r="Z994" s="37">
        <f t="shared" si="338"/>
        <v>-338471.80444138334</v>
      </c>
      <c r="AA994" s="37">
        <f t="shared" si="339"/>
        <v>548.33563336664713</v>
      </c>
      <c r="AB994" s="37">
        <f t="shared" si="340"/>
        <v>-391.74092701797639</v>
      </c>
      <c r="AC994" s="37">
        <f t="shared" si="341"/>
        <v>-3.1015632257872854</v>
      </c>
      <c r="AD994" s="37">
        <f t="shared" si="342"/>
        <v>9.1918793117715119</v>
      </c>
      <c r="AE994" s="39">
        <f t="shared" si="343"/>
        <v>-1.0914600586710081</v>
      </c>
      <c r="AF994" s="39">
        <f t="shared" si="344"/>
        <v>3.902584334568771</v>
      </c>
      <c r="AG994" s="39">
        <f t="shared" si="345"/>
        <v>-0.46795077096396026</v>
      </c>
      <c r="AH994" s="39">
        <f t="shared" si="346"/>
        <v>1.1923628539526434</v>
      </c>
      <c r="AI994" s="39">
        <f t="shared" si="347"/>
        <v>-1.5421523961523171</v>
      </c>
      <c r="AJ994" s="39">
        <f t="shared" si="348"/>
        <v>4.0969321232500979</v>
      </c>
      <c r="AK994" s="37">
        <f t="shared" si="349"/>
        <v>359247.83118889231</v>
      </c>
      <c r="AL994" s="37">
        <f t="shared" si="350"/>
        <v>374347.32578712399</v>
      </c>
      <c r="AM994" s="37">
        <f t="shared" si="351"/>
        <v>345629.17620473169</v>
      </c>
    </row>
    <row r="995" spans="12:39">
      <c r="L995">
        <v>991</v>
      </c>
      <c r="M995" s="37">
        <f t="shared" si="336"/>
        <v>6.2266366394148607</v>
      </c>
      <c r="N995" s="37">
        <f t="shared" si="330"/>
        <v>24992.007750544843</v>
      </c>
      <c r="O995" s="37">
        <f t="shared" si="331"/>
        <v>7217.4073275893306</v>
      </c>
      <c r="R995" s="37">
        <f t="shared" si="332"/>
        <v>-16505.594574618608</v>
      </c>
      <c r="S995" s="37">
        <f t="shared" si="333"/>
        <v>9802.185129312531</v>
      </c>
      <c r="V995" s="37">
        <f t="shared" si="334"/>
        <v>-7.9922494551556156</v>
      </c>
      <c r="W995" s="37">
        <f t="shared" si="335"/>
        <v>-15282.592672410668</v>
      </c>
      <c r="Y995" s="37">
        <f t="shared" si="337"/>
        <v>117033.86871929694</v>
      </c>
      <c r="Z995" s="37">
        <f t="shared" si="338"/>
        <v>-338666.52591997839</v>
      </c>
      <c r="AA995" s="37">
        <f t="shared" si="339"/>
        <v>546.78485175375351</v>
      </c>
      <c r="AB995" s="37">
        <f t="shared" si="340"/>
        <v>-387.14498736209066</v>
      </c>
      <c r="AC995" s="37">
        <f t="shared" si="341"/>
        <v>-3.1018870297638759</v>
      </c>
      <c r="AD995" s="37">
        <f t="shared" si="342"/>
        <v>9.1761273100407301</v>
      </c>
      <c r="AE995" s="39">
        <f t="shared" si="343"/>
        <v>-1.0921650078082876</v>
      </c>
      <c r="AF995" s="39">
        <f t="shared" si="344"/>
        <v>3.8962783971652031</v>
      </c>
      <c r="AG995" s="39">
        <f t="shared" si="345"/>
        <v>-0.46783239145368744</v>
      </c>
      <c r="AH995" s="39">
        <f t="shared" si="346"/>
        <v>1.1903443737338095</v>
      </c>
      <c r="AI995" s="39">
        <f t="shared" si="347"/>
        <v>-1.5418896305019008</v>
      </c>
      <c r="AJ995" s="39">
        <f t="shared" si="348"/>
        <v>4.0895045391417186</v>
      </c>
      <c r="AK995" s="37">
        <f t="shared" si="349"/>
        <v>359509.15891829628</v>
      </c>
      <c r="AL995" s="37">
        <f t="shared" si="350"/>
        <v>374628.65276602173</v>
      </c>
      <c r="AM995" s="37">
        <f t="shared" si="351"/>
        <v>345907.91421374946</v>
      </c>
    </row>
    <row r="996" spans="12:39">
      <c r="L996">
        <v>992</v>
      </c>
      <c r="M996" s="37">
        <f t="shared" si="336"/>
        <v>6.2329198247220399</v>
      </c>
      <c r="N996" s="37">
        <f t="shared" si="330"/>
        <v>24993.684783030061</v>
      </c>
      <c r="O996" s="37">
        <f t="shared" si="331"/>
        <v>7248.7784091006033</v>
      </c>
      <c r="R996" s="37">
        <f t="shared" si="332"/>
        <v>-16504.420651878958</v>
      </c>
      <c r="S996" s="37">
        <f t="shared" si="333"/>
        <v>9824.1448863704227</v>
      </c>
      <c r="V996" s="37">
        <f t="shared" si="334"/>
        <v>-6.3152169699396836</v>
      </c>
      <c r="W996" s="37">
        <f t="shared" si="335"/>
        <v>-15251.221590899397</v>
      </c>
      <c r="Y996" s="37">
        <f t="shared" si="337"/>
        <v>117306.87340929511</v>
      </c>
      <c r="Z996" s="37">
        <f t="shared" si="338"/>
        <v>-338858.9513977457</v>
      </c>
      <c r="AA996" s="37">
        <f t="shared" si="339"/>
        <v>545.23390823887155</v>
      </c>
      <c r="AB996" s="37">
        <f t="shared" si="340"/>
        <v>-382.55692370707027</v>
      </c>
      <c r="AC996" s="37">
        <f t="shared" si="341"/>
        <v>-3.1022380285017412</v>
      </c>
      <c r="AD996" s="37">
        <f t="shared" si="342"/>
        <v>9.1605314381321037</v>
      </c>
      <c r="AE996" s="39">
        <f t="shared" si="343"/>
        <v>-1.0928756412230349</v>
      </c>
      <c r="AF996" s="39">
        <f t="shared" si="344"/>
        <v>3.8900362105971338</v>
      </c>
      <c r="AG996" s="39">
        <f t="shared" si="345"/>
        <v>-0.46771904321843066</v>
      </c>
      <c r="AH996" s="39">
        <f t="shared" si="346"/>
        <v>1.1883452802799954</v>
      </c>
      <c r="AI996" s="39">
        <f t="shared" si="347"/>
        <v>-1.5416433440602755</v>
      </c>
      <c r="AJ996" s="39">
        <f t="shared" si="348"/>
        <v>4.0821499472549752</v>
      </c>
      <c r="AK996" s="37">
        <f t="shared" si="349"/>
        <v>359768.19040326308</v>
      </c>
      <c r="AL996" s="37">
        <f t="shared" si="350"/>
        <v>374907.64923614304</v>
      </c>
      <c r="AM996" s="37">
        <f t="shared" si="351"/>
        <v>346184.33194413164</v>
      </c>
    </row>
    <row r="997" spans="12:39">
      <c r="L997">
        <v>993</v>
      </c>
      <c r="M997" s="37">
        <f t="shared" si="336"/>
        <v>6.2392030100292191</v>
      </c>
      <c r="N997" s="37">
        <f t="shared" si="330"/>
        <v>24995.164673390602</v>
      </c>
      <c r="O997" s="37">
        <f t="shared" si="331"/>
        <v>7280.1594084101243</v>
      </c>
      <c r="R997" s="37">
        <f t="shared" si="332"/>
        <v>-16503.384728626581</v>
      </c>
      <c r="S997" s="37">
        <f t="shared" si="333"/>
        <v>9846.1115858870871</v>
      </c>
      <c r="V997" s="37">
        <f t="shared" si="334"/>
        <v>-4.8353266093999991</v>
      </c>
      <c r="W997" s="37">
        <f t="shared" si="335"/>
        <v>-15219.840591589875</v>
      </c>
      <c r="Y997" s="37">
        <f t="shared" si="337"/>
        <v>117579.10258366098</v>
      </c>
      <c r="Z997" s="37">
        <f t="shared" si="338"/>
        <v>-339049.08479316946</v>
      </c>
      <c r="AA997" s="37">
        <f t="shared" si="339"/>
        <v>543.68278922462071</v>
      </c>
      <c r="AB997" s="37">
        <f t="shared" si="340"/>
        <v>-377.97665798800421</v>
      </c>
      <c r="AC997" s="37">
        <f t="shared" si="341"/>
        <v>-3.1026162267006479</v>
      </c>
      <c r="AD997" s="37">
        <f t="shared" si="342"/>
        <v>9.145090514093706</v>
      </c>
      <c r="AE997" s="39">
        <f t="shared" si="343"/>
        <v>-1.0935920132556733</v>
      </c>
      <c r="AF997" s="39">
        <f t="shared" si="344"/>
        <v>3.8838573146944646</v>
      </c>
      <c r="AG997" s="39">
        <f t="shared" si="345"/>
        <v>-0.46761071145583921</v>
      </c>
      <c r="AH997" s="39">
        <f t="shared" si="346"/>
        <v>1.1863654276556357</v>
      </c>
      <c r="AI997" s="39">
        <f t="shared" si="347"/>
        <v>-1.5414135019891351</v>
      </c>
      <c r="AJ997" s="39">
        <f t="shared" si="348"/>
        <v>4.0748677717436061</v>
      </c>
      <c r="AK997" s="37">
        <f t="shared" si="349"/>
        <v>360024.92890356353</v>
      </c>
      <c r="AL997" s="37">
        <f t="shared" si="350"/>
        <v>375184.31878567993</v>
      </c>
      <c r="AM997" s="37">
        <f t="shared" si="351"/>
        <v>346458.43292595202</v>
      </c>
    </row>
    <row r="998" spans="12:39">
      <c r="L998">
        <v>994</v>
      </c>
      <c r="M998" s="37">
        <f t="shared" si="336"/>
        <v>6.2454861953363983</v>
      </c>
      <c r="N998" s="37">
        <f t="shared" si="330"/>
        <v>24996.447363202926</v>
      </c>
      <c r="O998" s="37">
        <f t="shared" si="331"/>
        <v>7311.5490866497739</v>
      </c>
      <c r="R998" s="37">
        <f t="shared" si="332"/>
        <v>-16502.486845757951</v>
      </c>
      <c r="S998" s="37">
        <f t="shared" si="333"/>
        <v>9868.0843606548424</v>
      </c>
      <c r="V998" s="37">
        <f t="shared" si="334"/>
        <v>-3.5526367970742285</v>
      </c>
      <c r="W998" s="37">
        <f t="shared" si="335"/>
        <v>-15188.450913350225</v>
      </c>
      <c r="Y998" s="37">
        <f t="shared" si="337"/>
        <v>117850.55615124495</v>
      </c>
      <c r="Z998" s="37">
        <f t="shared" si="338"/>
        <v>-339236.92998584924</v>
      </c>
      <c r="AA998" s="37">
        <f t="shared" si="339"/>
        <v>542.13148111127043</v>
      </c>
      <c r="AB998" s="37">
        <f t="shared" si="340"/>
        <v>-373.40411273095737</v>
      </c>
      <c r="AC998" s="37">
        <f t="shared" si="341"/>
        <v>-3.1030216300300593</v>
      </c>
      <c r="AD998" s="37">
        <f t="shared" si="342"/>
        <v>9.1298033724740826</v>
      </c>
      <c r="AE998" s="39">
        <f t="shared" si="343"/>
        <v>-1.0943141778927068</v>
      </c>
      <c r="AF998" s="39">
        <f t="shared" si="344"/>
        <v>3.8777412557166961</v>
      </c>
      <c r="AG998" s="39">
        <f t="shared" si="345"/>
        <v>-0.46750738170498379</v>
      </c>
      <c r="AH998" s="39">
        <f t="shared" si="346"/>
        <v>1.184404671920481</v>
      </c>
      <c r="AI998" s="39">
        <f t="shared" si="347"/>
        <v>-1.541200070432369</v>
      </c>
      <c r="AJ998" s="39">
        <f t="shared" si="348"/>
        <v>4.0676574448369065</v>
      </c>
      <c r="AK998" s="37">
        <f t="shared" si="349"/>
        <v>360279.37764340558</v>
      </c>
      <c r="AL998" s="37">
        <f t="shared" si="350"/>
        <v>375458.66496479808</v>
      </c>
      <c r="AM998" s="37">
        <f t="shared" si="351"/>
        <v>346730.22065190494</v>
      </c>
    </row>
    <row r="999" spans="12:39">
      <c r="L999">
        <v>995</v>
      </c>
      <c r="M999" s="37">
        <f t="shared" si="336"/>
        <v>6.2517693806435775</v>
      </c>
      <c r="N999" s="37">
        <f t="shared" si="330"/>
        <v>24997.532801828638</v>
      </c>
      <c r="O999" s="37">
        <f t="shared" si="331"/>
        <v>7342.9462046088038</v>
      </c>
      <c r="R999" s="37">
        <f t="shared" si="332"/>
        <v>-16501.727038719953</v>
      </c>
      <c r="S999" s="37">
        <f t="shared" si="333"/>
        <v>9890.0623432261618</v>
      </c>
      <c r="V999" s="37">
        <f t="shared" si="334"/>
        <v>-2.4671981713599962</v>
      </c>
      <c r="W999" s="37">
        <f t="shared" si="335"/>
        <v>-15157.053795391197</v>
      </c>
      <c r="Y999" s="37">
        <f t="shared" si="337"/>
        <v>118121.23401409683</v>
      </c>
      <c r="Z999" s="37">
        <f t="shared" si="338"/>
        <v>-339422.49081679317</v>
      </c>
      <c r="AA999" s="37">
        <f t="shared" si="339"/>
        <v>540.5799702962554</v>
      </c>
      <c r="AB999" s="37">
        <f t="shared" si="340"/>
        <v>-368.83921104472034</v>
      </c>
      <c r="AC999" s="37">
        <f t="shared" si="341"/>
        <v>-3.1034542451353015</v>
      </c>
      <c r="AD999" s="37">
        <f t="shared" si="342"/>
        <v>9.1146688640891291</v>
      </c>
      <c r="AE999" s="39">
        <f t="shared" si="343"/>
        <v>-1.0950421887811286</v>
      </c>
      <c r="AF999" s="39">
        <f t="shared" si="344"/>
        <v>3.871687586265411</v>
      </c>
      <c r="AG999" s="39">
        <f t="shared" si="345"/>
        <v>-0.46740903984349436</v>
      </c>
      <c r="AH999" s="39">
        <f t="shared" si="346"/>
        <v>1.182462871101561</v>
      </c>
      <c r="AI999" s="39">
        <f t="shared" si="347"/>
        <v>-1.5410030165106785</v>
      </c>
      <c r="AJ999" s="39">
        <f t="shared" si="348"/>
        <v>4.0605184067221565</v>
      </c>
      <c r="AK999" s="37">
        <f t="shared" si="349"/>
        <v>360531.53981167456</v>
      </c>
      <c r="AL999" s="37">
        <f t="shared" si="350"/>
        <v>375730.69128591137</v>
      </c>
      <c r="AM999" s="37">
        <f t="shared" si="351"/>
        <v>346999.69857757259</v>
      </c>
    </row>
    <row r="1000" spans="12:39">
      <c r="L1000">
        <v>996</v>
      </c>
      <c r="M1000" s="37">
        <f t="shared" si="336"/>
        <v>6.2580525659507567</v>
      </c>
      <c r="N1000" s="37">
        <f t="shared" si="330"/>
        <v>24998.420946416485</v>
      </c>
      <c r="O1000" s="37">
        <f t="shared" si="331"/>
        <v>7374.3495227827552</v>
      </c>
      <c r="R1000" s="37">
        <f t="shared" si="332"/>
        <v>-16501.105337508459</v>
      </c>
      <c r="S1000" s="37">
        <f t="shared" si="333"/>
        <v>9912.0446659479294</v>
      </c>
      <c r="V1000" s="37">
        <f t="shared" si="334"/>
        <v>-1.5790535835139963</v>
      </c>
      <c r="W1000" s="37">
        <f t="shared" si="335"/>
        <v>-15125.650477217245</v>
      </c>
      <c r="Y1000" s="37">
        <f t="shared" si="337"/>
        <v>118391.13606746432</v>
      </c>
      <c r="Z1000" s="37">
        <f t="shared" si="338"/>
        <v>-339605.77108870749</v>
      </c>
      <c r="AA1000" s="37">
        <f t="shared" si="339"/>
        <v>539.02824317368777</v>
      </c>
      <c r="AB1000" s="37">
        <f t="shared" si="340"/>
        <v>-364.28187661267577</v>
      </c>
      <c r="AC1000" s="37">
        <f t="shared" si="341"/>
        <v>-3.1039140796438041</v>
      </c>
      <c r="AD1000" s="37">
        <f t="shared" si="342"/>
        <v>9.0996858557936804</v>
      </c>
      <c r="AE1000" s="39">
        <f t="shared" si="343"/>
        <v>-1.0957760992425252</v>
      </c>
      <c r="AF1000" s="39">
        <f t="shared" si="344"/>
        <v>3.8656958651982247</v>
      </c>
      <c r="AG1000" s="39">
        <f t="shared" si="345"/>
        <v>-0.46731567208480812</v>
      </c>
      <c r="AH1000" s="39">
        <f t="shared" si="346"/>
        <v>1.1805398851657856</v>
      </c>
      <c r="AI1000" s="39">
        <f t="shared" si="347"/>
        <v>-1.5408223083164705</v>
      </c>
      <c r="AJ1000" s="39">
        <f t="shared" si="348"/>
        <v>4.053450105429671</v>
      </c>
      <c r="AK1000" s="37">
        <f t="shared" si="349"/>
        <v>360781.41856217111</v>
      </c>
      <c r="AL1000" s="37">
        <f t="shared" si="350"/>
        <v>376000.40122395236</v>
      </c>
      <c r="AM1000" s="37">
        <f t="shared" si="351"/>
        <v>347266.87012168881</v>
      </c>
    </row>
    <row r="1001" spans="12:39">
      <c r="L1001">
        <v>997</v>
      </c>
      <c r="M1001" s="37">
        <f t="shared" si="336"/>
        <v>6.2643357512579358</v>
      </c>
      <c r="N1001" s="37">
        <f t="shared" si="330"/>
        <v>24999.111761904034</v>
      </c>
      <c r="O1001" s="37">
        <f t="shared" si="331"/>
        <v>7405.7578014224</v>
      </c>
      <c r="R1001" s="37">
        <f t="shared" si="332"/>
        <v>-16500.621766667176</v>
      </c>
      <c r="S1001" s="37">
        <f t="shared" si="333"/>
        <v>9934.0304609956802</v>
      </c>
      <c r="V1001" s="37">
        <f t="shared" si="334"/>
        <v>-0.8882380959657894</v>
      </c>
      <c r="W1001" s="37">
        <f t="shared" si="335"/>
        <v>-15094.2421985776</v>
      </c>
      <c r="Y1001" s="37">
        <f t="shared" si="337"/>
        <v>118660.26219979122</v>
      </c>
      <c r="Z1001" s="37">
        <f t="shared" si="338"/>
        <v>-339786.77456628188</v>
      </c>
      <c r="AA1001" s="37">
        <f t="shared" si="339"/>
        <v>537.47628613386587</v>
      </c>
      <c r="AB1001" s="37">
        <f t="shared" si="340"/>
        <v>-359.73203368477891</v>
      </c>
      <c r="AC1001" s="37">
        <f t="shared" si="341"/>
        <v>-3.1044011421713562</v>
      </c>
      <c r="AD1001" s="37">
        <f t="shared" si="342"/>
        <v>9.0848532302576661</v>
      </c>
      <c r="AE1001" s="39">
        <f t="shared" si="343"/>
        <v>-1.0965159622870351</v>
      </c>
      <c r="AF1001" s="39">
        <f t="shared" si="344"/>
        <v>3.8597656575446746</v>
      </c>
      <c r="AG1001" s="39">
        <f t="shared" si="345"/>
        <v>-0.46722726497543576</v>
      </c>
      <c r="AH1001" s="39">
        <f t="shared" si="346"/>
        <v>1.1786355759929414</v>
      </c>
      <c r="AI1001" s="39">
        <f t="shared" si="347"/>
        <v>-1.5406579149088855</v>
      </c>
      <c r="AJ1001" s="39">
        <f t="shared" si="348"/>
        <v>4.0464519967200498</v>
      </c>
      <c r="AK1001" s="37">
        <f t="shared" si="349"/>
        <v>361029.0170138448</v>
      </c>
      <c r="AL1001" s="37">
        <f t="shared" si="350"/>
        <v>376267.79821663949</v>
      </c>
      <c r="AM1001" s="37">
        <f t="shared" si="351"/>
        <v>347531.73866639857</v>
      </c>
    </row>
    <row r="1002" spans="12:39">
      <c r="L1002">
        <v>998</v>
      </c>
      <c r="M1002" s="37">
        <f t="shared" si="336"/>
        <v>6.270618936565115</v>
      </c>
      <c r="N1002" s="37">
        <f t="shared" si="330"/>
        <v>24999.605221019076</v>
      </c>
      <c r="O1002" s="37">
        <f t="shared" si="331"/>
        <v>7437.1698005826756</v>
      </c>
      <c r="R1002" s="37">
        <f t="shared" si="332"/>
        <v>-16500.276345286649</v>
      </c>
      <c r="S1002" s="37">
        <f t="shared" si="333"/>
        <v>9956.0188604078721</v>
      </c>
      <c r="V1002" s="37">
        <f t="shared" si="334"/>
        <v>-0.39477898092627584</v>
      </c>
      <c r="W1002" s="37">
        <f t="shared" si="335"/>
        <v>-15062.830199417323</v>
      </c>
      <c r="Y1002" s="37">
        <f t="shared" si="337"/>
        <v>118928.61229271538</v>
      </c>
      <c r="Z1002" s="37">
        <f t="shared" si="338"/>
        <v>-339965.50497647049</v>
      </c>
      <c r="AA1002" s="37">
        <f t="shared" si="339"/>
        <v>535.92408556278019</v>
      </c>
      <c r="AB1002" s="37">
        <f t="shared" si="340"/>
        <v>-355.18960706965009</v>
      </c>
      <c r="AC1002" s="37">
        <f t="shared" si="341"/>
        <v>-3.1049154423281431</v>
      </c>
      <c r="AD1002" s="37">
        <f t="shared" si="342"/>
        <v>9.0701698857459014</v>
      </c>
      <c r="AE1002" s="39">
        <f t="shared" si="343"/>
        <v>-1.097261830626973</v>
      </c>
      <c r="AF1002" s="39">
        <f t="shared" si="344"/>
        <v>3.853896534423356</v>
      </c>
      <c r="AG1002" s="39">
        <f t="shared" si="345"/>
        <v>-0.46714380539230682</v>
      </c>
      <c r="AH1002" s="39">
        <f t="shared" si="346"/>
        <v>1.1767498073492302</v>
      </c>
      <c r="AI1002" s="39">
        <f t="shared" si="347"/>
        <v>-1.5405098063088631</v>
      </c>
      <c r="AJ1002" s="39">
        <f t="shared" si="348"/>
        <v>4.0395235439733144</v>
      </c>
      <c r="AK1002" s="37">
        <f t="shared" si="349"/>
        <v>361274.33825102501</v>
      </c>
      <c r="AL1002" s="37">
        <f t="shared" si="350"/>
        <v>376532.8856647393</v>
      </c>
      <c r="AM1002" s="37">
        <f t="shared" si="351"/>
        <v>347794.307557514</v>
      </c>
    </row>
    <row r="1003" spans="12:39">
      <c r="L1003">
        <v>999</v>
      </c>
      <c r="M1003" s="37">
        <f t="shared" si="336"/>
        <v>6.2769021218722942</v>
      </c>
      <c r="N1003" s="37">
        <f t="shared" si="330"/>
        <v>24999.901304280684</v>
      </c>
      <c r="O1003" s="37">
        <f t="shared" si="331"/>
        <v>7468.5842801716417</v>
      </c>
      <c r="R1003" s="37">
        <f t="shared" si="332"/>
        <v>-16500.069087003521</v>
      </c>
      <c r="S1003" s="37">
        <f t="shared" si="333"/>
        <v>9978.0089961201502</v>
      </c>
      <c r="V1003" s="37">
        <f t="shared" si="334"/>
        <v>-9.8695719318129704E-2</v>
      </c>
      <c r="W1003" s="37">
        <f t="shared" si="335"/>
        <v>-15031.415719828357</v>
      </c>
      <c r="Y1003" s="37">
        <f t="shared" si="337"/>
        <v>119196.18622106648</v>
      </c>
      <c r="Z1003" s="37">
        <f t="shared" si="338"/>
        <v>-340141.96600876958</v>
      </c>
      <c r="AA1003" s="37">
        <f t="shared" si="339"/>
        <v>534.37162784161615</v>
      </c>
      <c r="AB1003" s="37">
        <f t="shared" si="340"/>
        <v>-350.65452212677712</v>
      </c>
      <c r="AC1003" s="37">
        <f t="shared" si="341"/>
        <v>-3.1054569907248109</v>
      </c>
      <c r="AD1003" s="37">
        <f t="shared" si="342"/>
        <v>9.0556347359022453</v>
      </c>
      <c r="AE1003" s="39">
        <f t="shared" si="343"/>
        <v>-1.0980137566902366</v>
      </c>
      <c r="AF1003" s="39">
        <f t="shared" si="344"/>
        <v>3.8480880729606408</v>
      </c>
      <c r="AG1003" s="39">
        <f t="shared" si="345"/>
        <v>-0.4670652805401872</v>
      </c>
      <c r="AH1003" s="39">
        <f t="shared" si="346"/>
        <v>1.1748824448613235</v>
      </c>
      <c r="AI1003" s="39">
        <f t="shared" si="347"/>
        <v>-1.5403779534943871</v>
      </c>
      <c r="AJ1003" s="39">
        <f t="shared" si="348"/>
        <v>4.0326642180802814</v>
      </c>
      <c r="AK1003" s="37">
        <f t="shared" si="349"/>
        <v>361517.38532364805</v>
      </c>
      <c r="AL1003" s="37">
        <f t="shared" si="350"/>
        <v>376795.66693232575</v>
      </c>
      <c r="AM1003" s="37">
        <f t="shared" si="351"/>
        <v>348054.580104767</v>
      </c>
    </row>
    <row r="1004" spans="12:39">
      <c r="L1004">
        <v>1000</v>
      </c>
      <c r="M1004" s="37">
        <f t="shared" si="336"/>
        <v>6.2831853071794734</v>
      </c>
      <c r="N1004" s="37">
        <f t="shared" si="330"/>
        <v>25000</v>
      </c>
      <c r="O1004" s="37">
        <f t="shared" si="331"/>
        <v>7499.9999999994352</v>
      </c>
      <c r="R1004" s="37">
        <f t="shared" si="332"/>
        <v>-16500</v>
      </c>
      <c r="S1004" s="37">
        <f t="shared" si="333"/>
        <v>9999.9999999996035</v>
      </c>
      <c r="V1004" s="37">
        <f t="shared" si="334"/>
        <v>0</v>
      </c>
      <c r="W1004" s="37">
        <f t="shared" si="335"/>
        <v>-15000.000000000566</v>
      </c>
      <c r="Y1004" s="37">
        <f t="shared" si="337"/>
        <v>119462.98385286344</v>
      </c>
      <c r="Z1004" s="37">
        <f t="shared" si="338"/>
        <v>-340316.16131549096</v>
      </c>
      <c r="AA1004" s="37">
        <f t="shared" si="339"/>
        <v>532.81889934625372</v>
      </c>
      <c r="AB1004" s="37">
        <f t="shared" si="340"/>
        <v>-346.12670475882601</v>
      </c>
      <c r="AC1004" s="37">
        <f t="shared" si="341"/>
        <v>-3.1060257989785676</v>
      </c>
      <c r="AD1004" s="37">
        <f t="shared" si="342"/>
        <v>9.0412467095380435</v>
      </c>
      <c r="AE1004" s="39">
        <f t="shared" si="343"/>
        <v>-1.0987717926335552</v>
      </c>
      <c r="AF1004" s="39">
        <f t="shared" si="344"/>
        <v>3.8423398562111557</v>
      </c>
      <c r="AG1004" s="39">
        <f t="shared" si="345"/>
        <v>-0.4669916779491366</v>
      </c>
      <c r="AH1004" s="39">
        <f t="shared" si="346"/>
        <v>1.1730333559908461</v>
      </c>
      <c r="AI1004" s="39">
        <f t="shared" si="347"/>
        <v>-1.5402623283958761</v>
      </c>
      <c r="AJ1004" s="39">
        <f t="shared" si="348"/>
        <v>4.0258734973360406</v>
      </c>
      <c r="AK1004" s="37">
        <f t="shared" si="349"/>
        <v>361758.16124748118</v>
      </c>
      <c r="AL1004" s="37">
        <f t="shared" si="350"/>
        <v>377056.14534703601</v>
      </c>
      <c r="AM1004" s="37">
        <f t="shared" si="351"/>
        <v>348312.55958205799</v>
      </c>
    </row>
  </sheetData>
  <mergeCells count="33">
    <mergeCell ref="D23:E23"/>
    <mergeCell ref="D61:E61"/>
    <mergeCell ref="D49:E49"/>
    <mergeCell ref="D50:E50"/>
    <mergeCell ref="D57:E57"/>
    <mergeCell ref="B46:F46"/>
    <mergeCell ref="D48:E48"/>
    <mergeCell ref="D53:E53"/>
    <mergeCell ref="D27:E27"/>
    <mergeCell ref="B16:C16"/>
    <mergeCell ref="M2:O2"/>
    <mergeCell ref="R2:S2"/>
    <mergeCell ref="V2:W2"/>
    <mergeCell ref="B13:F13"/>
    <mergeCell ref="D14:E14"/>
    <mergeCell ref="D15:E15"/>
    <mergeCell ref="D16:E16"/>
    <mergeCell ref="D62:E62"/>
    <mergeCell ref="G22:G27"/>
    <mergeCell ref="D58:E58"/>
    <mergeCell ref="D59:E59"/>
    <mergeCell ref="D60:E60"/>
    <mergeCell ref="B35:F35"/>
    <mergeCell ref="D40:E40"/>
    <mergeCell ref="D41:E41"/>
    <mergeCell ref="B55:F55"/>
    <mergeCell ref="D51:E51"/>
    <mergeCell ref="D52:E52"/>
    <mergeCell ref="D42:E42"/>
    <mergeCell ref="D37:E37"/>
    <mergeCell ref="D38:E38"/>
    <mergeCell ref="D39:E39"/>
    <mergeCell ref="B22:F22"/>
  </mergeCells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F8BC-08A8-4AAB-BBD5-B52EADAC2942}">
  <sheetPr codeName="Feuil1"/>
  <dimension ref="A1:L45"/>
  <sheetViews>
    <sheetView tabSelected="1" zoomScale="85" zoomScaleNormal="85" workbookViewId="0">
      <selection activeCell="I15" sqref="I15"/>
    </sheetView>
  </sheetViews>
  <sheetFormatPr baseColWidth="10" defaultColWidth="11.42578125" defaultRowHeight="15"/>
  <cols>
    <col min="1" max="1" width="14.85546875" customWidth="1"/>
    <col min="2" max="2" width="15.85546875" customWidth="1"/>
    <col min="3" max="4" width="13.85546875" customWidth="1"/>
    <col min="5" max="5" width="13.28515625" customWidth="1"/>
    <col min="6" max="6" width="16.42578125" bestFit="1" customWidth="1"/>
    <col min="7" max="7" width="15.7109375" customWidth="1"/>
    <col min="8" max="8" width="4" customWidth="1"/>
    <col min="9" max="9" width="11" customWidth="1"/>
    <col min="10" max="10" width="12.140625" customWidth="1"/>
    <col min="11" max="11" width="18.42578125" customWidth="1"/>
  </cols>
  <sheetData>
    <row r="1" spans="1:7">
      <c r="A1">
        <v>1</v>
      </c>
      <c r="C1" s="38" t="s">
        <v>6</v>
      </c>
      <c r="D1" s="38" t="s">
        <v>7</v>
      </c>
      <c r="F1" s="36" t="s">
        <v>4</v>
      </c>
      <c r="G1" s="36" t="s">
        <v>5</v>
      </c>
    </row>
    <row r="2" spans="1:7">
      <c r="A2">
        <v>1001</v>
      </c>
      <c r="C2" cm="1">
        <f t="array" ref="C2">INDEX('Conditions initiale'!$Y$4:$Y$1004,Simulation!A3)</f>
        <v>-54308.133001649447</v>
      </c>
      <c r="D2" cm="1">
        <f t="array" ref="D2">INDEX(Py,Simulation!A3)</f>
        <v>7749.0770794095397</v>
      </c>
      <c r="E2" s="19">
        <v>1</v>
      </c>
      <c r="F2" s="37" cm="1">
        <f t="array" ref="F2">INDEX('Conditions initiale'!$Y$4:$Y$1004,(Simulation!$A$3-E2))</f>
        <v>-53705.209683984292</v>
      </c>
      <c r="G2" s="37" cm="1">
        <f t="array" ref="G2">INDEX(Py,(Simulation!$A$3-E2))</f>
        <v>7027.1669593521019</v>
      </c>
    </row>
    <row r="3" spans="1:7">
      <c r="A3">
        <v>164</v>
      </c>
      <c r="E3" s="19">
        <v>2</v>
      </c>
      <c r="F3" s="37" cm="1">
        <f t="array" ref="F3">INDEX('Conditions initiale'!$Y$4:$Y$1004,(Simulation!$A$3-E3))</f>
        <v>-53000.941746303091</v>
      </c>
      <c r="G3" s="37" cm="1">
        <f t="array" ref="G3">INDEX(Py,(Simulation!$A$3-E3))</f>
        <v>6291.1901634826836</v>
      </c>
    </row>
    <row r="4" spans="1:7">
      <c r="E4" s="19">
        <v>3</v>
      </c>
      <c r="F4" s="37" cm="1">
        <f t="array" ref="F4">INDEX('Conditions initiale'!$Y$4:$Y$1004,(Simulation!$A$3-E4))</f>
        <v>-52191.923969737007</v>
      </c>
      <c r="G4" s="37" cm="1">
        <f t="array" ref="G4">INDEX(Py,(Simulation!$A$3-E4))</f>
        <v>5542.1443421241638</v>
      </c>
    </row>
    <row r="5" spans="1:7">
      <c r="E5" s="19">
        <v>4</v>
      </c>
      <c r="F5" s="37" cm="1">
        <f t="array" ref="F5">INDEX('Conditions initiale'!$Y$4:$Y$1004,(Simulation!$A$3-E5))</f>
        <v>-51274.199432570014</v>
      </c>
      <c r="G5" s="37" cm="1">
        <f t="array" ref="G5">INDEX(Py,(Simulation!$A$3-E5))</f>
        <v>4781.1389877705396</v>
      </c>
    </row>
    <row r="6" spans="1:7">
      <c r="E6" s="19">
        <v>5</v>
      </c>
      <c r="F6" s="37" cm="1">
        <f t="array" ref="F6">INDEX('Conditions initiale'!$Y$4:$Y$1004,(Simulation!$A$3-E6))</f>
        <v>-50243.177200357313</v>
      </c>
      <c r="G6" s="37" cm="1">
        <f t="array" ref="G6">INDEX(Py,(Simulation!$A$3-E6))</f>
        <v>4009.4365409540646</v>
      </c>
    </row>
    <row r="7" spans="1:7">
      <c r="E7" s="19">
        <v>6</v>
      </c>
      <c r="F7" s="37" cm="1">
        <f t="array" ref="F7">INDEX('Conditions initiale'!$Y$4:$Y$1004,(Simulation!$A$3-E7))</f>
        <v>-49093.53171171336</v>
      </c>
      <c r="G7" s="37" cm="1">
        <f t="array" ref="G7">INDEX(Py,(Simulation!$A$3-E7))</f>
        <v>3228.5061810661691</v>
      </c>
    </row>
    <row r="8" spans="1:7">
      <c r="E8" s="19">
        <v>7</v>
      </c>
      <c r="F8" s="37" cm="1">
        <f t="array" ref="F8">INDEX('Conditions initiale'!$Y$4:$Y$1004,(Simulation!$A$3-E8))</f>
        <v>-47819.08025896937</v>
      </c>
      <c r="G8" s="37" cm="1">
        <f t="array" ref="G8">INDEX(Py,(Simulation!$A$3-E8))</f>
        <v>2440.0952127692885</v>
      </c>
    </row>
    <row r="9" spans="1:7">
      <c r="E9" s="19">
        <v>8</v>
      </c>
      <c r="F9" s="37" cm="1">
        <f t="array" ref="F9">INDEX('Conditions initiale'!$Y$4:$Y$1004,(Simulation!$A$3-E9))</f>
        <v>-46412.6348977159</v>
      </c>
      <c r="G9" s="37" cm="1">
        <f t="array" ref="G9">INDEX(Py,(Simulation!$A$3-E9))</f>
        <v>1646.3248328116763</v>
      </c>
    </row>
    <row r="10" spans="1:7">
      <c r="E10" s="19">
        <v>9</v>
      </c>
      <c r="F10" s="37" cm="1">
        <f t="array" ref="F10">INDEX('Conditions initiale'!$Y$4:$Y$1004,(Simulation!$A$3-E10))</f>
        <v>-44865.826030512697</v>
      </c>
      <c r="G10" s="37" cm="1">
        <f t="array" ref="G10">INDEX(Py,(Simulation!$A$3-E10))</f>
        <v>849.81942886798959</v>
      </c>
    </row>
    <row r="11" spans="1:7">
      <c r="E11" s="19">
        <v>10</v>
      </c>
      <c r="F11" s="37" cm="1">
        <f t="array" ref="F11">INDEX('Conditions initiale'!$Y$4:$Y$1004,(Simulation!$A$3-E11))</f>
        <v>-43168.898096941615</v>
      </c>
      <c r="G11" s="37" cm="1">
        <f t="array" ref="G11">INDEX(Py,(Simulation!$A$3-E11))</f>
        <v>53.881036693447868</v>
      </c>
    </row>
    <row r="12" spans="1:7">
      <c r="E12" s="19">
        <v>11</v>
      </c>
      <c r="F12" s="37" cm="1">
        <f t="array" ref="F12">INDEX('Conditions initiale'!$Y$4:$Y$1004,(Simulation!$A$3-E12))</f>
        <v>-41310.485900573884</v>
      </c>
      <c r="G12" s="37" cm="1">
        <f t="array" ref="G12">INDEX(Py,(Simulation!$A$3-E12))</f>
        <v>-737.27842005781929</v>
      </c>
    </row>
    <row r="13" spans="1:7">
      <c r="E13" s="19">
        <v>12</v>
      </c>
      <c r="F13" s="37" cm="1">
        <f t="array" ref="F13">INDEX('Conditions initiale'!$Y$4:$Y$1004,(Simulation!$A$3-E13))</f>
        <v>-39277.398102827909</v>
      </c>
      <c r="G13" s="37" cm="1">
        <f t="array" ref="G13">INDEX(Py,(Simulation!$A$3-E13))</f>
        <v>-1518.2399421430607</v>
      </c>
    </row>
    <row r="14" spans="1:7">
      <c r="E14" s="19">
        <v>13</v>
      </c>
      <c r="F14" s="37" cm="1">
        <f t="array" ref="F14">INDEX('Conditions initiale'!$Y$4:$Y$1004,(Simulation!$A$3-E14))</f>
        <v>-37054.470478275362</v>
      </c>
      <c r="G14" s="37" cm="1">
        <f t="array" ref="G14">INDEX(Py,(Simulation!$A$3-E14))</f>
        <v>-2282.034045030985</v>
      </c>
    </row>
    <row r="15" spans="1:7">
      <c r="E15" s="19">
        <v>14</v>
      </c>
      <c r="F15" s="37" cm="1">
        <f t="array" ref="F15">INDEX('Conditions initiale'!$Y$4:$Y$1004,(Simulation!$A$3-E15))</f>
        <v>-34624.614037956148</v>
      </c>
      <c r="G15" s="37" cm="1">
        <f t="array" ref="G15">INDEX(Py,(Simulation!$A$3-E15))</f>
        <v>-3019.8520523212565</v>
      </c>
    </row>
    <row r="16" spans="1:7">
      <c r="E16" s="19">
        <v>15</v>
      </c>
      <c r="F16" s="37" cm="1">
        <f t="array" ref="F16">INDEX('Conditions initiale'!$Y$4:$Y$1004,(Simulation!$A$3-E16))</f>
        <v>-31969.25997903218</v>
      </c>
      <c r="G16" s="37" cm="1">
        <f t="array" ref="G16">INDEX(Py,(Simulation!$A$3-E16))</f>
        <v>-3721.1325508030345</v>
      </c>
    </row>
    <row r="17" spans="5:7">
      <c r="E17" s="19">
        <v>16</v>
      </c>
      <c r="F17" s="37" cm="1">
        <f t="array" ref="F17">INDEX('Conditions initiale'!$Y$4:$Y$1004,(Simulation!$A$3-E17))</f>
        <v>-29069.387473119885</v>
      </c>
      <c r="G17" s="37" cm="1">
        <f t="array" ref="G17">INDEX(Py,(Simulation!$A$3-E17))</f>
        <v>-4374.8380365863386</v>
      </c>
    </row>
    <row r="18" spans="5:7">
      <c r="E18" s="19">
        <v>17</v>
      </c>
      <c r="F18" s="37" cm="1">
        <f t="array" ref="F18">INDEX('Conditions initiale'!$Y$4:$Y$1004,(Simulation!$A$3-E18))</f>
        <v>-25906.865482920122</v>
      </c>
      <c r="G18" s="37" cm="1">
        <f t="array" ref="G18">INDEX(Py,(Simulation!$A$3-E18))</f>
        <v>-4973.5648439949573</v>
      </c>
    </row>
    <row r="19" spans="5:7">
      <c r="E19" s="19">
        <v>18</v>
      </c>
      <c r="F19" s="37" cm="1">
        <f t="array" ref="F19">INDEX('Conditions initiale'!$Y$4:$Y$1004,(Simulation!$A$3-E19))</f>
        <v>-22464.523100088049</v>
      </c>
      <c r="G19" s="37" cm="1">
        <f t="array" ref="G19">INDEX(Py,(Simulation!$A$3-E19))</f>
        <v>-5522.6868888774497</v>
      </c>
    </row>
    <row r="20" spans="5:7">
      <c r="E20" s="19">
        <v>19</v>
      </c>
      <c r="F20" s="37" cm="1">
        <f t="array" ref="F20">INDEX('Conditions initiale'!$Y$4:$Y$1004,(Simulation!$A$3-E20))</f>
        <v>-18722.60105691737</v>
      </c>
      <c r="G20" s="37" cm="1">
        <f t="array" ref="G20">INDEX(Py,(Simulation!$A$3-E20))</f>
        <v>-6055.2013786956604</v>
      </c>
    </row>
    <row r="21" spans="5:7">
      <c r="E21" s="19">
        <v>20</v>
      </c>
      <c r="F21" s="37" cm="1">
        <f t="array" ref="F21">INDEX('Conditions initiale'!$Y$4:$Y$1004,(Simulation!$A$3-E21))</f>
        <v>-14656.030853968152</v>
      </c>
      <c r="G21" s="37" cm="1">
        <f t="array" ref="G21">INDEX(Py,(Simulation!$A$3-E21))</f>
        <v>-6648.5105592290492</v>
      </c>
    </row>
    <row r="22" spans="5:7">
      <c r="E22" s="19">
        <v>21</v>
      </c>
      <c r="F22" s="37" cm="1">
        <f t="array" ref="F22">INDEX('Conditions initiale'!$Y$4:$Y$1004,(Simulation!$A$3-E22))</f>
        <v>-10261.000359270049</v>
      </c>
      <c r="G22" s="37" cm="1">
        <f t="array" ref="G22">INDEX(Py,(Simulation!$A$3-E22))</f>
        <v>-7431.3231169227756</v>
      </c>
    </row>
    <row r="23" spans="5:7">
      <c r="E23" s="19">
        <v>22</v>
      </c>
      <c r="F23" s="37" cm="1">
        <f t="array" ref="F23">INDEX('Conditions initiale'!$Y$4:$Y$1004,(Simulation!$A$3-E23))</f>
        <v>-5651.6796163023773</v>
      </c>
      <c r="G23" s="37" cm="1">
        <f t="array" ref="G23">INDEX(Py,(Simulation!$A$3-E23))</f>
        <v>-8535.9358821291116</v>
      </c>
    </row>
    <row r="24" spans="5:7">
      <c r="E24" s="19">
        <v>23</v>
      </c>
      <c r="F24" s="37" cm="1">
        <f t="array" ref="F24">INDEX('Conditions initiale'!$Y$4:$Y$1004,(Simulation!$A$3-E24))</f>
        <v>-1103.2054927395388</v>
      </c>
      <c r="G24" s="37" cm="1">
        <f t="array" ref="G24">INDEX(Py,(Simulation!$A$3-E24))</f>
        <v>-9961.283327292982</v>
      </c>
    </row>
    <row r="25" spans="5:7">
      <c r="E25" s="19">
        <v>24</v>
      </c>
      <c r="F25" s="37" cm="1">
        <f t="array" ref="F25">INDEX('Conditions initiale'!$Y$4:$Y$1004,(Simulation!$A$3-E25))</f>
        <v>3144.2746556408611</v>
      </c>
      <c r="G25" s="37" cm="1">
        <f t="array" ref="G25">INDEX(Py,(Simulation!$A$3-E25))</f>
        <v>-11538.586873204866</v>
      </c>
    </row>
    <row r="26" spans="5:7">
      <c r="E26" s="19">
        <v>25</v>
      </c>
      <c r="F26" s="37" cm="1">
        <f t="array" ref="F26">INDEX('Conditions initiale'!$Y$4:$Y$1004,(Simulation!$A$3-E26))</f>
        <v>7039.5393114410945</v>
      </c>
      <c r="G26" s="37" cm="1">
        <f t="array" ref="G26">INDEX(Py,(Simulation!$A$3-E26))</f>
        <v>-13082.765452977554</v>
      </c>
    </row>
    <row r="27" spans="5:7">
      <c r="E27" s="19">
        <v>26</v>
      </c>
      <c r="F27" s="37" cm="1">
        <f t="array" ref="F27">INDEX('Conditions initiale'!$Y$4:$Y$1004,(Simulation!$A$3-E27))</f>
        <v>10632.139535994247</v>
      </c>
      <c r="G27" s="37" cm="1">
        <f t="array" ref="G27">INDEX(Py,(Simulation!$A$3-E27))</f>
        <v>-14487.785823812728</v>
      </c>
    </row>
    <row r="28" spans="5:7">
      <c r="E28" s="19">
        <v>27</v>
      </c>
      <c r="F28" s="37" cm="1">
        <f t="array" ref="F28">INDEX('Conditions initiale'!$Y$4:$Y$1004,(Simulation!$A$3-E28))</f>
        <v>13976.569983367724</v>
      </c>
      <c r="G28" s="37" cm="1">
        <f t="array" ref="G28">INDEX(Py,(Simulation!$A$3-E28))</f>
        <v>-15708.10361052623</v>
      </c>
    </row>
    <row r="29" spans="5:7">
      <c r="E29" s="19">
        <v>28</v>
      </c>
      <c r="F29" s="37" cm="1">
        <f t="array" ref="F29">INDEX('Conditions initiale'!$Y$4:$Y$1004,(Simulation!$A$3-E29))</f>
        <v>17109.76790552364</v>
      </c>
      <c r="G29" s="37" cm="1">
        <f t="array" ref="G29">INDEX(Py,(Simulation!$A$3-E29))</f>
        <v>-16729.535329882034</v>
      </c>
    </row>
    <row r="30" spans="5:7">
      <c r="E30" s="19">
        <v>29</v>
      </c>
      <c r="F30" s="37" cm="1">
        <f t="array" ref="F30">INDEX('Conditions initiale'!$Y$4:$Y$1004,(Simulation!$A$3-E30))</f>
        <v>20054.172441460516</v>
      </c>
      <c r="G30" s="37" cm="1">
        <f t="array" ref="G30">INDEX(Py,(Simulation!$A$3-E30))</f>
        <v>-17553.418402052168</v>
      </c>
    </row>
    <row r="31" spans="5:7">
      <c r="E31" s="19">
        <v>30</v>
      </c>
      <c r="F31" s="37" cm="1">
        <f t="array" ref="F31">INDEX('Conditions initiale'!$Y$4:$Y$1004,(Simulation!$A$3-E31))</f>
        <v>22823.51451860696</v>
      </c>
      <c r="G31" s="37" cm="1">
        <f t="array" ref="G31">INDEX(Py,(Simulation!$A$3-E31))</f>
        <v>-18188.627561812576</v>
      </c>
    </row>
    <row r="32" spans="5:7">
      <c r="E32" s="19">
        <v>31</v>
      </c>
      <c r="F32" s="37" cm="1">
        <f t="array" ref="F32">INDEX('Conditions initiale'!$Y$4:$Y$1004,(Simulation!$A$3-E32))</f>
        <v>25426.792396761459</v>
      </c>
      <c r="G32" s="37" cm="1">
        <f t="array" ref="G32">INDEX(Py,(Simulation!$A$3-E32))</f>
        <v>-18647.336294856854</v>
      </c>
    </row>
    <row r="33" spans="2:12">
      <c r="E33" s="19">
        <v>32</v>
      </c>
      <c r="F33" s="37" cm="1">
        <f t="array" ref="F33">INDEX('Conditions initiale'!$Y$4:$Y$1004,(Simulation!$A$3-E33))</f>
        <v>27870.484161496799</v>
      </c>
      <c r="G33" s="37" cm="1">
        <f t="array" ref="G33">INDEX(Py,(Simulation!$A$3-E33))</f>
        <v>-18942.714804661675</v>
      </c>
    </row>
    <row r="34" spans="2:12">
      <c r="E34" s="19">
        <v>33</v>
      </c>
      <c r="F34" s="37" cm="1">
        <f t="array" ref="F34">INDEX('Conditions initiale'!$Y$4:$Y$1004,(Simulation!$A$3-E34))</f>
        <v>30159.668235805028</v>
      </c>
      <c r="G34" s="37" cm="1">
        <f t="array" ref="G34">INDEX(Py,(Simulation!$A$3-E34))</f>
        <v>-19087.712582788532</v>
      </c>
    </row>
    <row r="35" spans="2:12">
      <c r="E35" s="19">
        <v>34</v>
      </c>
      <c r="F35" s="37" cm="1">
        <f t="array" ref="F35">INDEX('Conditions initiale'!$Y$4:$Y$1004,(Simulation!$A$3-E35))</f>
        <v>32298.558541161769</v>
      </c>
      <c r="G35" s="37" cm="1">
        <f t="array" ref="G35">INDEX(Py,(Simulation!$A$3-E35))</f>
        <v>-19094.462269071042</v>
      </c>
    </row>
    <row r="36" spans="2:12">
      <c r="E36" s="19">
        <v>35</v>
      </c>
      <c r="F36" s="37" cm="1">
        <f t="array" ref="F36">INDEX('Conditions initiale'!$Y$4:$Y$1004,(Simulation!$A$3-E36))</f>
        <v>34290.748323710919</v>
      </c>
      <c r="G36" s="37" cm="1">
        <f t="array" ref="G36">INDEX(Py,(Simulation!$A$3-E36))</f>
        <v>-18974.033812004098</v>
      </c>
    </row>
    <row r="37" spans="2:12">
      <c r="E37" s="19">
        <v>36</v>
      </c>
      <c r="F37" s="37" cm="1">
        <f t="array" ref="F37">INDEX('Conditions initiale'!$Y$4:$Y$1004,(Simulation!$A$3-E37))</f>
        <v>36139.316000435167</v>
      </c>
      <c r="G37" s="37" cm="1">
        <f t="array" ref="G37">INDEX(Py,(Simulation!$A$3-E37))</f>
        <v>-18736.378892231536</v>
      </c>
    </row>
    <row r="38" spans="2:12">
      <c r="K38" s="38" t="s">
        <v>62</v>
      </c>
      <c r="L38" s="40">
        <f>$A$3/1000</f>
        <v>0.16400000000000001</v>
      </c>
    </row>
    <row r="40" spans="2:12">
      <c r="B40" s="52" t="s">
        <v>63</v>
      </c>
      <c r="C40" s="52"/>
      <c r="D40" s="36" t="s">
        <v>46</v>
      </c>
    </row>
    <row r="41" spans="2:12">
      <c r="B41" s="19">
        <f>0*$D$41+$C$2</f>
        <v>-54308.133001649447</v>
      </c>
      <c r="C41" s="19">
        <f>3*$D$41+$D$2</f>
        <v>10749.077079409541</v>
      </c>
      <c r="D41" s="19">
        <v>1000</v>
      </c>
    </row>
    <row r="42" spans="2:12">
      <c r="B42" s="19">
        <f>1*C2+$D$41</f>
        <v>-53308.133001649447</v>
      </c>
      <c r="C42" s="19">
        <f>-3*$D$41+$D$2</f>
        <v>4749.0770794095397</v>
      </c>
    </row>
    <row r="43" spans="2:12">
      <c r="B43" s="19">
        <f>0*$D$41+$C$2</f>
        <v>-54308.133001649447</v>
      </c>
      <c r="C43" s="19">
        <f>0*$D$41+$D$2</f>
        <v>7749.0770794095397</v>
      </c>
    </row>
    <row r="44" spans="2:12">
      <c r="B44" s="19">
        <f>-1*$D$41+$C$2</f>
        <v>-55308.133001649447</v>
      </c>
      <c r="C44" s="19">
        <f>-3*$D$41+$D$2</f>
        <v>4749.0770794095397</v>
      </c>
    </row>
    <row r="45" spans="2:12">
      <c r="B45" s="19">
        <f>0*$D$41+$C$2</f>
        <v>-54308.133001649447</v>
      </c>
      <c r="C45" s="19">
        <f>3*$D$41+$D$2</f>
        <v>10749.077079409541</v>
      </c>
    </row>
  </sheetData>
  <mergeCells count="1">
    <mergeCell ref="B40:C40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tartsimulation">
                <anchor moveWithCells="1" sizeWithCells="1">
                  <from>
                    <xdr:col>8</xdr:col>
                    <xdr:colOff>9525</xdr:colOff>
                    <xdr:row>3</xdr:row>
                    <xdr:rowOff>9525</xdr:rowOff>
                  </from>
                  <to>
                    <xdr:col>10</xdr:col>
                    <xdr:colOff>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4BE67D7EB984A84C06E190413FBFD" ma:contentTypeVersion="10" ma:contentTypeDescription="Create a new document." ma:contentTypeScope="" ma:versionID="4011dbb1716f0137a6486abcbbe1b711">
  <xsd:schema xmlns:xsd="http://www.w3.org/2001/XMLSchema" xmlns:xs="http://www.w3.org/2001/XMLSchema" xmlns:p="http://schemas.microsoft.com/office/2006/metadata/properties" xmlns:ns3="9de94308-2297-4d04-a77d-26fce9df9395" xmlns:ns4="22375818-dcd7-42e4-9660-6b33e030de66" targetNamespace="http://schemas.microsoft.com/office/2006/metadata/properties" ma:root="true" ma:fieldsID="8f37a86e645f05cbbc07caa7905c9fc2" ns3:_="" ns4:_="">
    <xsd:import namespace="9de94308-2297-4d04-a77d-26fce9df9395"/>
    <xsd:import namespace="22375818-dcd7-42e4-9660-6b33e030de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e94308-2297-4d04-a77d-26fce9df9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375818-dcd7-42e4-9660-6b33e030de6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028260E-0A54-4C1D-BF61-4A8BC08FE1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e94308-2297-4d04-a77d-26fce9df9395"/>
    <ds:schemaRef ds:uri="22375818-dcd7-42e4-9660-6b33e030de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56951E-C8EF-43E0-91D5-4A07D3F9B1EC}">
  <ds:schemaRefs>
    <ds:schemaRef ds:uri="http://purl.org/dc/dcmitype/"/>
    <ds:schemaRef ds:uri="http://www.w3.org/XML/1998/namespace"/>
    <ds:schemaRef ds:uri="http://purl.org/dc/elements/1.1/"/>
    <ds:schemaRef ds:uri="9de94308-2297-4d04-a77d-26fce9df939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22375818-dcd7-42e4-9660-6b33e030de66"/>
    <ds:schemaRef ds:uri="http://schemas.microsoft.com/office/2006/metadata/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56E9724-2653-43BB-8A6A-4EB842D6D63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</vt:i4>
      </vt:variant>
    </vt:vector>
  </HeadingPairs>
  <TitlesOfParts>
    <vt:vector size="4" baseType="lpstr">
      <vt:lpstr>Conditions initiale</vt:lpstr>
      <vt:lpstr>Simulation</vt:lpstr>
      <vt:lpstr>Px</vt:lpstr>
      <vt:lpstr>Py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William Simard</dc:creator>
  <cp:keywords/>
  <dc:description/>
  <cp:lastModifiedBy>William Simard</cp:lastModifiedBy>
  <cp:revision/>
  <dcterms:created xsi:type="dcterms:W3CDTF">2022-11-18T16:25:28Z</dcterms:created>
  <dcterms:modified xsi:type="dcterms:W3CDTF">2022-12-19T20:15:10Z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0x0101003344BE67D7EB984A84C06E190413FBFD</vt:lpwstr>
  </property>
</Properties>
</file>